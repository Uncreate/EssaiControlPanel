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3CE213A5-0461-4A0D-BD39-A0DB0D8EA673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502" i="45" l="1"/>
  <c r="R1483" i="45"/>
  <c r="K1502" i="45"/>
  <c r="CC1502" i="45"/>
  <c r="R1501" i="45" l="1"/>
  <c r="K1501" i="45" l="1"/>
  <c r="CC1501" i="45"/>
  <c r="R1500" i="45" l="1"/>
  <c r="K1500" i="45" l="1"/>
  <c r="CC1500" i="45"/>
  <c r="CC1489" i="45" l="1"/>
  <c r="CC1490" i="45"/>
  <c r="CC1491" i="45"/>
  <c r="CC1492" i="45"/>
  <c r="CC1493" i="45"/>
  <c r="CC1494" i="45"/>
  <c r="CC1495" i="45"/>
  <c r="CC1496" i="45"/>
  <c r="CC1497" i="45"/>
  <c r="CC1498" i="45"/>
  <c r="CC1499" i="45"/>
  <c r="AA1482" i="45"/>
  <c r="AA1483" i="45"/>
  <c r="AA1484" i="45"/>
  <c r="AA1485" i="45"/>
  <c r="AA1486" i="45"/>
  <c r="AA1487" i="45"/>
  <c r="AA1488" i="45"/>
  <c r="AA1489" i="45"/>
  <c r="AA1490" i="45"/>
  <c r="AA1491" i="45"/>
  <c r="AA1492" i="45"/>
  <c r="AA1493" i="45"/>
  <c r="AA1494" i="45"/>
  <c r="AA1495" i="45"/>
  <c r="AA1496" i="45"/>
  <c r="AA1497" i="45"/>
  <c r="AA1498" i="45"/>
  <c r="AA1499" i="45"/>
  <c r="R1489" i="45"/>
  <c r="R1490" i="45"/>
  <c r="R1491" i="45"/>
  <c r="R1492" i="45"/>
  <c r="R1493" i="45"/>
  <c r="R1494" i="45"/>
  <c r="R1495" i="45"/>
  <c r="R1496" i="45"/>
  <c r="R1497" i="45"/>
  <c r="R1498" i="45"/>
  <c r="R1499" i="45"/>
  <c r="K1489" i="45"/>
  <c r="K1490" i="45"/>
  <c r="K1491" i="45"/>
  <c r="K1492" i="45"/>
  <c r="K1493" i="45"/>
  <c r="K1494" i="45"/>
  <c r="K1495" i="45"/>
  <c r="K1496" i="45"/>
  <c r="K1497" i="45"/>
  <c r="K1498" i="45"/>
  <c r="K1499" i="45"/>
  <c r="R1488" i="45" l="1"/>
  <c r="K1488" i="45"/>
  <c r="CC1488" i="45"/>
  <c r="R1487" i="45" l="1"/>
  <c r="K1487" i="45"/>
  <c r="CC1487" i="45"/>
  <c r="R1486" i="45" l="1"/>
  <c r="K1486" i="45"/>
  <c r="CC1486" i="45"/>
  <c r="R1485" i="45" l="1"/>
  <c r="K1485" i="45"/>
  <c r="CC1485" i="45"/>
  <c r="R1484" i="45" l="1"/>
  <c r="K1484" i="45" l="1"/>
  <c r="CC1484" i="45"/>
  <c r="K1483" i="45" l="1"/>
  <c r="CC1483" i="45"/>
  <c r="R1482" i="45" l="1"/>
  <c r="K1482" i="45"/>
  <c r="CC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CC1481" i="45"/>
  <c r="R1480" i="45" l="1"/>
  <c r="K1480" i="45"/>
  <c r="CC1480" i="45"/>
  <c r="R1479" i="45"/>
  <c r="K1479" i="45"/>
  <c r="CC1479" i="45"/>
  <c r="K1478" i="45" l="1"/>
  <c r="CC1478" i="45"/>
  <c r="K1477" i="45"/>
  <c r="CC1477" i="45"/>
  <c r="R1475" i="45" l="1"/>
  <c r="R1476" i="45"/>
  <c r="CC1476" i="45" l="1"/>
  <c r="AA1476" i="45"/>
  <c r="K1476" i="45"/>
  <c r="AA1475" i="45"/>
  <c r="K1475" i="45"/>
  <c r="CC1475" i="45"/>
  <c r="AA1474" i="45"/>
  <c r="R1474" i="45"/>
  <c r="K1474" i="45"/>
  <c r="CC1474" i="45"/>
  <c r="R1473" i="45" l="1"/>
  <c r="R1467" i="45"/>
  <c r="K1473" i="45"/>
  <c r="CC1473" i="45"/>
  <c r="R1472" i="45" l="1"/>
  <c r="K1472" i="45"/>
  <c r="CC1472" i="45"/>
  <c r="R1471" i="45" l="1"/>
  <c r="R1470" i="45"/>
  <c r="CC1470" i="45"/>
  <c r="CC1471" i="45"/>
  <c r="K1469" i="45"/>
  <c r="K1470" i="45"/>
  <c r="K1471" i="45"/>
  <c r="R1469" i="45" l="1"/>
  <c r="CC1469" i="45"/>
  <c r="R1468" i="45" l="1"/>
  <c r="K1468" i="45"/>
  <c r="CC1468" i="45"/>
  <c r="K1467" i="45" l="1"/>
  <c r="R1466" i="45" l="1"/>
  <c r="K1466" i="45"/>
  <c r="CC1466" i="45"/>
  <c r="R1465" i="45" l="1"/>
  <c r="R1464" i="45"/>
  <c r="K1465" i="45"/>
  <c r="CC1465" i="45"/>
  <c r="K1464" i="45" l="1"/>
  <c r="CC1464" i="45"/>
  <c r="R1463" i="45" l="1"/>
  <c r="K1463" i="45"/>
  <c r="CC1463" i="45"/>
  <c r="CC1462" i="45" l="1"/>
  <c r="R1461" i="45"/>
  <c r="R1462" i="45"/>
  <c r="K1462" i="45"/>
  <c r="K1461" i="45"/>
  <c r="CC1461" i="45"/>
  <c r="R1460" i="45"/>
  <c r="K1460" i="45"/>
  <c r="CC1460" i="45"/>
  <c r="R1459" i="45" l="1"/>
  <c r="K1459" i="45"/>
  <c r="CC1459" i="45"/>
  <c r="R1458" i="45"/>
  <c r="K1458" i="45"/>
  <c r="CC1458" i="45"/>
  <c r="R1457" i="45" l="1"/>
  <c r="K1457" i="45"/>
  <c r="CC1457" i="45"/>
  <c r="R1456" i="45" l="1"/>
  <c r="K1456" i="45"/>
  <c r="CC1456" i="45"/>
  <c r="R1455" i="45" l="1"/>
  <c r="K1455" i="45"/>
  <c r="CC1455" i="45"/>
  <c r="R1454" i="45" l="1"/>
  <c r="K1454" i="45"/>
  <c r="CC1454" i="45"/>
  <c r="CC1453" i="45" l="1"/>
  <c r="R1453" i="45"/>
  <c r="AA1453" i="45"/>
  <c r="K1453" i="45"/>
  <c r="CC1452" i="45" l="1"/>
  <c r="AA1452" i="45"/>
  <c r="R1452" i="45"/>
  <c r="K1452" i="45"/>
  <c r="AA1451" i="45" l="1"/>
  <c r="R1451" i="45"/>
  <c r="K1451" i="45"/>
  <c r="CC1451" i="45"/>
  <c r="R1450" i="45" l="1"/>
  <c r="K1450" i="45"/>
  <c r="CC1450" i="45"/>
  <c r="R1449" i="45" l="1"/>
  <c r="K1449" i="45"/>
  <c r="CC1449" i="45"/>
  <c r="AA1448" i="45" l="1"/>
  <c r="R1448" i="45"/>
  <c r="K1448" i="45"/>
  <c r="CC1448" i="45"/>
  <c r="R1447" i="45" l="1"/>
  <c r="K1447" i="45"/>
  <c r="CC1447" i="45"/>
  <c r="R1446" i="45"/>
  <c r="K1446" i="45"/>
  <c r="CC1446" i="45"/>
  <c r="R1445" i="45" l="1"/>
  <c r="K1445" i="45"/>
  <c r="CC1445" i="45"/>
  <c r="R1444" i="45" l="1"/>
  <c r="K1444" i="45"/>
  <c r="CC1444" i="45"/>
  <c r="R1443" i="45" l="1"/>
  <c r="K1443" i="45"/>
  <c r="CC1443" i="45"/>
  <c r="R1442" i="45" l="1"/>
  <c r="K1442" i="45"/>
  <c r="CC1442" i="45"/>
  <c r="R1441" i="45" l="1"/>
  <c r="K1441" i="45"/>
  <c r="CC1441" i="45"/>
  <c r="AA1440" i="45" l="1"/>
  <c r="R1440" i="45"/>
  <c r="K1440" i="45"/>
  <c r="CC1440" i="45"/>
  <c r="AA1437" i="45" l="1"/>
  <c r="AA1439" i="45" l="1"/>
  <c r="AA1419" i="45"/>
  <c r="K1439" i="45"/>
  <c r="CC1439" i="45"/>
  <c r="R1438" i="45" l="1"/>
  <c r="R1407" i="45"/>
  <c r="R1406" i="45"/>
  <c r="K1438" i="45"/>
  <c r="CC1438" i="45"/>
  <c r="R1437" i="45" l="1"/>
  <c r="K1437" i="45"/>
  <c r="CC1437" i="45"/>
  <c r="AA1433" i="45" l="1"/>
  <c r="AA1434" i="45"/>
  <c r="AA1435" i="45"/>
  <c r="AA1436" i="45"/>
  <c r="R1436" i="45"/>
  <c r="K1436" i="45"/>
  <c r="CC1436" i="45"/>
  <c r="R1435" i="45" l="1"/>
  <c r="K1435" i="45"/>
  <c r="CC1435" i="45"/>
  <c r="K1434" i="45" l="1"/>
  <c r="CC1434" i="45"/>
  <c r="R1433" i="45" l="1"/>
  <c r="K1433" i="45"/>
  <c r="CC1433" i="45"/>
  <c r="AA1432" i="45"/>
  <c r="K1432" i="45"/>
  <c r="CC1432" i="45"/>
  <c r="AA1431" i="45" l="1"/>
  <c r="K1431" i="45"/>
  <c r="CC1431" i="45"/>
  <c r="AA1430" i="45"/>
  <c r="K1430" i="45"/>
  <c r="CC1430" i="45"/>
  <c r="AA1429" i="45"/>
  <c r="K1429" i="45"/>
  <c r="CC1429" i="45"/>
  <c r="AA1428" i="45" l="1"/>
  <c r="R1428" i="45"/>
  <c r="K1428" i="45"/>
  <c r="CC1428" i="45"/>
  <c r="K1427" i="45" l="1"/>
  <c r="CC1427" i="45"/>
  <c r="R1426" i="45" l="1"/>
  <c r="M1426" i="45"/>
  <c r="AA1426" i="45" s="1"/>
  <c r="CC1426" i="45"/>
  <c r="K1426" i="45" l="1"/>
  <c r="AA1422" i="45"/>
  <c r="AA1423" i="45"/>
  <c r="AA1424" i="45"/>
  <c r="AA1425" i="45"/>
  <c r="R1425" i="45"/>
  <c r="K1425" i="45"/>
  <c r="CC1425" i="45"/>
  <c r="R1424" i="45" l="1"/>
  <c r="K1424" i="45"/>
  <c r="CC1424" i="45"/>
  <c r="R1423" i="45" l="1"/>
  <c r="K1423" i="45"/>
  <c r="CC1423" i="45"/>
  <c r="R1422" i="45" l="1"/>
  <c r="K1422" i="45"/>
  <c r="CC1422" i="45"/>
  <c r="AA1421" i="45" l="1"/>
  <c r="R1421" i="45"/>
  <c r="K1421" i="45"/>
  <c r="CC1421" i="45"/>
  <c r="R1420" i="45" l="1"/>
  <c r="CC1420" i="45"/>
  <c r="AA1420" i="45"/>
  <c r="R1418" i="45"/>
  <c r="R1419" i="45"/>
  <c r="K1420" i="45"/>
  <c r="K1419" i="45" l="1"/>
  <c r="CC1419" i="45"/>
  <c r="K1418" i="45"/>
  <c r="CC1418" i="45"/>
  <c r="CC1417" i="45" l="1"/>
  <c r="R1417" i="45"/>
  <c r="K1417" i="45"/>
  <c r="R1416" i="45" l="1"/>
  <c r="K1416" i="45"/>
  <c r="CC1416" i="45"/>
  <c r="AA1415" i="45" l="1"/>
  <c r="AA1364" i="45"/>
  <c r="AA1343" i="45"/>
  <c r="R1415" i="45"/>
  <c r="K1415" i="45"/>
  <c r="CC1415" i="45"/>
  <c r="R1414" i="45" l="1"/>
  <c r="K1414" i="45"/>
  <c r="CC1414" i="45"/>
  <c r="AA1412" i="45" l="1"/>
  <c r="AA1413" i="45"/>
  <c r="K1413" i="45"/>
  <c r="CC1413" i="45"/>
  <c r="R1412" i="45"/>
  <c r="R1413" i="45"/>
  <c r="K1412" i="45"/>
  <c r="CC1412" i="45"/>
  <c r="AA1411" i="45" l="1"/>
  <c r="R1411" i="45"/>
  <c r="K1411" i="45"/>
  <c r="CC1411" i="45"/>
  <c r="K1410" i="45" l="1"/>
  <c r="CC1410" i="45"/>
  <c r="K1409" i="45" l="1"/>
  <c r="CC1409" i="45"/>
  <c r="R1408" i="45" l="1"/>
  <c r="K1408" i="45"/>
  <c r="CC1408" i="45"/>
  <c r="K1407" i="45"/>
  <c r="CC1407" i="45"/>
  <c r="K1406" i="45"/>
  <c r="CC1406" i="45"/>
  <c r="K1405" i="45" l="1"/>
  <c r="CC1405" i="45"/>
  <c r="CE779" i="45" l="1"/>
  <c r="CC779" i="45"/>
  <c r="AZ779" i="45"/>
  <c r="AA779" i="45"/>
  <c r="R779" i="45"/>
  <c r="K779" i="45"/>
  <c r="CE778" i="45"/>
  <c r="CC778" i="45"/>
  <c r="AZ778" i="45"/>
  <c r="AA778" i="45"/>
  <c r="R778" i="45"/>
  <c r="K778" i="45"/>
  <c r="R1403" i="45" l="1"/>
  <c r="R1404" i="45"/>
  <c r="K1404" i="45" l="1"/>
  <c r="CC1404" i="45"/>
  <c r="K1403" i="45"/>
  <c r="CC1403" i="45"/>
  <c r="AA1401" i="45"/>
  <c r="AA1402" i="45"/>
  <c r="R1402" i="45"/>
  <c r="K1402" i="45"/>
  <c r="R1399" i="45" l="1"/>
  <c r="R1400" i="45"/>
  <c r="R1401" i="45"/>
  <c r="K1401" i="45"/>
  <c r="CC1401" i="45"/>
  <c r="AA1400" i="45" l="1"/>
  <c r="K1400" i="45"/>
  <c r="CC1400" i="45"/>
  <c r="K1399" i="45" l="1"/>
  <c r="R1398" i="45" l="1"/>
  <c r="K1398" i="45"/>
  <c r="CC1398" i="45"/>
  <c r="AA1397" i="45" l="1"/>
  <c r="R1397" i="45"/>
  <c r="K1397" i="45"/>
  <c r="CC1397" i="45"/>
  <c r="R1396" i="45" l="1"/>
  <c r="K1396" i="45"/>
  <c r="CC1396" i="45"/>
  <c r="R1395" i="45" l="1"/>
  <c r="K1395" i="45"/>
  <c r="CC1395" i="45"/>
  <c r="R1393" i="45" l="1"/>
  <c r="R1394" i="45"/>
  <c r="K1394" i="45" l="1"/>
  <c r="CC1394" i="45"/>
  <c r="K1393" i="45"/>
  <c r="CC1393" i="45"/>
  <c r="R1392" i="45"/>
  <c r="K1392" i="45"/>
  <c r="CC1392" i="45"/>
  <c r="AA1391" i="45" l="1"/>
  <c r="R1391" i="45"/>
  <c r="K1391" i="45"/>
  <c r="CC1391" i="45"/>
  <c r="AA1390" i="45"/>
  <c r="R1390" i="45"/>
  <c r="K1390" i="45"/>
  <c r="CC1390" i="45"/>
  <c r="R1389" i="45" l="1"/>
  <c r="R1387" i="45"/>
  <c r="R1388" i="45"/>
  <c r="K1389" i="45"/>
  <c r="CC1389" i="45"/>
  <c r="K1388" i="45" l="1"/>
  <c r="CC1388" i="45"/>
  <c r="K1387" i="45" l="1"/>
  <c r="CC1387" i="45"/>
  <c r="R1386" i="45" l="1"/>
  <c r="K1386" i="45"/>
  <c r="CC1386" i="45"/>
  <c r="R1385" i="45"/>
  <c r="K1385" i="45"/>
  <c r="CC1385" i="45"/>
  <c r="R1383" i="45" l="1"/>
  <c r="R1384" i="45"/>
  <c r="K1384" i="45"/>
  <c r="CC1384" i="45"/>
  <c r="AA1383" i="45" l="1"/>
  <c r="K1383" i="45"/>
  <c r="CC1383" i="45"/>
  <c r="R1382" i="45" l="1"/>
  <c r="R1315" i="45"/>
  <c r="R1312" i="45"/>
  <c r="R1310" i="45"/>
  <c r="R1289" i="45"/>
  <c r="AA1289" i="45"/>
  <c r="AA1382" i="45"/>
  <c r="AA1315" i="45"/>
  <c r="K1382" i="45"/>
  <c r="CC1382" i="45"/>
  <c r="CC1374" i="45" l="1"/>
  <c r="CC1375" i="45"/>
  <c r="CC1376" i="45"/>
  <c r="CC1377" i="45"/>
  <c r="CC1378" i="45"/>
  <c r="CC1379" i="45"/>
  <c r="CC1380" i="45"/>
  <c r="CC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CC1373" i="45"/>
  <c r="R1373" i="45"/>
  <c r="K1372" i="45"/>
  <c r="CC1372" i="45"/>
  <c r="AA1371" i="45" l="1"/>
  <c r="AA58" i="45"/>
  <c r="R1371" i="45"/>
  <c r="K1371" i="45"/>
  <c r="CC1371" i="45"/>
  <c r="AA1370" i="45" l="1"/>
  <c r="AA1348" i="45"/>
  <c r="R1370" i="45" l="1"/>
  <c r="K1370" i="45"/>
  <c r="CC1370" i="45"/>
  <c r="R1369" i="45" l="1"/>
  <c r="K1369" i="45"/>
  <c r="CC1369" i="45"/>
  <c r="R1368" i="45" l="1"/>
  <c r="K1368" i="45"/>
  <c r="CC1368" i="45"/>
  <c r="K1367" i="45" l="1"/>
  <c r="CC1367" i="45"/>
  <c r="CC1366" i="45"/>
  <c r="R1366" i="45"/>
  <c r="K1366" i="45"/>
  <c r="R1365" i="45" l="1"/>
  <c r="CC1361" i="45" l="1"/>
  <c r="CC1362" i="45"/>
  <c r="CC1363" i="45"/>
  <c r="CC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CC1365" i="45" l="1"/>
  <c r="R1361" i="45"/>
  <c r="R1362" i="45"/>
  <c r="R1363" i="45"/>
  <c r="R1364" i="45"/>
  <c r="R1360" i="45" l="1"/>
  <c r="CC1360" i="45"/>
  <c r="R1359" i="45" l="1"/>
  <c r="AB1359" i="45" l="1"/>
  <c r="CC1359" i="45" l="1"/>
  <c r="R1358" i="45" l="1"/>
  <c r="CC1358" i="45"/>
  <c r="CC1357" i="45" l="1"/>
  <c r="R1357" i="45"/>
  <c r="R1356" i="45" l="1"/>
  <c r="CC1356" i="45"/>
  <c r="R1355" i="45" l="1"/>
  <c r="CC1355" i="45"/>
  <c r="R1354" i="45"/>
  <c r="CC1354" i="45"/>
  <c r="R1353" i="45"/>
  <c r="CC1353" i="45"/>
  <c r="CC1352" i="45"/>
  <c r="R1352" i="45"/>
  <c r="R1351" i="45"/>
  <c r="CC1351" i="45"/>
  <c r="CC1350" i="45"/>
  <c r="R1350" i="45"/>
  <c r="R1348" i="45" l="1"/>
  <c r="R1349" i="45" l="1"/>
  <c r="CC1349" i="45"/>
  <c r="CC1348" i="45" l="1"/>
  <c r="R1347" i="45" l="1"/>
  <c r="CC1347" i="45"/>
  <c r="CC1346" i="45" l="1"/>
  <c r="R1344" i="45"/>
  <c r="R1345" i="45"/>
  <c r="R1346" i="45"/>
  <c r="CC1345" i="45" l="1"/>
  <c r="R1343" i="45" l="1"/>
  <c r="CC1343" i="45"/>
  <c r="CC1342" i="45" l="1"/>
  <c r="R1342" i="45"/>
  <c r="R1339" i="45" l="1"/>
  <c r="R1340" i="45"/>
  <c r="R1341" i="45"/>
  <c r="AA1341" i="45" l="1"/>
  <c r="CC1341" i="45"/>
  <c r="CC1340" i="45"/>
  <c r="CC1339" i="45"/>
  <c r="R1338" i="45" l="1"/>
  <c r="CE1337" i="45" l="1"/>
  <c r="CC1337" i="45"/>
  <c r="AV1337" i="45"/>
  <c r="AA1337" i="45"/>
  <c r="R1337" i="45"/>
  <c r="R1336" i="45" l="1"/>
  <c r="CC1336" i="45"/>
  <c r="R1335" i="45" l="1"/>
  <c r="CC1335" i="45"/>
  <c r="R1334" i="45" l="1"/>
  <c r="V1334" i="45"/>
  <c r="U1334" i="45"/>
  <c r="N1334" i="45"/>
  <c r="M1334" i="45"/>
  <c r="CC1334" i="45"/>
  <c r="AA1334" i="45" l="1"/>
  <c r="K1334" i="45"/>
  <c r="R1333" i="45"/>
  <c r="R1332" i="45"/>
  <c r="R1331" i="45"/>
  <c r="R1330" i="45"/>
  <c r="CC1333" i="45"/>
  <c r="CC1332" i="45" l="1"/>
  <c r="CC1331" i="45"/>
  <c r="CC1330" i="45"/>
  <c r="CC1329" i="45"/>
  <c r="CC1328" i="45"/>
  <c r="CC1327" i="45"/>
  <c r="CC1326" i="45"/>
  <c r="CC1325" i="45"/>
  <c r="CC1324" i="45"/>
  <c r="CC1323" i="45"/>
  <c r="CC1322" i="45"/>
  <c r="CC1321" i="45"/>
  <c r="CC1320" i="45"/>
  <c r="CC1319" i="45"/>
  <c r="CC1318" i="45"/>
  <c r="CC1317" i="45"/>
  <c r="CC1316" i="45"/>
  <c r="CC1315" i="45"/>
  <c r="CC1314" i="45"/>
  <c r="CC1313" i="45"/>
  <c r="CC1312" i="45"/>
  <c r="CC1311" i="45"/>
  <c r="CC1310" i="45"/>
  <c r="CC1309" i="45"/>
  <c r="CC1308" i="45"/>
  <c r="CC1307" i="45"/>
  <c r="CC1306" i="45"/>
  <c r="CC1305" i="45"/>
  <c r="CC1304" i="45"/>
  <c r="CC1303" i="45"/>
  <c r="CC1302" i="45"/>
  <c r="CC1301" i="45"/>
  <c r="CC1300" i="45"/>
  <c r="CC1299" i="45"/>
  <c r="CC1298" i="45"/>
  <c r="CC1297" i="45"/>
  <c r="CC1296" i="45"/>
  <c r="CC1295" i="45"/>
  <c r="CC1294" i="45"/>
  <c r="CC1293" i="45"/>
  <c r="CC1292" i="45"/>
  <c r="CC1291" i="45"/>
  <c r="CC1290" i="45"/>
  <c r="CC1289" i="45"/>
  <c r="CC1288" i="45"/>
  <c r="CC1287" i="45"/>
  <c r="CC1286" i="45"/>
  <c r="CC1285" i="45"/>
  <c r="CC1284" i="45"/>
  <c r="CC1283" i="45"/>
  <c r="CC1282" i="45"/>
  <c r="CC1281" i="45"/>
  <c r="CC1280" i="45"/>
  <c r="CC1279" i="45"/>
  <c r="CC1278" i="45"/>
  <c r="CC1277" i="45"/>
  <c r="CC1276" i="45"/>
  <c r="CC1275" i="45"/>
  <c r="CC1274" i="45"/>
  <c r="CC1273" i="45"/>
  <c r="CC1272" i="45"/>
  <c r="CC1271" i="45"/>
  <c r="CC1270" i="45"/>
  <c r="CC1269" i="45"/>
  <c r="CC1268" i="45"/>
  <c r="CC1267" i="45"/>
  <c r="CC1234" i="45"/>
  <c r="CC1233" i="45"/>
  <c r="CC1232" i="45"/>
  <c r="CC1231" i="45"/>
  <c r="CC1230" i="45"/>
  <c r="CC1229" i="45"/>
  <c r="CC1228" i="45"/>
  <c r="CC1227" i="45"/>
  <c r="CC1226" i="45"/>
  <c r="CC1225" i="45"/>
  <c r="CC1224" i="45"/>
  <c r="CC1223" i="45"/>
  <c r="CC1222" i="45"/>
  <c r="CC1221" i="45"/>
  <c r="CC1220" i="45"/>
  <c r="CC1219" i="45"/>
  <c r="CC1218" i="45"/>
  <c r="CC1217" i="45"/>
  <c r="CC1216" i="45"/>
  <c r="CC1215" i="45"/>
  <c r="CC1214" i="45"/>
  <c r="CC1213" i="45"/>
  <c r="CC1212" i="45"/>
  <c r="CC1211" i="45"/>
  <c r="CC1210" i="45"/>
  <c r="CC1209" i="45"/>
  <c r="CC1208" i="45"/>
  <c r="CC1207" i="45"/>
  <c r="CC1206" i="45"/>
  <c r="CC1205" i="45"/>
  <c r="CC1204" i="45"/>
  <c r="CC1203" i="45"/>
  <c r="CC1202" i="45"/>
  <c r="CC1201" i="45"/>
  <c r="CC1200" i="45"/>
  <c r="CC1199" i="45"/>
  <c r="CC1198" i="45"/>
  <c r="CC1197" i="45"/>
  <c r="CC1196" i="45"/>
  <c r="CC1195" i="45"/>
  <c r="CC1194" i="45"/>
  <c r="CC1193" i="45"/>
  <c r="CC1192" i="45"/>
  <c r="CC1191" i="45"/>
  <c r="CC1190" i="45"/>
  <c r="CC1189" i="45"/>
  <c r="CC1188" i="45"/>
  <c r="CC1187" i="45"/>
  <c r="CC1186" i="45"/>
  <c r="CC1185" i="45"/>
  <c r="CC1184" i="45"/>
  <c r="CC1183" i="45"/>
  <c r="CC1182" i="45"/>
  <c r="CC1181" i="45"/>
  <c r="CC1180" i="45"/>
  <c r="CC1179" i="45"/>
  <c r="CC1178" i="45"/>
  <c r="CC1177" i="45"/>
  <c r="CC1176" i="45"/>
  <c r="CC1175" i="45"/>
  <c r="CC1174" i="45"/>
  <c r="CC1173" i="45"/>
  <c r="CC1172" i="45"/>
  <c r="CC1171" i="45"/>
  <c r="CC1170" i="45"/>
  <c r="CC1169" i="45"/>
  <c r="CC1168" i="45"/>
  <c r="CC1167" i="45"/>
  <c r="CC1166" i="45"/>
  <c r="CC1165" i="45"/>
  <c r="CC1164" i="45"/>
  <c r="CC1163" i="45"/>
  <c r="CC1162" i="45"/>
  <c r="CC1161" i="45"/>
  <c r="CC1160" i="45"/>
  <c r="CC1159" i="45"/>
  <c r="CC1158" i="45"/>
  <c r="CC1157" i="45"/>
  <c r="CC1156" i="45"/>
  <c r="CC1155" i="45"/>
  <c r="CC1154" i="45"/>
  <c r="CC1153" i="45"/>
  <c r="CC1152" i="45"/>
  <c r="CC1151" i="45"/>
  <c r="CC1150" i="45"/>
  <c r="CC1149" i="45"/>
  <c r="CC1148" i="45"/>
  <c r="CC1147" i="45"/>
  <c r="CC1146" i="45"/>
  <c r="CC1145" i="45"/>
  <c r="CC1144" i="45"/>
  <c r="CC1143" i="45"/>
  <c r="CC1142" i="45"/>
  <c r="CC1141" i="45"/>
  <c r="CC1140" i="45"/>
  <c r="CC1139" i="45"/>
  <c r="CC1138" i="45"/>
  <c r="CC1137" i="45"/>
  <c r="CC1136" i="45"/>
  <c r="CC1135" i="45"/>
  <c r="CC1134" i="45"/>
  <c r="CC1133" i="45"/>
  <c r="CC1132" i="45"/>
  <c r="CC1131" i="45"/>
  <c r="CC1130" i="45"/>
  <c r="CC1129" i="45"/>
  <c r="CC1128" i="45"/>
  <c r="CC1127" i="45"/>
  <c r="CC1126" i="45"/>
  <c r="CC1125" i="45"/>
  <c r="CC1124" i="45"/>
  <c r="CC1123" i="45"/>
  <c r="CC1122" i="45"/>
  <c r="CC1121" i="45"/>
  <c r="CC1120" i="45"/>
  <c r="CC1119" i="45"/>
  <c r="CC1118" i="45"/>
  <c r="CC1117" i="45"/>
  <c r="CC1116" i="45"/>
  <c r="CC1115" i="45"/>
  <c r="CC1114" i="45"/>
  <c r="CC1113" i="45"/>
  <c r="CC1112" i="45"/>
  <c r="CC1111" i="45"/>
  <c r="CC1110" i="45"/>
  <c r="CC1109" i="45"/>
  <c r="CC1108" i="45"/>
  <c r="CC1107" i="45"/>
  <c r="CC1106" i="45"/>
  <c r="CC1105" i="45"/>
  <c r="CC1104" i="45"/>
  <c r="CC1103" i="45"/>
  <c r="CC1102" i="45"/>
  <c r="CC1101" i="45"/>
  <c r="CC1100" i="45"/>
  <c r="CC1099" i="45"/>
  <c r="CC1098" i="45"/>
  <c r="CC1097" i="45"/>
  <c r="CC1096" i="45"/>
  <c r="CC1095" i="45"/>
  <c r="CC1094" i="45"/>
  <c r="CC1093" i="45"/>
  <c r="CC1092" i="45"/>
  <c r="CC1091" i="45"/>
  <c r="CC1090" i="45"/>
  <c r="CC1089" i="45"/>
  <c r="CC1088" i="45"/>
  <c r="CC1087" i="45"/>
  <c r="CC1086" i="45"/>
  <c r="CC1085" i="45"/>
  <c r="CC1084" i="45"/>
  <c r="CC1083" i="45"/>
  <c r="CC1082" i="45"/>
  <c r="CC1081" i="45"/>
  <c r="CC1080" i="45"/>
  <c r="CC1079" i="45"/>
  <c r="CC1078" i="45"/>
  <c r="CC1077" i="45"/>
  <c r="CC1076" i="45"/>
  <c r="CC1075" i="45"/>
  <c r="CC1074" i="45"/>
  <c r="CC1073" i="45"/>
  <c r="CC1072" i="45"/>
  <c r="CC1071" i="45"/>
  <c r="CC1070" i="45"/>
  <c r="CC1069" i="45"/>
  <c r="CC1068" i="45"/>
  <c r="CC1067" i="45"/>
  <c r="CC1066" i="45"/>
  <c r="CC1065" i="45"/>
  <c r="CC1064" i="45"/>
  <c r="CC1063" i="45"/>
  <c r="CC1062" i="45"/>
  <c r="CC1061" i="45"/>
  <c r="CC1060" i="45"/>
  <c r="CC1059" i="45"/>
  <c r="CC1058" i="45"/>
  <c r="CC1057" i="45"/>
  <c r="CC1056" i="45"/>
  <c r="CC1055" i="45"/>
  <c r="CC1054" i="45"/>
  <c r="CC1053" i="45"/>
  <c r="CC1052" i="45"/>
  <c r="CC1051" i="45"/>
  <c r="CC1050" i="45"/>
  <c r="CC1049" i="45"/>
  <c r="CC1048" i="45"/>
  <c r="CC1047" i="45"/>
  <c r="CC1046" i="45"/>
  <c r="CC1045" i="45"/>
  <c r="CC1044" i="45"/>
  <c r="CC1043" i="45"/>
  <c r="CC1042" i="45"/>
  <c r="CC1041" i="45"/>
  <c r="CC1040" i="45"/>
  <c r="CC1039" i="45"/>
  <c r="CC1038" i="45"/>
  <c r="CC1037" i="45"/>
  <c r="CC1036" i="45"/>
  <c r="CC1035" i="45"/>
  <c r="CC1034" i="45"/>
  <c r="CC1033" i="45"/>
  <c r="CC1032" i="45"/>
  <c r="CC1031" i="45"/>
  <c r="CC1030" i="45"/>
  <c r="CC1029" i="45"/>
  <c r="CC1028" i="45"/>
  <c r="CC1027" i="45"/>
  <c r="CC1026" i="45"/>
  <c r="CC1025" i="45"/>
  <c r="CC1024" i="45"/>
  <c r="CC1023" i="45"/>
  <c r="CC1022" i="45"/>
  <c r="CC1021" i="45"/>
  <c r="CC1020" i="45"/>
  <c r="CC1019" i="45"/>
  <c r="CC1018" i="45"/>
  <c r="CC1017" i="45"/>
  <c r="CC1016" i="45"/>
  <c r="CC1015" i="45"/>
  <c r="CC1014" i="45"/>
  <c r="CC1013" i="45"/>
  <c r="CC1012" i="45"/>
  <c r="CC1011" i="45"/>
  <c r="CC1010" i="45"/>
  <c r="CC1009" i="45"/>
  <c r="CC1008" i="45"/>
  <c r="CC1007" i="45"/>
  <c r="CC1006" i="45"/>
  <c r="CC1005" i="45"/>
  <c r="CC1004" i="45"/>
  <c r="CC1003" i="45"/>
  <c r="CC1002" i="45"/>
  <c r="CC1001" i="45"/>
  <c r="CC1000" i="45"/>
  <c r="CC999" i="45"/>
  <c r="CC998" i="45"/>
  <c r="CC997" i="45"/>
  <c r="CC996" i="45"/>
  <c r="CC995" i="45"/>
  <c r="CC994" i="45"/>
  <c r="CC993" i="45"/>
  <c r="CC992" i="45"/>
  <c r="CC991" i="45"/>
  <c r="CC990" i="45"/>
  <c r="CC989" i="45"/>
  <c r="CC988" i="45"/>
  <c r="CC987" i="45"/>
  <c r="CC986" i="45"/>
  <c r="CC985" i="45"/>
  <c r="CC984" i="45"/>
  <c r="CC983" i="45"/>
  <c r="CC982" i="45"/>
  <c r="CC981" i="45"/>
  <c r="CC980" i="45"/>
  <c r="CC979" i="45"/>
  <c r="CC978" i="45"/>
  <c r="CC977" i="45"/>
  <c r="CC976" i="45"/>
  <c r="CC975" i="45"/>
  <c r="CC974" i="45"/>
  <c r="CC973" i="45"/>
  <c r="CC972" i="45"/>
  <c r="CC971" i="45"/>
  <c r="CC970" i="45"/>
  <c r="CC969" i="45"/>
  <c r="CC968" i="45"/>
  <c r="CC967" i="45"/>
  <c r="CC966" i="45"/>
  <c r="CC965" i="45"/>
  <c r="CC964" i="45"/>
  <c r="CC963" i="45"/>
  <c r="CC962" i="45"/>
  <c r="CC961" i="45"/>
  <c r="CC960" i="45"/>
  <c r="CC959" i="45"/>
  <c r="CC958" i="45"/>
  <c r="CC957" i="45"/>
  <c r="CC956" i="45"/>
  <c r="CC955" i="45"/>
  <c r="CC954" i="45"/>
  <c r="CC953" i="45"/>
  <c r="CC952" i="45"/>
  <c r="CC950" i="45"/>
  <c r="CC949" i="45"/>
  <c r="CC948" i="45"/>
  <c r="CC947" i="45"/>
  <c r="CC946" i="45"/>
  <c r="CC945" i="45"/>
  <c r="CC944" i="45"/>
  <c r="CC943" i="45"/>
  <c r="CC942" i="45"/>
  <c r="CC941" i="45"/>
  <c r="CC940" i="45"/>
  <c r="CC939" i="45"/>
  <c r="CC938" i="45"/>
  <c r="CC937" i="45"/>
  <c r="CC936" i="45"/>
  <c r="CC935" i="45"/>
  <c r="CC934" i="45"/>
  <c r="CC933" i="45"/>
  <c r="CC932" i="45"/>
  <c r="CC931" i="45"/>
  <c r="CC930" i="45"/>
  <c r="CC929" i="45"/>
  <c r="CC928" i="45"/>
  <c r="CC927" i="45"/>
  <c r="CC926" i="45"/>
  <c r="CC925" i="45"/>
  <c r="CC924" i="45"/>
  <c r="CC923" i="45"/>
  <c r="CC922" i="45"/>
  <c r="CC921" i="45"/>
  <c r="CC920" i="45"/>
  <c r="CC919" i="45"/>
  <c r="CC918" i="45"/>
  <c r="CC917" i="45"/>
  <c r="CC916" i="45"/>
  <c r="CC915" i="45"/>
  <c r="CC914" i="45"/>
  <c r="CC913" i="45"/>
  <c r="CC912" i="45"/>
  <c r="CC911" i="45"/>
  <c r="CC910" i="45"/>
  <c r="CC909" i="45"/>
  <c r="CC908" i="45"/>
  <c r="CC907" i="45"/>
  <c r="CC906" i="45"/>
  <c r="CC905" i="45"/>
  <c r="CC904" i="45"/>
  <c r="CC903" i="45"/>
  <c r="CC902" i="45"/>
  <c r="CC901" i="45"/>
  <c r="CC900" i="45"/>
  <c r="CC899" i="45"/>
  <c r="CC898" i="45"/>
  <c r="CC897" i="45"/>
  <c r="CC896" i="45"/>
  <c r="CC895" i="45"/>
  <c r="CC894" i="45"/>
  <c r="CC893" i="45"/>
  <c r="CC892" i="45"/>
  <c r="CC891" i="45"/>
  <c r="CC890" i="45"/>
  <c r="CC889" i="45"/>
  <c r="CC888" i="45"/>
  <c r="CC887" i="45"/>
  <c r="CC886" i="45"/>
  <c r="CC885" i="45"/>
  <c r="CC884" i="45"/>
  <c r="CC883" i="45"/>
  <c r="CC882" i="45"/>
  <c r="CC881" i="45"/>
  <c r="CC880" i="45"/>
  <c r="CC879" i="45"/>
  <c r="CC878" i="45"/>
  <c r="CC877" i="45"/>
  <c r="CC876" i="45"/>
  <c r="CC875" i="45"/>
  <c r="CC874" i="45"/>
  <c r="CC873" i="45"/>
  <c r="CC872" i="45"/>
  <c r="CC871" i="45"/>
  <c r="CC870" i="45"/>
  <c r="CC869" i="45"/>
  <c r="CC868" i="45"/>
  <c r="CC867" i="45"/>
  <c r="CC866" i="45"/>
  <c r="CC865" i="45"/>
  <c r="CC864" i="45"/>
  <c r="CC863" i="45"/>
  <c r="CC862" i="45"/>
  <c r="CC861" i="45"/>
  <c r="CC860" i="45"/>
  <c r="CC859" i="45"/>
  <c r="CC858" i="45"/>
  <c r="CC857" i="45"/>
  <c r="CC856" i="45"/>
  <c r="CC855" i="45"/>
  <c r="CC854" i="45"/>
  <c r="CC853" i="45"/>
  <c r="CC852" i="45"/>
  <c r="CC851" i="45"/>
  <c r="CC850" i="45"/>
  <c r="CC849" i="45"/>
  <c r="CC848" i="45"/>
  <c r="CC847" i="45"/>
  <c r="CC846" i="45"/>
  <c r="CC845" i="45"/>
  <c r="CC844" i="45"/>
  <c r="CC843" i="45"/>
  <c r="CC842" i="45"/>
  <c r="CC841" i="45"/>
  <c r="CC840" i="45"/>
  <c r="CC839" i="45"/>
  <c r="CC838" i="45"/>
  <c r="CC837" i="45"/>
  <c r="CC836" i="45"/>
  <c r="CC835" i="45"/>
  <c r="CC834" i="45"/>
  <c r="CC833" i="45"/>
  <c r="CC832" i="45"/>
  <c r="CC831" i="45"/>
  <c r="CC830" i="45"/>
  <c r="CC829" i="45"/>
  <c r="CC828" i="45"/>
  <c r="CC827" i="45"/>
  <c r="CC826" i="45"/>
  <c r="CC825" i="45"/>
  <c r="CC824" i="45"/>
  <c r="CC823" i="45"/>
  <c r="CC822" i="45"/>
  <c r="CC821" i="45"/>
  <c r="CC820" i="45"/>
  <c r="CC819" i="45"/>
  <c r="CC818" i="45"/>
  <c r="CC817" i="45"/>
  <c r="CC816" i="45"/>
  <c r="CC815" i="45"/>
  <c r="CC814" i="45"/>
  <c r="CC813" i="45"/>
  <c r="CC812" i="45"/>
  <c r="CC811" i="45"/>
  <c r="CC810" i="45"/>
  <c r="CC809" i="45"/>
  <c r="CC808" i="45"/>
  <c r="CC807" i="45"/>
  <c r="CC806" i="45"/>
  <c r="CC805" i="45"/>
  <c r="CC804" i="45"/>
  <c r="CC803" i="45"/>
  <c r="CC802" i="45"/>
  <c r="CC801" i="45"/>
  <c r="CC800" i="45"/>
  <c r="CC799" i="45"/>
  <c r="CC798" i="45"/>
  <c r="CC797" i="45"/>
  <c r="CC796" i="45"/>
  <c r="CC795" i="45"/>
  <c r="CC794" i="45"/>
  <c r="CC793" i="45"/>
  <c r="CC792" i="45"/>
  <c r="CC791" i="45"/>
  <c r="CC790" i="45"/>
  <c r="CC789" i="45"/>
  <c r="CC788" i="45"/>
  <c r="CC787" i="45"/>
  <c r="CC786" i="45"/>
  <c r="CC785" i="45"/>
  <c r="CC784" i="45"/>
  <c r="CC783" i="45"/>
  <c r="CC782" i="45"/>
  <c r="CC781" i="45"/>
  <c r="CC780" i="45"/>
  <c r="CC777" i="45"/>
  <c r="CC776" i="45"/>
  <c r="CC775" i="45"/>
  <c r="CC774" i="45"/>
  <c r="CC773" i="45"/>
  <c r="CC772" i="45"/>
  <c r="CC771" i="45"/>
  <c r="CC770" i="45"/>
  <c r="CC769" i="45"/>
  <c r="CC768" i="45"/>
  <c r="CC767" i="45"/>
  <c r="CC766" i="45"/>
  <c r="CC765" i="45"/>
  <c r="CC764" i="45"/>
  <c r="CC763" i="45"/>
  <c r="CC762" i="45"/>
  <c r="CC761" i="45"/>
  <c r="CC760" i="45"/>
  <c r="CC759" i="45"/>
  <c r="CC758" i="45"/>
  <c r="CC757" i="45"/>
  <c r="CC756" i="45"/>
  <c r="CC755" i="45"/>
  <c r="CC754" i="45"/>
  <c r="CC753" i="45"/>
  <c r="CC752" i="45"/>
  <c r="CC751" i="45"/>
  <c r="CC750" i="45"/>
  <c r="CC749" i="45"/>
  <c r="CC748" i="45"/>
  <c r="CC747" i="45"/>
  <c r="CC746" i="45"/>
  <c r="CC745" i="45"/>
  <c r="CC744" i="45"/>
  <c r="CC743" i="45"/>
  <c r="CC742" i="45"/>
  <c r="CC741" i="45"/>
  <c r="CC740" i="45"/>
  <c r="CC739" i="45"/>
  <c r="CC738" i="45"/>
  <c r="CC737" i="45"/>
  <c r="CC736" i="45"/>
  <c r="CC735" i="45"/>
  <c r="CC734" i="45"/>
  <c r="CC733" i="45"/>
  <c r="CC732" i="45"/>
  <c r="CC731" i="45"/>
  <c r="CC730" i="45"/>
  <c r="CC729" i="45"/>
  <c r="CC728" i="45"/>
  <c r="CC727" i="45"/>
  <c r="CC726" i="45"/>
  <c r="CC725" i="45"/>
  <c r="CC724" i="45"/>
  <c r="CC723" i="45"/>
  <c r="CC722" i="45"/>
  <c r="CC721" i="45"/>
  <c r="CC720" i="45"/>
  <c r="CC719" i="45"/>
  <c r="CC718" i="45"/>
  <c r="CC717" i="45"/>
  <c r="CC716" i="45"/>
  <c r="CC715" i="45"/>
  <c r="CC714" i="45"/>
  <c r="CC713" i="45"/>
  <c r="CC712" i="45"/>
  <c r="CC711" i="45"/>
  <c r="CC710" i="45"/>
  <c r="CC709" i="45"/>
  <c r="CC708" i="45"/>
  <c r="CC707" i="45"/>
  <c r="CC706" i="45"/>
  <c r="CC705" i="45"/>
  <c r="CC704" i="45"/>
  <c r="CC703" i="45"/>
  <c r="CC702" i="45"/>
  <c r="CC701" i="45"/>
  <c r="CC700" i="45"/>
  <c r="CC699" i="45"/>
  <c r="CC698" i="45"/>
  <c r="CC697" i="45"/>
  <c r="CC696" i="45"/>
  <c r="CC695" i="45"/>
  <c r="CC694" i="45"/>
  <c r="CC693" i="45"/>
  <c r="CC692" i="45"/>
  <c r="CC691" i="45"/>
  <c r="CC690" i="45"/>
  <c r="CC689" i="45"/>
  <c r="CC688" i="45"/>
  <c r="CC687" i="45"/>
  <c r="CC686" i="45"/>
  <c r="CC685" i="45"/>
  <c r="CC684" i="45"/>
  <c r="CC683" i="45"/>
  <c r="CC682" i="45"/>
  <c r="CC681" i="45"/>
  <c r="CC680" i="45"/>
  <c r="CC679" i="45"/>
  <c r="CC678" i="45"/>
  <c r="CC677" i="45"/>
  <c r="CC676" i="45"/>
  <c r="CC675" i="45"/>
  <c r="CC674" i="45"/>
  <c r="CC673" i="45"/>
  <c r="CC672" i="45"/>
  <c r="CC671" i="45"/>
  <c r="CC670" i="45"/>
  <c r="CC669" i="45"/>
  <c r="CC668" i="45"/>
  <c r="CC667" i="45"/>
  <c r="CC666" i="45"/>
  <c r="CC665" i="45"/>
  <c r="CC664" i="45"/>
  <c r="CC663" i="45"/>
  <c r="CC662" i="45"/>
  <c r="CC661" i="45"/>
  <c r="CC660" i="45"/>
  <c r="CC659" i="45"/>
  <c r="CC658" i="45"/>
  <c r="CC657" i="45"/>
  <c r="CC656" i="45"/>
  <c r="CC655" i="45"/>
  <c r="CC654" i="45"/>
  <c r="CC653" i="45"/>
  <c r="CC652" i="45"/>
  <c r="CC651" i="45"/>
  <c r="CC650" i="45"/>
  <c r="CC649" i="45"/>
  <c r="CC648" i="45"/>
  <c r="CC647" i="45"/>
  <c r="CC646" i="45"/>
  <c r="CC645" i="45"/>
  <c r="CC644" i="45"/>
  <c r="CC643" i="45"/>
  <c r="CC642" i="45"/>
  <c r="CC641" i="45"/>
  <c r="CC640" i="45"/>
  <c r="CC639" i="45"/>
  <c r="CC638" i="45"/>
  <c r="CC637" i="45"/>
  <c r="CC636" i="45"/>
  <c r="CC635" i="45"/>
  <c r="CC634" i="45"/>
  <c r="CC633" i="45"/>
  <c r="CC632" i="45"/>
  <c r="CC631" i="45"/>
  <c r="CC630" i="45"/>
  <c r="CC629" i="45"/>
  <c r="CC628" i="45"/>
  <c r="CC627" i="45"/>
  <c r="CC626" i="45"/>
  <c r="CC625" i="45"/>
  <c r="CC624" i="45"/>
  <c r="CC623" i="45"/>
  <c r="CC622" i="45"/>
  <c r="CC621" i="45"/>
  <c r="CC620" i="45"/>
  <c r="CC619" i="45"/>
  <c r="CC618" i="45"/>
  <c r="CC617" i="45"/>
  <c r="CC616" i="45"/>
  <c r="CC615" i="45"/>
  <c r="CC614" i="45"/>
  <c r="CC613" i="45"/>
  <c r="CC612" i="45"/>
  <c r="CC611" i="45"/>
  <c r="CC610" i="45"/>
  <c r="CC609" i="45"/>
  <c r="CC608" i="45"/>
  <c r="CC607" i="45"/>
  <c r="CC606" i="45"/>
  <c r="CC605" i="45"/>
  <c r="CC604" i="45"/>
  <c r="CC603" i="45"/>
  <c r="CC602" i="45"/>
  <c r="CC601" i="45"/>
  <c r="CC600" i="45"/>
  <c r="CC599" i="45"/>
  <c r="CC598" i="45"/>
  <c r="CC597" i="45"/>
  <c r="CC596" i="45"/>
  <c r="CC595" i="45"/>
  <c r="CC594" i="45"/>
  <c r="CC593" i="45"/>
  <c r="CC592" i="45"/>
  <c r="CC591" i="45"/>
  <c r="CC590" i="45"/>
  <c r="CC589" i="45"/>
  <c r="CC588" i="45"/>
  <c r="CC587" i="45"/>
  <c r="CC586" i="45"/>
  <c r="CC585" i="45"/>
  <c r="CC584" i="45"/>
  <c r="CC583" i="45"/>
  <c r="CC582" i="45"/>
  <c r="CC581" i="45"/>
  <c r="CC580" i="45"/>
  <c r="CC579" i="45"/>
  <c r="CC578" i="45"/>
  <c r="CC577" i="45"/>
  <c r="CC576" i="45"/>
  <c r="CC575" i="45"/>
  <c r="CC574" i="45"/>
  <c r="CC573" i="45"/>
  <c r="CC572" i="45"/>
  <c r="CC571" i="45"/>
  <c r="CC570" i="45"/>
  <c r="CC569" i="45"/>
  <c r="CC568" i="45"/>
  <c r="CC567" i="45"/>
  <c r="CC566" i="45"/>
  <c r="CC565" i="45"/>
  <c r="CC564" i="45"/>
  <c r="CC563" i="45"/>
  <c r="CC562" i="45"/>
  <c r="CC561" i="45"/>
  <c r="CC560" i="45"/>
  <c r="CC559" i="45"/>
  <c r="CC558" i="45"/>
  <c r="CC557" i="45"/>
  <c r="CC556" i="45"/>
  <c r="CC555" i="45"/>
  <c r="CC554" i="45"/>
  <c r="CC553" i="45"/>
  <c r="CC552" i="45"/>
  <c r="CC551" i="45"/>
  <c r="CC550" i="45"/>
  <c r="CC549" i="45"/>
  <c r="CC548" i="45"/>
  <c r="CC547" i="45"/>
  <c r="CC546" i="45"/>
  <c r="CC545" i="45"/>
  <c r="CC544" i="45"/>
  <c r="CC543" i="45"/>
  <c r="CC542" i="45"/>
  <c r="CC541" i="45"/>
  <c r="CC540" i="45"/>
  <c r="CC539" i="45"/>
  <c r="CC538" i="45"/>
  <c r="CC537" i="45"/>
  <c r="CC536" i="45"/>
  <c r="CC535" i="45"/>
  <c r="CC534" i="45"/>
  <c r="CC533" i="45"/>
  <c r="CC532" i="45"/>
  <c r="CC531" i="45"/>
  <c r="CC530" i="45"/>
  <c r="CC529" i="45"/>
  <c r="CC528" i="45"/>
  <c r="CC527" i="45"/>
  <c r="CC526" i="45"/>
  <c r="CC525" i="45"/>
  <c r="CC524" i="45"/>
  <c r="CC523" i="45"/>
  <c r="CC522" i="45"/>
  <c r="CC521" i="45"/>
  <c r="CC520" i="45"/>
  <c r="CC519" i="45"/>
  <c r="CC518" i="45"/>
  <c r="CC517" i="45"/>
  <c r="CC516" i="45"/>
  <c r="CC515" i="45"/>
  <c r="CC514" i="45"/>
  <c r="CC513" i="45"/>
  <c r="CC512" i="45"/>
  <c r="CC511" i="45"/>
  <c r="CC510" i="45"/>
  <c r="CC509" i="45"/>
  <c r="CC508" i="45"/>
  <c r="CC507" i="45"/>
  <c r="CC506" i="45"/>
  <c r="CC505" i="45"/>
  <c r="CC504" i="45"/>
  <c r="CC503" i="45"/>
  <c r="CC502" i="45"/>
  <c r="CC501" i="45"/>
  <c r="CC500" i="45"/>
  <c r="CC499" i="45"/>
  <c r="CC498" i="45"/>
  <c r="CC497" i="45"/>
  <c r="CC496" i="45"/>
  <c r="CC495" i="45"/>
  <c r="CC494" i="45"/>
  <c r="CC493" i="45"/>
  <c r="CC492" i="45"/>
  <c r="CC491" i="45"/>
  <c r="CC490" i="45"/>
  <c r="CC489" i="45"/>
  <c r="CC488" i="45"/>
  <c r="CC487" i="45"/>
  <c r="CC486" i="45"/>
  <c r="CC485" i="45"/>
  <c r="CC484" i="45"/>
  <c r="CC483" i="45"/>
  <c r="CC482" i="45"/>
  <c r="CC481" i="45"/>
  <c r="CC480" i="45"/>
  <c r="CC479" i="45"/>
  <c r="CC478" i="45"/>
  <c r="CC477" i="45"/>
  <c r="CC476" i="45"/>
  <c r="CC475" i="45"/>
  <c r="CC474" i="45"/>
  <c r="CC473" i="45"/>
  <c r="CC472" i="45"/>
  <c r="CC471" i="45"/>
  <c r="CC470" i="45"/>
  <c r="CC469" i="45"/>
  <c r="CC468" i="45"/>
  <c r="CC467" i="45"/>
  <c r="CC466" i="45"/>
  <c r="CC465" i="45"/>
  <c r="CC464" i="45"/>
  <c r="CC463" i="45"/>
  <c r="CC462" i="45"/>
  <c r="CC461" i="45"/>
  <c r="CC460" i="45"/>
  <c r="CC459" i="45"/>
  <c r="CC458" i="45"/>
  <c r="CC457" i="45"/>
  <c r="CC456" i="45"/>
  <c r="CC455" i="45"/>
  <c r="CC454" i="45"/>
  <c r="CC453" i="45"/>
  <c r="CC452" i="45"/>
  <c r="CC451" i="45"/>
  <c r="CC450" i="45"/>
  <c r="CC449" i="45"/>
  <c r="CC448" i="45"/>
  <c r="CC447" i="45"/>
  <c r="CC446" i="45"/>
  <c r="CC445" i="45"/>
  <c r="CC444" i="45"/>
  <c r="CC443" i="45"/>
  <c r="CC442" i="45"/>
  <c r="CC441" i="45"/>
  <c r="CC440" i="45"/>
  <c r="CC439" i="45"/>
  <c r="CC438" i="45"/>
  <c r="CC437" i="45"/>
  <c r="CC436" i="45"/>
  <c r="CC435" i="45"/>
  <c r="CC434" i="45"/>
  <c r="CC433" i="45"/>
  <c r="CC432" i="45"/>
  <c r="CC431" i="45"/>
  <c r="CC430" i="45"/>
  <c r="CC429" i="45"/>
  <c r="CC428" i="45"/>
  <c r="CC427" i="45"/>
  <c r="CC426" i="45"/>
  <c r="CC425" i="45"/>
  <c r="CC424" i="45"/>
  <c r="CC423" i="45"/>
  <c r="CC422" i="45"/>
  <c r="CC421" i="45"/>
  <c r="CC420" i="45"/>
  <c r="CC419" i="45"/>
  <c r="CC418" i="45"/>
  <c r="CC417" i="45"/>
  <c r="CC416" i="45"/>
  <c r="CC415" i="45"/>
  <c r="CC414" i="45"/>
  <c r="CC413" i="45"/>
  <c r="CC412" i="45"/>
  <c r="CC411" i="45"/>
  <c r="CC410" i="45"/>
  <c r="CC409" i="45"/>
  <c r="CC408" i="45"/>
  <c r="CC407" i="45"/>
  <c r="CC406" i="45"/>
  <c r="CC405" i="45"/>
  <c r="CC404" i="45"/>
  <c r="CC403" i="45"/>
  <c r="CC402" i="45"/>
  <c r="CC401" i="45"/>
  <c r="CC400" i="45"/>
  <c r="CC399" i="45"/>
  <c r="CC398" i="45"/>
  <c r="CC397" i="45"/>
  <c r="CC396" i="45"/>
  <c r="CC395" i="45"/>
  <c r="CC394" i="45"/>
  <c r="CC393" i="45"/>
  <c r="CC392" i="45"/>
  <c r="CC391" i="45"/>
  <c r="CC390" i="45"/>
  <c r="CC389" i="45"/>
  <c r="CC388" i="45"/>
  <c r="CC387" i="45"/>
  <c r="CC386" i="45"/>
  <c r="CC385" i="45"/>
  <c r="CC384" i="45"/>
  <c r="CC383" i="45"/>
  <c r="CC382" i="45"/>
  <c r="CC381" i="45"/>
  <c r="CC380" i="45"/>
  <c r="CC379" i="45"/>
  <c r="CC378" i="45"/>
  <c r="CC377" i="45"/>
  <c r="CC376" i="45"/>
  <c r="CC375" i="45"/>
  <c r="CC374" i="45"/>
  <c r="CC373" i="45"/>
  <c r="CC372" i="45"/>
  <c r="CC371" i="45"/>
  <c r="CC370" i="45"/>
  <c r="CC369" i="45"/>
  <c r="CC368" i="45"/>
  <c r="CC367" i="45"/>
  <c r="CC366" i="45"/>
  <c r="CC365" i="45"/>
  <c r="CC364" i="45"/>
  <c r="CC363" i="45"/>
  <c r="CC362" i="45"/>
  <c r="CC361" i="45"/>
  <c r="CC360" i="45"/>
  <c r="CC359" i="45"/>
  <c r="CC358" i="45"/>
  <c r="CC357" i="45"/>
  <c r="CC356" i="45"/>
  <c r="CC355" i="45"/>
  <c r="CC354" i="45"/>
  <c r="CC353" i="45"/>
  <c r="CC352" i="45"/>
  <c r="CC351" i="45"/>
  <c r="CC350" i="45"/>
  <c r="CC349" i="45"/>
  <c r="CC348" i="45"/>
  <c r="CC347" i="45"/>
  <c r="CC346" i="45"/>
  <c r="CC345" i="45"/>
  <c r="CC344" i="45"/>
  <c r="CC343" i="45"/>
  <c r="CC342" i="45"/>
  <c r="CC341" i="45"/>
  <c r="CC340" i="45"/>
  <c r="CC339" i="45"/>
  <c r="CC338" i="45"/>
  <c r="CC337" i="45"/>
  <c r="CC336" i="45"/>
  <c r="CC335" i="45"/>
  <c r="CC334" i="45"/>
  <c r="CC333" i="45"/>
  <c r="CC332" i="45"/>
  <c r="CC331" i="45"/>
  <c r="CC330" i="45"/>
  <c r="CC329" i="45"/>
  <c r="CC328" i="45"/>
  <c r="CC327" i="45"/>
  <c r="CC326" i="45"/>
  <c r="CC325" i="45"/>
  <c r="CC324" i="45"/>
  <c r="CC323" i="45"/>
  <c r="CC322" i="45"/>
  <c r="CC321" i="45"/>
  <c r="CC320" i="45"/>
  <c r="CC319" i="45"/>
  <c r="CC318" i="45"/>
  <c r="CC317" i="45"/>
  <c r="CC316" i="45"/>
  <c r="CC315" i="45"/>
  <c r="CC314" i="45"/>
  <c r="CC313" i="45"/>
  <c r="CC312" i="45"/>
  <c r="CC311" i="45"/>
  <c r="CC310" i="45"/>
  <c r="CC309" i="45"/>
  <c r="CC308" i="45"/>
  <c r="CC307" i="45"/>
  <c r="CC306" i="45"/>
  <c r="CC305" i="45"/>
  <c r="CC304" i="45"/>
  <c r="CC303" i="45"/>
  <c r="CC302" i="45"/>
  <c r="CC301" i="45"/>
  <c r="CC300" i="45"/>
  <c r="CC299" i="45"/>
  <c r="CC298" i="45"/>
  <c r="CC297" i="45"/>
  <c r="CC296" i="45"/>
  <c r="CC295" i="45"/>
  <c r="CC294" i="45"/>
  <c r="CC293" i="45"/>
  <c r="CC292" i="45"/>
  <c r="CC291" i="45"/>
  <c r="CC290" i="45"/>
  <c r="CC289" i="45"/>
  <c r="CC288" i="45"/>
  <c r="CC287" i="45"/>
  <c r="CC286" i="45"/>
  <c r="CC285" i="45"/>
  <c r="CC284" i="45"/>
  <c r="CC283" i="45"/>
  <c r="CC282" i="45"/>
  <c r="CC281" i="45"/>
  <c r="CC280" i="45"/>
  <c r="CC279" i="45"/>
  <c r="CC278" i="45"/>
  <c r="CC277" i="45"/>
  <c r="CC276" i="45"/>
  <c r="CC275" i="45"/>
  <c r="CC274" i="45"/>
  <c r="CC273" i="45"/>
  <c r="CC272" i="45"/>
  <c r="CC271" i="45"/>
  <c r="CC270" i="45"/>
  <c r="CC269" i="45"/>
  <c r="CC268" i="45"/>
  <c r="CC267" i="45"/>
  <c r="CC266" i="45"/>
  <c r="CC265" i="45"/>
  <c r="CC264" i="45"/>
  <c r="CC263" i="45"/>
  <c r="CC262" i="45"/>
  <c r="CC261" i="45"/>
  <c r="CC260" i="45"/>
  <c r="CC259" i="45"/>
  <c r="CC258" i="45"/>
  <c r="CC257" i="45"/>
  <c r="CC256" i="45"/>
  <c r="CC255" i="45"/>
  <c r="CC254" i="45"/>
  <c r="CC253" i="45"/>
  <c r="CC252" i="45"/>
  <c r="CC251" i="45"/>
  <c r="CC250" i="45"/>
  <c r="CC249" i="45"/>
  <c r="CC248" i="45"/>
  <c r="CC247" i="45"/>
  <c r="CC246" i="45"/>
  <c r="CC245" i="45"/>
  <c r="CC244" i="45"/>
  <c r="CC243" i="45"/>
  <c r="CC242" i="45"/>
  <c r="CC241" i="45"/>
  <c r="CC240" i="45"/>
  <c r="CC239" i="45"/>
  <c r="CC238" i="45"/>
  <c r="CC237" i="45"/>
  <c r="CC236" i="45"/>
  <c r="CC235" i="45"/>
  <c r="CC234" i="45"/>
  <c r="CC233" i="45"/>
  <c r="CC232" i="45"/>
  <c r="CC231" i="45"/>
  <c r="CC230" i="45"/>
  <c r="CC229" i="45"/>
  <c r="CC228" i="45"/>
  <c r="CC227" i="45"/>
  <c r="CC226" i="45"/>
  <c r="CC225" i="45"/>
  <c r="CC224" i="45"/>
  <c r="CC223" i="45"/>
  <c r="CC222" i="45"/>
  <c r="CC221" i="45"/>
  <c r="CC220" i="45"/>
  <c r="CC219" i="45"/>
  <c r="CC218" i="45"/>
  <c r="CC217" i="45"/>
  <c r="CC216" i="45"/>
  <c r="CC215" i="45"/>
  <c r="CC214" i="45"/>
  <c r="CC213" i="45"/>
  <c r="CC212" i="45"/>
  <c r="CC211" i="45"/>
  <c r="CC210" i="45"/>
  <c r="CC209" i="45"/>
  <c r="CC208" i="45"/>
  <c r="CC207" i="45"/>
  <c r="CC206" i="45"/>
  <c r="CC205" i="45"/>
  <c r="CC204" i="45"/>
  <c r="CC203" i="45"/>
  <c r="CC202" i="45"/>
  <c r="CC201" i="45"/>
  <c r="CC200" i="45"/>
  <c r="CC199" i="45"/>
  <c r="CC198" i="45"/>
  <c r="CC197" i="45"/>
  <c r="CC196" i="45"/>
  <c r="CC195" i="45"/>
  <c r="CC194" i="45"/>
  <c r="CC193" i="45"/>
  <c r="CC192" i="45"/>
  <c r="CC191" i="45"/>
  <c r="CC190" i="45"/>
  <c r="CC189" i="45"/>
  <c r="CC188" i="45"/>
  <c r="CC187" i="45"/>
  <c r="CC186" i="45"/>
  <c r="CC185" i="45"/>
  <c r="CC184" i="45"/>
  <c r="CC183" i="45"/>
  <c r="CC182" i="45"/>
  <c r="CC181" i="45"/>
  <c r="CC180" i="45"/>
  <c r="CC179" i="45"/>
  <c r="CC178" i="45"/>
  <c r="CC177" i="45"/>
  <c r="CC176" i="45"/>
  <c r="CC175" i="45"/>
  <c r="CC174" i="45"/>
  <c r="CC173" i="45"/>
  <c r="CC172" i="45"/>
  <c r="CC171" i="45"/>
  <c r="CC170" i="45"/>
  <c r="CC169" i="45"/>
  <c r="CC168" i="45"/>
  <c r="CC167" i="45"/>
  <c r="CC166" i="45"/>
  <c r="CC165" i="45"/>
  <c r="CC164" i="45"/>
  <c r="CC163" i="45"/>
  <c r="CC162" i="45"/>
  <c r="CC161" i="45"/>
  <c r="CC160" i="45"/>
  <c r="CC159" i="45"/>
  <c r="CC158" i="45"/>
  <c r="CC157" i="45"/>
  <c r="CC156" i="45"/>
  <c r="CC155" i="45"/>
  <c r="CC154" i="45"/>
  <c r="CC153" i="45"/>
  <c r="CC152" i="45"/>
  <c r="CC151" i="45"/>
  <c r="CC150" i="45"/>
  <c r="CC149" i="45"/>
  <c r="CC148" i="45"/>
  <c r="CC147" i="45"/>
  <c r="CC146" i="45"/>
  <c r="CC145" i="45"/>
  <c r="CC144" i="45"/>
  <c r="CC143" i="45"/>
  <c r="CC142" i="45"/>
  <c r="CC141" i="45"/>
  <c r="CC140" i="45"/>
  <c r="CC139" i="45"/>
  <c r="CC138" i="45"/>
  <c r="CC137" i="45"/>
  <c r="CC136" i="45"/>
  <c r="CC135" i="45"/>
  <c r="CC134" i="45"/>
  <c r="CC133" i="45"/>
  <c r="CC132" i="45"/>
  <c r="CC131" i="45"/>
  <c r="CC130" i="45"/>
  <c r="CC129" i="45"/>
  <c r="CC128" i="45"/>
  <c r="CC127" i="45"/>
  <c r="CC126" i="45"/>
  <c r="CC125" i="45"/>
  <c r="CC124" i="45"/>
  <c r="CC123" i="45"/>
  <c r="CC122" i="45"/>
  <c r="CC121" i="45"/>
  <c r="CC120" i="45"/>
  <c r="CC119" i="45"/>
  <c r="CC118" i="45"/>
  <c r="CC117" i="45"/>
  <c r="CC116" i="45"/>
  <c r="CC115" i="45"/>
  <c r="CC114" i="45"/>
  <c r="CC113" i="45"/>
  <c r="CC112" i="45"/>
  <c r="CC111" i="45"/>
  <c r="CC110" i="45"/>
  <c r="CC109" i="45"/>
  <c r="CC108" i="45"/>
  <c r="CC107" i="45"/>
  <c r="CC106" i="45"/>
  <c r="CC105" i="45"/>
  <c r="CC104" i="45"/>
  <c r="CC103" i="45"/>
  <c r="CC102" i="45"/>
  <c r="CC101" i="45"/>
  <c r="CC100" i="45"/>
  <c r="CC99" i="45"/>
  <c r="CC98" i="45"/>
  <c r="CC97" i="45"/>
  <c r="CC96" i="45"/>
  <c r="CC95" i="45"/>
  <c r="CC94" i="45"/>
  <c r="CC93" i="45"/>
  <c r="CC92" i="45"/>
  <c r="CC91" i="45"/>
  <c r="CC90" i="45"/>
  <c r="CC89" i="45"/>
  <c r="CC88" i="45"/>
  <c r="CC87" i="45"/>
  <c r="CC86" i="45"/>
  <c r="CC85" i="45"/>
  <c r="CC84" i="45"/>
  <c r="CC83" i="45"/>
  <c r="CC82" i="45"/>
  <c r="CC81" i="45"/>
  <c r="CC80" i="45"/>
  <c r="CC79" i="45"/>
  <c r="CC78" i="45"/>
  <c r="CC77" i="45"/>
  <c r="CC76" i="45"/>
  <c r="CC75" i="45"/>
  <c r="CC74" i="45"/>
  <c r="CC73" i="45"/>
  <c r="CC72" i="45"/>
  <c r="CC71" i="45"/>
  <c r="CC70" i="45"/>
  <c r="CC69" i="45"/>
  <c r="CC68" i="45"/>
  <c r="CC67" i="45"/>
  <c r="CC66" i="45"/>
  <c r="CC65" i="45"/>
  <c r="CC64" i="45"/>
  <c r="CC63" i="45"/>
  <c r="CC62" i="45"/>
  <c r="CC61" i="45"/>
  <c r="CC60" i="45"/>
  <c r="CC59" i="45"/>
  <c r="CC58" i="45"/>
  <c r="CC57" i="45"/>
  <c r="CC56" i="45"/>
  <c r="CC55" i="45"/>
  <c r="CC54" i="45"/>
  <c r="CC53" i="45"/>
  <c r="CC52" i="45"/>
  <c r="CC51" i="45"/>
  <c r="CC50" i="45"/>
  <c r="CC49" i="45"/>
  <c r="CC48" i="45"/>
  <c r="CC47" i="45"/>
  <c r="CC46" i="45"/>
  <c r="CC45" i="45"/>
  <c r="CC44" i="45"/>
  <c r="CC43" i="45"/>
  <c r="CC42" i="45"/>
  <c r="CC41" i="45"/>
  <c r="CC40" i="45"/>
  <c r="CC39" i="45"/>
  <c r="CC38" i="45"/>
  <c r="CC37" i="45"/>
  <c r="CC36" i="45"/>
  <c r="CC35" i="45"/>
  <c r="CC34" i="45"/>
  <c r="CC33" i="45"/>
  <c r="CC32" i="45"/>
  <c r="CC31" i="45"/>
  <c r="CC30" i="45"/>
  <c r="CC29" i="45"/>
  <c r="CC28" i="45"/>
  <c r="CC27" i="45"/>
  <c r="CC26" i="45"/>
  <c r="CC25" i="45"/>
  <c r="CC24" i="45"/>
  <c r="CC23" i="45"/>
  <c r="CC22" i="45"/>
  <c r="CC21" i="45"/>
  <c r="CC20" i="45"/>
  <c r="CC19" i="45"/>
  <c r="CC18" i="45"/>
  <c r="CC17" i="45"/>
  <c r="CC16" i="45"/>
  <c r="CC15" i="45"/>
  <c r="CC14" i="45"/>
  <c r="CC13" i="45"/>
  <c r="CC12" i="45"/>
  <c r="CC11" i="45"/>
  <c r="CC10" i="45"/>
  <c r="CC9" i="45"/>
  <c r="CC8" i="45"/>
  <c r="CC7" i="45"/>
  <c r="CC6" i="45"/>
  <c r="CC5" i="45"/>
  <c r="CC4" i="45"/>
  <c r="CC3" i="45"/>
  <c r="CC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CE2" i="45"/>
  <c r="AZ2" i="45"/>
  <c r="A2" i="45" s="1"/>
  <c r="AV2" i="45"/>
  <c r="AA2" i="45"/>
  <c r="R2" i="45"/>
  <c r="K2" i="45"/>
  <c r="CE3" i="45"/>
  <c r="AZ3" i="45"/>
  <c r="A3" i="45" s="1"/>
  <c r="AV3" i="45"/>
  <c r="AA3" i="45"/>
  <c r="R3" i="45"/>
  <c r="CE4" i="45"/>
  <c r="AZ4" i="45"/>
  <c r="AV4" i="45"/>
  <c r="AA4" i="45"/>
  <c r="R4" i="45"/>
  <c r="A4" i="45"/>
  <c r="CE5" i="45"/>
  <c r="AZ5" i="45"/>
  <c r="A5" i="45" s="1"/>
  <c r="AV5" i="45"/>
  <c r="AA5" i="45"/>
  <c r="R5" i="45"/>
  <c r="CE6" i="45"/>
  <c r="AZ6" i="45"/>
  <c r="A6" i="45" s="1"/>
  <c r="AV6" i="45"/>
  <c r="AA6" i="45"/>
  <c r="R6" i="45"/>
  <c r="CE7" i="45"/>
  <c r="AZ7" i="45"/>
  <c r="A7" i="45" s="1"/>
  <c r="AV7" i="45"/>
  <c r="AA7" i="45"/>
  <c r="R7" i="45"/>
  <c r="CE8" i="45"/>
  <c r="AZ8" i="45"/>
  <c r="A8" i="45" s="1"/>
  <c r="AV8" i="45"/>
  <c r="AA8" i="45"/>
  <c r="R8" i="45"/>
  <c r="CE9" i="45"/>
  <c r="AZ9" i="45"/>
  <c r="A9" i="45" s="1"/>
  <c r="AV9" i="45"/>
  <c r="AA9" i="45"/>
  <c r="R9" i="45"/>
  <c r="CE10" i="45"/>
  <c r="AZ10" i="45"/>
  <c r="A10" i="45" s="1"/>
  <c r="AV10" i="45"/>
  <c r="AA10" i="45"/>
  <c r="R10" i="45"/>
  <c r="CE11" i="45"/>
  <c r="AZ11" i="45"/>
  <c r="A11" i="45" s="1"/>
  <c r="AV11" i="45"/>
  <c r="AA11" i="45"/>
  <c r="R11" i="45"/>
  <c r="CE12" i="45"/>
  <c r="AZ12" i="45"/>
  <c r="AV12" i="45"/>
  <c r="AA12" i="45"/>
  <c r="R12" i="45"/>
  <c r="A12" i="45"/>
  <c r="CE13" i="45"/>
  <c r="AV13" i="45"/>
  <c r="AA13" i="45"/>
  <c r="R13" i="45"/>
  <c r="A13" i="45"/>
  <c r="CE14" i="45"/>
  <c r="AZ14" i="45"/>
  <c r="A14" i="45" s="1"/>
  <c r="AV14" i="45"/>
  <c r="AA14" i="45"/>
  <c r="R14" i="45"/>
  <c r="CE15" i="45"/>
  <c r="AZ15" i="45"/>
  <c r="A15" i="45" s="1"/>
  <c r="AV15" i="45"/>
  <c r="AA15" i="45"/>
  <c r="R15" i="45"/>
  <c r="CE16" i="45"/>
  <c r="AZ16" i="45"/>
  <c r="A16" i="45" s="1"/>
  <c r="AV16" i="45"/>
  <c r="AA16" i="45"/>
  <c r="R16" i="45"/>
  <c r="CE17" i="45"/>
  <c r="AZ17" i="45"/>
  <c r="A17" i="45" s="1"/>
  <c r="AV17" i="45"/>
  <c r="AA17" i="45"/>
  <c r="R17" i="45"/>
  <c r="CE18" i="45"/>
  <c r="AZ18" i="45"/>
  <c r="A18" i="45" s="1"/>
  <c r="AV18" i="45"/>
  <c r="AA18" i="45"/>
  <c r="R18" i="45"/>
  <c r="CE19" i="45"/>
  <c r="AV19" i="45"/>
  <c r="AA19" i="45"/>
  <c r="R19" i="45"/>
  <c r="A19" i="45"/>
  <c r="CE20" i="45"/>
  <c r="AZ20" i="45"/>
  <c r="A20" i="45" s="1"/>
  <c r="AV20" i="45"/>
  <c r="AA20" i="45"/>
  <c r="R20" i="45"/>
  <c r="CE21" i="45"/>
  <c r="AZ21" i="45"/>
  <c r="A21" i="45" s="1"/>
  <c r="AV21" i="45"/>
  <c r="AA21" i="45"/>
  <c r="R21" i="45"/>
  <c r="CE22" i="45"/>
  <c r="AZ22" i="45"/>
  <c r="A22" i="45" s="1"/>
  <c r="AV22" i="45"/>
  <c r="AA22" i="45"/>
  <c r="R22" i="45"/>
  <c r="CE23" i="45"/>
  <c r="AV23" i="45"/>
  <c r="AA23" i="45"/>
  <c r="R23" i="45"/>
  <c r="A23" i="45"/>
  <c r="CE24" i="45"/>
  <c r="AZ24" i="45"/>
  <c r="A24" i="45" s="1"/>
  <c r="AV24" i="45"/>
  <c r="AA24" i="45"/>
  <c r="R24" i="45"/>
  <c r="CE25" i="45"/>
  <c r="AZ25" i="45"/>
  <c r="A25" i="45" s="1"/>
  <c r="AV25" i="45"/>
  <c r="AA25" i="45"/>
  <c r="R25" i="45"/>
  <c r="CE26" i="45"/>
  <c r="AZ26" i="45"/>
  <c r="A26" i="45" s="1"/>
  <c r="AV26" i="45"/>
  <c r="AA26" i="45"/>
  <c r="R26" i="45"/>
  <c r="CE27" i="45"/>
  <c r="AZ27" i="45"/>
  <c r="A27" i="45" s="1"/>
  <c r="AV27" i="45"/>
  <c r="AA27" i="45"/>
  <c r="R27" i="45"/>
  <c r="CE28" i="45"/>
  <c r="AZ28" i="45"/>
  <c r="A28" i="45" s="1"/>
  <c r="AV28" i="45"/>
  <c r="AA28" i="45"/>
  <c r="R28" i="45"/>
  <c r="CE29" i="45"/>
  <c r="AZ29" i="45"/>
  <c r="AV29" i="45"/>
  <c r="AA29" i="45"/>
  <c r="R29" i="45"/>
  <c r="A29" i="45"/>
  <c r="CE30" i="45"/>
  <c r="AZ30" i="45"/>
  <c r="A30" i="45" s="1"/>
  <c r="AV30" i="45"/>
  <c r="AA30" i="45"/>
  <c r="R30" i="45"/>
  <c r="CE31" i="45"/>
  <c r="AZ31" i="45"/>
  <c r="AV31" i="45"/>
  <c r="AA31" i="45"/>
  <c r="R31" i="45"/>
  <c r="A31" i="45"/>
  <c r="CE32" i="45"/>
  <c r="AZ32" i="45"/>
  <c r="AV32" i="45"/>
  <c r="AA32" i="45"/>
  <c r="R32" i="45"/>
  <c r="A32" i="45"/>
  <c r="CE33" i="45"/>
  <c r="AZ33" i="45"/>
  <c r="AV33" i="45"/>
  <c r="AA33" i="45"/>
  <c r="R33" i="45"/>
  <c r="A33" i="45"/>
  <c r="CE34" i="45"/>
  <c r="AZ34" i="45"/>
  <c r="A34" i="45" s="1"/>
  <c r="AV34" i="45"/>
  <c r="AA34" i="45"/>
  <c r="R34" i="45"/>
  <c r="CE35" i="45"/>
  <c r="AZ35" i="45"/>
  <c r="A35" i="45" s="1"/>
  <c r="AV35" i="45"/>
  <c r="AA35" i="45"/>
  <c r="R35" i="45"/>
  <c r="CE36" i="45"/>
  <c r="AZ36" i="45"/>
  <c r="A36" i="45" s="1"/>
  <c r="AV36" i="45"/>
  <c r="AA36" i="45"/>
  <c r="R36" i="45"/>
  <c r="CE37" i="45"/>
  <c r="AZ37" i="45"/>
  <c r="A37" i="45" s="1"/>
  <c r="AV37" i="45"/>
  <c r="AA37" i="45"/>
  <c r="R37" i="45"/>
  <c r="CE38" i="45"/>
  <c r="AZ38" i="45"/>
  <c r="A38" i="45" s="1"/>
  <c r="AV38" i="45"/>
  <c r="AA38" i="45"/>
  <c r="R38" i="45"/>
  <c r="CE39" i="45"/>
  <c r="AZ39" i="45"/>
  <c r="A39" i="45" s="1"/>
  <c r="AV39" i="45"/>
  <c r="AA39" i="45"/>
  <c r="R39" i="45"/>
  <c r="CE40" i="45"/>
  <c r="AZ40" i="45"/>
  <c r="A40" i="45" s="1"/>
  <c r="AV40" i="45"/>
  <c r="AA40" i="45"/>
  <c r="R40" i="45"/>
  <c r="CE41" i="45"/>
  <c r="AZ41" i="45"/>
  <c r="A41" i="45" s="1"/>
  <c r="AV41" i="45"/>
  <c r="AA41" i="45"/>
  <c r="R41" i="45"/>
  <c r="CE42" i="45"/>
  <c r="AZ42" i="45"/>
  <c r="A42" i="45" s="1"/>
  <c r="AV42" i="45"/>
  <c r="AA42" i="45"/>
  <c r="R42" i="45"/>
  <c r="CE43" i="45"/>
  <c r="AZ43" i="45"/>
  <c r="A43" i="45" s="1"/>
  <c r="AV43" i="45"/>
  <c r="AA43" i="45"/>
  <c r="R43" i="45"/>
  <c r="CE44" i="45"/>
  <c r="AZ44" i="45"/>
  <c r="A44" i="45" s="1"/>
  <c r="AV44" i="45"/>
  <c r="AA44" i="45"/>
  <c r="R44" i="45"/>
  <c r="CE45" i="45"/>
  <c r="AZ45" i="45"/>
  <c r="A45" i="45" s="1"/>
  <c r="AV45" i="45"/>
  <c r="AA45" i="45"/>
  <c r="R45" i="45"/>
  <c r="CE46" i="45"/>
  <c r="AZ46" i="45"/>
  <c r="A46" i="45" s="1"/>
  <c r="AV46" i="45"/>
  <c r="AA46" i="45"/>
  <c r="R46" i="45"/>
  <c r="CE47" i="45"/>
  <c r="AZ47" i="45"/>
  <c r="AV47" i="45"/>
  <c r="AA47" i="45"/>
  <c r="R47" i="45"/>
  <c r="A47" i="45"/>
  <c r="CE48" i="45"/>
  <c r="AV48" i="45"/>
  <c r="AA48" i="45"/>
  <c r="R48" i="45"/>
  <c r="A48" i="45"/>
  <c r="CE49" i="45"/>
  <c r="AV49" i="45"/>
  <c r="AA49" i="45"/>
  <c r="R49" i="45"/>
  <c r="A49" i="45"/>
  <c r="CE50" i="45"/>
  <c r="AV50" i="45"/>
  <c r="AA50" i="45"/>
  <c r="R50" i="45"/>
  <c r="A50" i="45"/>
  <c r="CE51" i="45"/>
  <c r="AV51" i="45"/>
  <c r="AA51" i="45"/>
  <c r="R51" i="45"/>
  <c r="A51" i="45"/>
  <c r="CE52" i="45"/>
  <c r="AV52" i="45"/>
  <c r="AA52" i="45"/>
  <c r="R52" i="45"/>
  <c r="A52" i="45"/>
  <c r="CE53" i="45"/>
  <c r="AV53" i="45"/>
  <c r="AA53" i="45"/>
  <c r="R53" i="45"/>
  <c r="A53" i="45"/>
  <c r="CE54" i="45"/>
  <c r="AV54" i="45"/>
  <c r="AA54" i="45"/>
  <c r="R54" i="45"/>
  <c r="A54" i="45"/>
  <c r="CE55" i="45"/>
  <c r="AV55" i="45"/>
  <c r="AA55" i="45"/>
  <c r="R55" i="45"/>
  <c r="A55" i="45"/>
  <c r="CE56" i="45"/>
  <c r="AV56" i="45"/>
  <c r="AA56" i="45"/>
  <c r="R56" i="45"/>
  <c r="A56" i="45"/>
  <c r="CE57" i="45"/>
  <c r="AV57" i="45"/>
  <c r="AA57" i="45"/>
  <c r="R57" i="45"/>
  <c r="A57" i="45"/>
  <c r="CE58" i="45"/>
  <c r="AV58" i="45"/>
  <c r="R58" i="45"/>
  <c r="A58" i="45"/>
  <c r="CE59" i="45"/>
  <c r="AV59" i="45"/>
  <c r="AA59" i="45"/>
  <c r="R59" i="45"/>
  <c r="A59" i="45"/>
  <c r="CE60" i="45"/>
  <c r="AV60" i="45"/>
  <c r="AA60" i="45"/>
  <c r="R60" i="45"/>
  <c r="A60" i="45"/>
  <c r="CE61" i="45"/>
  <c r="AV61" i="45"/>
  <c r="AA61" i="45"/>
  <c r="R61" i="45"/>
  <c r="A61" i="45"/>
  <c r="CE62" i="45"/>
  <c r="AV62" i="45"/>
  <c r="AA62" i="45"/>
  <c r="R62" i="45"/>
  <c r="A62" i="45"/>
  <c r="CE63" i="45"/>
  <c r="AV63" i="45"/>
  <c r="AA63" i="45"/>
  <c r="R63" i="45"/>
  <c r="A63" i="45"/>
  <c r="CE64" i="45"/>
  <c r="AV64" i="45"/>
  <c r="AA64" i="45"/>
  <c r="R64" i="45"/>
  <c r="A64" i="45"/>
  <c r="CE65" i="45"/>
  <c r="AV65" i="45"/>
  <c r="AA65" i="45"/>
  <c r="R65" i="45"/>
  <c r="A65" i="45"/>
  <c r="CE66" i="45"/>
  <c r="AV66" i="45"/>
  <c r="AA66" i="45"/>
  <c r="R66" i="45"/>
  <c r="A66" i="45"/>
  <c r="CE67" i="45"/>
  <c r="AV67" i="45"/>
  <c r="AA67" i="45"/>
  <c r="R67" i="45"/>
  <c r="A67" i="45"/>
  <c r="CE68" i="45"/>
  <c r="AV68" i="45"/>
  <c r="AA68" i="45"/>
  <c r="R68" i="45"/>
  <c r="A68" i="45"/>
  <c r="CE69" i="45"/>
  <c r="AV69" i="45"/>
  <c r="AA69" i="45"/>
  <c r="R69" i="45"/>
  <c r="A69" i="45"/>
  <c r="CE70" i="45"/>
  <c r="AV70" i="45"/>
  <c r="AA70" i="45"/>
  <c r="R70" i="45"/>
  <c r="A70" i="45"/>
  <c r="CE71" i="45"/>
  <c r="AV71" i="45"/>
  <c r="AA71" i="45"/>
  <c r="R71" i="45"/>
  <c r="A71" i="45"/>
  <c r="CE72" i="45"/>
  <c r="AV72" i="45"/>
  <c r="AA72" i="45"/>
  <c r="R72" i="45"/>
  <c r="A72" i="45"/>
  <c r="CE73" i="45"/>
  <c r="AV73" i="45"/>
  <c r="AA73" i="45"/>
  <c r="R73" i="45"/>
  <c r="A73" i="45"/>
  <c r="CE74" i="45"/>
  <c r="AV74" i="45"/>
  <c r="AA74" i="45"/>
  <c r="R74" i="45"/>
  <c r="A74" i="45"/>
  <c r="CE75" i="45"/>
  <c r="AV75" i="45"/>
  <c r="AA75" i="45"/>
  <c r="R75" i="45"/>
  <c r="A75" i="45"/>
  <c r="CE76" i="45"/>
  <c r="AV76" i="45"/>
  <c r="AA76" i="45"/>
  <c r="R76" i="45"/>
  <c r="A76" i="45"/>
  <c r="CE77" i="45"/>
  <c r="AV77" i="45"/>
  <c r="AA77" i="45"/>
  <c r="R77" i="45"/>
  <c r="A77" i="45"/>
  <c r="CE78" i="45"/>
  <c r="AV78" i="45"/>
  <c r="AA78" i="45"/>
  <c r="R78" i="45"/>
  <c r="A78" i="45"/>
  <c r="CE79" i="45"/>
  <c r="AV79" i="45"/>
  <c r="AA79" i="45"/>
  <c r="R79" i="45"/>
  <c r="A79" i="45"/>
  <c r="CE80" i="45"/>
  <c r="AV80" i="45"/>
  <c r="AA80" i="45"/>
  <c r="R80" i="45"/>
  <c r="A80" i="45"/>
  <c r="CE81" i="45"/>
  <c r="AV81" i="45"/>
  <c r="AA81" i="45"/>
  <c r="R81" i="45"/>
  <c r="A81" i="45"/>
  <c r="CE82" i="45"/>
  <c r="AV82" i="45"/>
  <c r="AA82" i="45"/>
  <c r="R82" i="45"/>
  <c r="A82" i="45"/>
  <c r="CE83" i="45"/>
  <c r="AV83" i="45"/>
  <c r="AA83" i="45"/>
  <c r="R83" i="45"/>
  <c r="A83" i="45"/>
  <c r="CE84" i="45"/>
  <c r="AV84" i="45"/>
  <c r="AA84" i="45"/>
  <c r="R84" i="45"/>
  <c r="A84" i="45"/>
  <c r="CE85" i="45"/>
  <c r="AV85" i="45"/>
  <c r="AA85" i="45"/>
  <c r="R85" i="45"/>
  <c r="A85" i="45"/>
  <c r="CE86" i="45"/>
  <c r="AV86" i="45"/>
  <c r="AA86" i="45"/>
  <c r="R86" i="45"/>
  <c r="A86" i="45"/>
  <c r="CE87" i="45"/>
  <c r="AV87" i="45"/>
  <c r="AA87" i="45"/>
  <c r="R87" i="45"/>
  <c r="A87" i="45"/>
  <c r="CE88" i="45"/>
  <c r="AV88" i="45"/>
  <c r="AA88" i="45"/>
  <c r="R88" i="45"/>
  <c r="A88" i="45"/>
  <c r="CE89" i="45"/>
  <c r="AV89" i="45"/>
  <c r="AA89" i="45"/>
  <c r="R89" i="45"/>
  <c r="A89" i="45"/>
  <c r="CE90" i="45"/>
  <c r="AV90" i="45"/>
  <c r="AA90" i="45"/>
  <c r="R90" i="45"/>
  <c r="A90" i="45"/>
  <c r="CE91" i="45"/>
  <c r="AV91" i="45"/>
  <c r="AA91" i="45"/>
  <c r="R91" i="45"/>
  <c r="A91" i="45"/>
  <c r="CE92" i="45"/>
  <c r="AV92" i="45"/>
  <c r="AA92" i="45"/>
  <c r="R92" i="45"/>
  <c r="A92" i="45"/>
  <c r="CE93" i="45"/>
  <c r="AV93" i="45"/>
  <c r="AA93" i="45"/>
  <c r="R93" i="45"/>
  <c r="A93" i="45"/>
  <c r="CE94" i="45"/>
  <c r="AV94" i="45"/>
  <c r="AA94" i="45"/>
  <c r="R94" i="45"/>
  <c r="A94" i="45"/>
  <c r="CE95" i="45"/>
  <c r="AV95" i="45"/>
  <c r="AA95" i="45"/>
  <c r="R95" i="45"/>
  <c r="A95" i="45"/>
  <c r="CE96" i="45"/>
  <c r="AV96" i="45"/>
  <c r="AA96" i="45"/>
  <c r="R96" i="45"/>
  <c r="A96" i="45"/>
  <c r="CE97" i="45"/>
  <c r="AV97" i="45"/>
  <c r="AA97" i="45"/>
  <c r="R97" i="45"/>
  <c r="A97" i="45"/>
  <c r="CE98" i="45"/>
  <c r="AV98" i="45"/>
  <c r="AA98" i="45"/>
  <c r="R98" i="45"/>
  <c r="A98" i="45"/>
  <c r="CE99" i="45"/>
  <c r="AV99" i="45"/>
  <c r="AA99" i="45"/>
  <c r="R99" i="45"/>
  <c r="A99" i="45"/>
  <c r="CE100" i="45"/>
  <c r="AV100" i="45"/>
  <c r="AA100" i="45"/>
  <c r="R100" i="45"/>
  <c r="A100" i="45"/>
  <c r="CE101" i="45"/>
  <c r="AV101" i="45"/>
  <c r="AA101" i="45"/>
  <c r="R101" i="45"/>
  <c r="A101" i="45"/>
  <c r="CE102" i="45"/>
  <c r="AV102" i="45"/>
  <c r="AA102" i="45"/>
  <c r="R102" i="45"/>
  <c r="A102" i="45"/>
  <c r="CE103" i="45"/>
  <c r="AV103" i="45"/>
  <c r="AA103" i="45"/>
  <c r="R103" i="45"/>
  <c r="A103" i="45"/>
  <c r="CE104" i="45"/>
  <c r="AV104" i="45"/>
  <c r="AA104" i="45"/>
  <c r="R104" i="45"/>
  <c r="A104" i="45"/>
  <c r="CE105" i="45"/>
  <c r="AV105" i="45"/>
  <c r="AA105" i="45"/>
  <c r="R105" i="45"/>
  <c r="A105" i="45"/>
  <c r="CE106" i="45"/>
  <c r="AV106" i="45"/>
  <c r="AA106" i="45"/>
  <c r="R106" i="45"/>
  <c r="A106" i="45"/>
  <c r="CE107" i="45"/>
  <c r="AV107" i="45"/>
  <c r="AA107" i="45"/>
  <c r="R107" i="45"/>
  <c r="A107" i="45"/>
  <c r="CE108" i="45"/>
  <c r="AV108" i="45"/>
  <c r="AA108" i="45"/>
  <c r="R108" i="45"/>
  <c r="A108" i="45"/>
  <c r="CE109" i="45"/>
  <c r="AV109" i="45"/>
  <c r="AA109" i="45"/>
  <c r="R109" i="45"/>
  <c r="A109" i="45"/>
  <c r="CE110" i="45"/>
  <c r="AV110" i="45"/>
  <c r="AA110" i="45"/>
  <c r="R110" i="45"/>
  <c r="A110" i="45"/>
  <c r="CE111" i="45"/>
  <c r="AV111" i="45"/>
  <c r="AA111" i="45"/>
  <c r="R111" i="45"/>
  <c r="A111" i="45"/>
  <c r="CE112" i="45"/>
  <c r="AV112" i="45"/>
  <c r="AA112" i="45"/>
  <c r="R112" i="45"/>
  <c r="A112" i="45"/>
  <c r="CE113" i="45"/>
  <c r="AV113" i="45"/>
  <c r="AA113" i="45"/>
  <c r="R113" i="45"/>
  <c r="A113" i="45"/>
  <c r="CE114" i="45"/>
  <c r="AV114" i="45"/>
  <c r="AA114" i="45"/>
  <c r="R114" i="45"/>
  <c r="A114" i="45"/>
  <c r="CE115" i="45"/>
  <c r="AV115" i="45"/>
  <c r="AA115" i="45"/>
  <c r="R115" i="45"/>
  <c r="A115" i="45"/>
  <c r="CE116" i="45"/>
  <c r="AV116" i="45"/>
  <c r="AA116" i="45"/>
  <c r="R116" i="45"/>
  <c r="A116" i="45"/>
  <c r="CE117" i="45"/>
  <c r="AV117" i="45"/>
  <c r="AA117" i="45"/>
  <c r="R117" i="45"/>
  <c r="A117" i="45"/>
  <c r="CE118" i="45"/>
  <c r="AV118" i="45"/>
  <c r="AA118" i="45"/>
  <c r="R118" i="45"/>
  <c r="A118" i="45"/>
  <c r="CE119" i="45"/>
  <c r="AV119" i="45"/>
  <c r="AA119" i="45"/>
  <c r="R119" i="45"/>
  <c r="A119" i="45"/>
  <c r="CE120" i="45"/>
  <c r="AV120" i="45"/>
  <c r="AA120" i="45"/>
  <c r="R120" i="45"/>
  <c r="A120" i="45"/>
  <c r="CE121" i="45"/>
  <c r="AV121" i="45"/>
  <c r="AA121" i="45"/>
  <c r="R121" i="45"/>
  <c r="A121" i="45"/>
  <c r="CE122" i="45"/>
  <c r="AV122" i="45"/>
  <c r="AA122" i="45"/>
  <c r="R122" i="45"/>
  <c r="A122" i="45"/>
  <c r="CE123" i="45"/>
  <c r="AV123" i="45"/>
  <c r="AA123" i="45"/>
  <c r="R123" i="45"/>
  <c r="A123" i="45"/>
  <c r="CE124" i="45"/>
  <c r="AV124" i="45"/>
  <c r="AA124" i="45"/>
  <c r="R124" i="45"/>
  <c r="A124" i="45"/>
  <c r="CE125" i="45"/>
  <c r="AV125" i="45"/>
  <c r="AA125" i="45"/>
  <c r="R125" i="45"/>
  <c r="A125" i="45"/>
  <c r="CE126" i="45"/>
  <c r="AV126" i="45"/>
  <c r="AA126" i="45"/>
  <c r="R126" i="45"/>
  <c r="A126" i="45"/>
  <c r="CE127" i="45"/>
  <c r="AV127" i="45"/>
  <c r="AA127" i="45"/>
  <c r="R127" i="45"/>
  <c r="A127" i="45"/>
  <c r="CE128" i="45"/>
  <c r="AV128" i="45"/>
  <c r="AA128" i="45"/>
  <c r="R128" i="45"/>
  <c r="A128" i="45"/>
  <c r="CE129" i="45"/>
  <c r="AV129" i="45"/>
  <c r="AA129" i="45"/>
  <c r="R129" i="45"/>
  <c r="A129" i="45"/>
  <c r="CE130" i="45"/>
  <c r="AV130" i="45"/>
  <c r="AA130" i="45"/>
  <c r="R130" i="45"/>
  <c r="A130" i="45"/>
  <c r="CE131" i="45"/>
  <c r="AV131" i="45"/>
  <c r="AA131" i="45"/>
  <c r="R131" i="45"/>
  <c r="A131" i="45"/>
  <c r="CE132" i="45"/>
  <c r="AV132" i="45"/>
  <c r="AA132" i="45"/>
  <c r="R132" i="45"/>
  <c r="A132" i="45"/>
  <c r="CE133" i="45"/>
  <c r="AV133" i="45"/>
  <c r="AA133" i="45"/>
  <c r="R133" i="45"/>
  <c r="A133" i="45"/>
  <c r="CE134" i="45"/>
  <c r="AV134" i="45"/>
  <c r="AA134" i="45"/>
  <c r="R134" i="45"/>
  <c r="A134" i="45"/>
  <c r="CE135" i="45"/>
  <c r="AV135" i="45"/>
  <c r="AA135" i="45"/>
  <c r="R135" i="45"/>
  <c r="A135" i="45"/>
  <c r="CE136" i="45"/>
  <c r="AV136" i="45"/>
  <c r="AA136" i="45"/>
  <c r="R136" i="45"/>
  <c r="A136" i="45"/>
  <c r="CE137" i="45"/>
  <c r="AV137" i="45"/>
  <c r="AA137" i="45"/>
  <c r="R137" i="45"/>
  <c r="A137" i="45"/>
  <c r="CE138" i="45"/>
  <c r="AV138" i="45"/>
  <c r="AA138" i="45"/>
  <c r="R138" i="45"/>
  <c r="A138" i="45"/>
  <c r="CE139" i="45"/>
  <c r="AV139" i="45"/>
  <c r="AA139" i="45"/>
  <c r="R139" i="45"/>
  <c r="A139" i="45"/>
  <c r="CE140" i="45"/>
  <c r="AV140" i="45"/>
  <c r="AA140" i="45"/>
  <c r="R140" i="45"/>
  <c r="A140" i="45"/>
  <c r="CE141" i="45"/>
  <c r="AV141" i="45"/>
  <c r="AA141" i="45"/>
  <c r="R141" i="45"/>
  <c r="A141" i="45"/>
  <c r="CE142" i="45"/>
  <c r="AV142" i="45"/>
  <c r="AA142" i="45"/>
  <c r="R142" i="45"/>
  <c r="A142" i="45"/>
  <c r="CE143" i="45"/>
  <c r="AV143" i="45"/>
  <c r="AA143" i="45"/>
  <c r="R143" i="45"/>
  <c r="A143" i="45"/>
  <c r="CE144" i="45"/>
  <c r="AV144" i="45"/>
  <c r="AA144" i="45"/>
  <c r="R144" i="45"/>
  <c r="A144" i="45"/>
  <c r="CE145" i="45"/>
  <c r="AV145" i="45"/>
  <c r="AA145" i="45"/>
  <c r="R145" i="45"/>
  <c r="A145" i="45"/>
  <c r="CE146" i="45"/>
  <c r="AV146" i="45"/>
  <c r="AA146" i="45"/>
  <c r="R146" i="45"/>
  <c r="A146" i="45"/>
  <c r="CE147" i="45"/>
  <c r="AV147" i="45"/>
  <c r="AA147" i="45"/>
  <c r="R147" i="45"/>
  <c r="A147" i="45"/>
  <c r="CE148" i="45"/>
  <c r="AV148" i="45"/>
  <c r="AA148" i="45"/>
  <c r="R148" i="45"/>
  <c r="A148" i="45"/>
  <c r="CE149" i="45"/>
  <c r="AV149" i="45"/>
  <c r="AA149" i="45"/>
  <c r="R149" i="45"/>
  <c r="A149" i="45"/>
  <c r="CE150" i="45"/>
  <c r="AV150" i="45"/>
  <c r="AA150" i="45"/>
  <c r="R150" i="45"/>
  <c r="A150" i="45"/>
  <c r="CE151" i="45"/>
  <c r="AV151" i="45"/>
  <c r="AA151" i="45"/>
  <c r="R151" i="45"/>
  <c r="A151" i="45"/>
  <c r="CE152" i="45"/>
  <c r="AV152" i="45"/>
  <c r="AA152" i="45"/>
  <c r="R152" i="45"/>
  <c r="A152" i="45"/>
  <c r="CE153" i="45"/>
  <c r="AV153" i="45"/>
  <c r="AA153" i="45"/>
  <c r="R153" i="45"/>
  <c r="A153" i="45"/>
  <c r="CE154" i="45"/>
  <c r="AV154" i="45"/>
  <c r="AA154" i="45"/>
  <c r="R154" i="45"/>
  <c r="A154" i="45"/>
  <c r="CE155" i="45"/>
  <c r="AV155" i="45"/>
  <c r="AA155" i="45"/>
  <c r="R155" i="45"/>
  <c r="A155" i="45"/>
  <c r="CE156" i="45"/>
  <c r="AV156" i="45"/>
  <c r="AA156" i="45"/>
  <c r="R156" i="45"/>
  <c r="A156" i="45"/>
  <c r="CE157" i="45"/>
  <c r="AV157" i="45"/>
  <c r="AA157" i="45"/>
  <c r="R157" i="45"/>
  <c r="A157" i="45"/>
  <c r="CE158" i="45"/>
  <c r="AV158" i="45"/>
  <c r="AA158" i="45"/>
  <c r="R158" i="45"/>
  <c r="A158" i="45"/>
  <c r="CE159" i="45"/>
  <c r="AV159" i="45"/>
  <c r="AA159" i="45"/>
  <c r="R159" i="45"/>
  <c r="A159" i="45"/>
  <c r="CE160" i="45"/>
  <c r="AV160" i="45"/>
  <c r="AA160" i="45"/>
  <c r="R160" i="45"/>
  <c r="A160" i="45"/>
  <c r="CE161" i="45"/>
  <c r="AV161" i="45"/>
  <c r="AA161" i="45"/>
  <c r="R161" i="45"/>
  <c r="A161" i="45"/>
  <c r="CE162" i="45"/>
  <c r="AV162" i="45"/>
  <c r="AA162" i="45"/>
  <c r="R162" i="45"/>
  <c r="A162" i="45"/>
  <c r="CE163" i="45"/>
  <c r="AV163" i="45"/>
  <c r="AA163" i="45"/>
  <c r="R163" i="45"/>
  <c r="A163" i="45"/>
  <c r="CE164" i="45"/>
  <c r="AV164" i="45"/>
  <c r="AA164" i="45"/>
  <c r="R164" i="45"/>
  <c r="A164" i="45"/>
  <c r="CE165" i="45"/>
  <c r="AV165" i="45"/>
  <c r="AA165" i="45"/>
  <c r="R165" i="45"/>
  <c r="A165" i="45"/>
  <c r="CE166" i="45"/>
  <c r="AV166" i="45"/>
  <c r="AA166" i="45"/>
  <c r="R166" i="45"/>
  <c r="A166" i="45"/>
  <c r="CE167" i="45"/>
  <c r="AV167" i="45"/>
  <c r="AA167" i="45"/>
  <c r="R167" i="45"/>
  <c r="A167" i="45"/>
  <c r="CE168" i="45"/>
  <c r="AV168" i="45"/>
  <c r="AA168" i="45"/>
  <c r="R168" i="45"/>
  <c r="A168" i="45"/>
  <c r="CE169" i="45"/>
  <c r="AV169" i="45"/>
  <c r="AA169" i="45"/>
  <c r="R169" i="45"/>
  <c r="A169" i="45"/>
  <c r="CE170" i="45"/>
  <c r="AZ170" i="45"/>
  <c r="A170" i="45" s="1"/>
  <c r="AV170" i="45"/>
  <c r="AA170" i="45"/>
  <c r="R170" i="45"/>
  <c r="CE171" i="45"/>
  <c r="AZ171" i="45"/>
  <c r="A171" i="45" s="1"/>
  <c r="AV171" i="45"/>
  <c r="AA171" i="45"/>
  <c r="R171" i="45"/>
  <c r="CE172" i="45"/>
  <c r="AZ172" i="45"/>
  <c r="A172" i="45" s="1"/>
  <c r="AV172" i="45"/>
  <c r="AA172" i="45"/>
  <c r="R172" i="45"/>
  <c r="CE173" i="45"/>
  <c r="AZ173" i="45"/>
  <c r="A173" i="45" s="1"/>
  <c r="AV173" i="45"/>
  <c r="AA173" i="45"/>
  <c r="R173" i="45"/>
  <c r="CE174" i="45"/>
  <c r="AZ174" i="45"/>
  <c r="AV174" i="45"/>
  <c r="AA174" i="45"/>
  <c r="R174" i="45"/>
  <c r="A174" i="45"/>
  <c r="CE175" i="45"/>
  <c r="AZ175" i="45"/>
  <c r="A175" i="45" s="1"/>
  <c r="AV175" i="45"/>
  <c r="AA175" i="45"/>
  <c r="R175" i="45"/>
  <c r="CE176" i="45"/>
  <c r="AZ176" i="45"/>
  <c r="A176" i="45" s="1"/>
  <c r="AV176" i="45"/>
  <c r="AA176" i="45"/>
  <c r="R176" i="45"/>
  <c r="CE177" i="45"/>
  <c r="AA177" i="45"/>
  <c r="R177" i="45"/>
  <c r="CE178" i="45"/>
  <c r="AZ178" i="45"/>
  <c r="A178" i="45" s="1"/>
  <c r="AV178" i="45"/>
  <c r="AA178" i="45"/>
  <c r="R178" i="45"/>
  <c r="CE179" i="45"/>
  <c r="AZ179" i="45"/>
  <c r="A179" i="45" s="1"/>
  <c r="AV179" i="45"/>
  <c r="AA179" i="45"/>
  <c r="R179" i="45"/>
  <c r="CE180" i="45"/>
  <c r="AZ180" i="45"/>
  <c r="A180" i="45" s="1"/>
  <c r="AV180" i="45"/>
  <c r="AA180" i="45"/>
  <c r="R180" i="45"/>
  <c r="CE181" i="45"/>
  <c r="AZ181" i="45"/>
  <c r="A181" i="45" s="1"/>
  <c r="AV181" i="45"/>
  <c r="AA181" i="45"/>
  <c r="R181" i="45"/>
  <c r="CE182" i="45"/>
  <c r="AZ182" i="45"/>
  <c r="A182" i="45" s="1"/>
  <c r="AV182" i="45"/>
  <c r="AA182" i="45"/>
  <c r="R182" i="45"/>
  <c r="CE183" i="45"/>
  <c r="AZ183" i="45"/>
  <c r="A183" i="45" s="1"/>
  <c r="AV183" i="45"/>
  <c r="AA183" i="45"/>
  <c r="R183" i="45"/>
  <c r="CE184" i="45"/>
  <c r="AZ184" i="45"/>
  <c r="A184" i="45" s="1"/>
  <c r="AV184" i="45"/>
  <c r="AA184" i="45"/>
  <c r="R184" i="45"/>
  <c r="CE185" i="45"/>
  <c r="AZ185" i="45"/>
  <c r="A185" i="45" s="1"/>
  <c r="AV185" i="45"/>
  <c r="AA185" i="45"/>
  <c r="R185" i="45"/>
  <c r="CE186" i="45"/>
  <c r="AZ186" i="45"/>
  <c r="A186" i="45" s="1"/>
  <c r="AV186" i="45"/>
  <c r="AA186" i="45"/>
  <c r="R186" i="45"/>
  <c r="CE187" i="45"/>
  <c r="AZ187" i="45"/>
  <c r="A187" i="45" s="1"/>
  <c r="AV187" i="45"/>
  <c r="AA187" i="45"/>
  <c r="R187" i="45"/>
  <c r="CE188" i="45"/>
  <c r="AZ188" i="45"/>
  <c r="A188" i="45" s="1"/>
  <c r="AV188" i="45"/>
  <c r="AA188" i="45"/>
  <c r="R188" i="45"/>
  <c r="CE189" i="45"/>
  <c r="AZ189" i="45"/>
  <c r="A189" i="45" s="1"/>
  <c r="AV189" i="45"/>
  <c r="AA189" i="45"/>
  <c r="R189" i="45"/>
  <c r="CE190" i="45"/>
  <c r="AZ190" i="45"/>
  <c r="A190" i="45" s="1"/>
  <c r="AV190" i="45"/>
  <c r="AA190" i="45"/>
  <c r="R190" i="45"/>
  <c r="CE191" i="45"/>
  <c r="AZ191" i="45"/>
  <c r="A191" i="45" s="1"/>
  <c r="AV191" i="45"/>
  <c r="AA191" i="45"/>
  <c r="R191" i="45"/>
  <c r="CE192" i="45"/>
  <c r="AZ192" i="45"/>
  <c r="A192" i="45" s="1"/>
  <c r="AV192" i="45"/>
  <c r="AA192" i="45"/>
  <c r="R192" i="45"/>
  <c r="CE193" i="45"/>
  <c r="AZ193" i="45"/>
  <c r="A193" i="45" s="1"/>
  <c r="AV193" i="45"/>
  <c r="AA193" i="45"/>
  <c r="R193" i="45"/>
  <c r="CE194" i="45"/>
  <c r="AZ194" i="45"/>
  <c r="A194" i="45" s="1"/>
  <c r="AV194" i="45"/>
  <c r="AA194" i="45"/>
  <c r="R194" i="45"/>
  <c r="CE195" i="45"/>
  <c r="AZ195" i="45"/>
  <c r="AV195" i="45"/>
  <c r="AA195" i="45"/>
  <c r="R195" i="45"/>
  <c r="A195" i="45"/>
  <c r="CE196" i="45"/>
  <c r="AZ196" i="45"/>
  <c r="AV196" i="45"/>
  <c r="AA196" i="45"/>
  <c r="R196" i="45"/>
  <c r="A196" i="45"/>
  <c r="CE197" i="45"/>
  <c r="AZ197" i="45"/>
  <c r="AV197" i="45"/>
  <c r="AA197" i="45"/>
  <c r="R197" i="45"/>
  <c r="A197" i="45"/>
  <c r="CE198" i="45"/>
  <c r="AZ198" i="45"/>
  <c r="AV198" i="45"/>
  <c r="AA198" i="45"/>
  <c r="R198" i="45"/>
  <c r="A198" i="45"/>
  <c r="CE199" i="45"/>
  <c r="AZ199" i="45"/>
  <c r="AV199" i="45"/>
  <c r="AA199" i="45"/>
  <c r="R199" i="45"/>
  <c r="A199" i="45"/>
  <c r="CE200" i="45"/>
  <c r="AZ200" i="45"/>
  <c r="AV200" i="45"/>
  <c r="AA200" i="45"/>
  <c r="R200" i="45"/>
  <c r="A200" i="45"/>
  <c r="CE201" i="45"/>
  <c r="AZ201" i="45"/>
  <c r="AV201" i="45"/>
  <c r="AA201" i="45"/>
  <c r="R201" i="45"/>
  <c r="A201" i="45"/>
  <c r="CE202" i="45"/>
  <c r="AZ202" i="45"/>
  <c r="AA202" i="45"/>
  <c r="R202" i="45"/>
  <c r="CE203" i="45"/>
  <c r="AA203" i="45"/>
  <c r="R203" i="45"/>
  <c r="CE204" i="45"/>
  <c r="AZ204" i="45"/>
  <c r="AV204" i="45"/>
  <c r="AA204" i="45"/>
  <c r="R204" i="45"/>
  <c r="A204" i="45"/>
  <c r="CE205" i="45"/>
  <c r="AV205" i="45"/>
  <c r="AA205" i="45"/>
  <c r="R205" i="45"/>
  <c r="A205" i="45"/>
  <c r="CE206" i="45"/>
  <c r="AV206" i="45"/>
  <c r="AA206" i="45"/>
  <c r="R206" i="45"/>
  <c r="A206" i="45"/>
  <c r="CE207" i="45"/>
  <c r="AZ207" i="45"/>
  <c r="A207" i="45" s="1"/>
  <c r="AV207" i="45"/>
  <c r="AA207" i="45"/>
  <c r="R207" i="45"/>
  <c r="CE208" i="45"/>
  <c r="AZ208" i="45"/>
  <c r="A208" i="45" s="1"/>
  <c r="AV208" i="45"/>
  <c r="AA208" i="45"/>
  <c r="R208" i="45"/>
  <c r="CE209" i="45"/>
  <c r="AV209" i="45"/>
  <c r="AA209" i="45"/>
  <c r="R209" i="45"/>
  <c r="A209" i="45"/>
  <c r="CE210" i="45"/>
  <c r="AZ210" i="45"/>
  <c r="AV210" i="45"/>
  <c r="AA210" i="45"/>
  <c r="R210" i="45"/>
  <c r="A210" i="45"/>
  <c r="CE211" i="45"/>
  <c r="AZ211" i="45"/>
  <c r="A211" i="45" s="1"/>
  <c r="AV211" i="45"/>
  <c r="AA211" i="45"/>
  <c r="R211" i="45"/>
  <c r="CE212" i="45"/>
  <c r="AZ212" i="45"/>
  <c r="A212" i="45" s="1"/>
  <c r="AV212" i="45"/>
  <c r="AA212" i="45"/>
  <c r="R212" i="45"/>
  <c r="CE213" i="45"/>
  <c r="AV213" i="45"/>
  <c r="AA213" i="45"/>
  <c r="R213" i="45"/>
  <c r="A213" i="45"/>
  <c r="CE214" i="45"/>
  <c r="AV214" i="45"/>
  <c r="AA214" i="45"/>
  <c r="R214" i="45"/>
  <c r="A214" i="45"/>
  <c r="CE215" i="45"/>
  <c r="AZ215" i="45"/>
  <c r="A215" i="45" s="1"/>
  <c r="AV215" i="45"/>
  <c r="AA215" i="45"/>
  <c r="R215" i="45"/>
  <c r="CE216" i="45"/>
  <c r="AZ216" i="45"/>
  <c r="A216" i="45" s="1"/>
  <c r="AV216" i="45"/>
  <c r="AA216" i="45"/>
  <c r="R216" i="45"/>
  <c r="CE217" i="45"/>
  <c r="AZ217" i="45"/>
  <c r="A217" i="45" s="1"/>
  <c r="AV217" i="45"/>
  <c r="AA217" i="45"/>
  <c r="R217" i="45"/>
  <c r="CE218" i="45"/>
  <c r="AZ218" i="45"/>
  <c r="A218" i="45" s="1"/>
  <c r="AV218" i="45"/>
  <c r="AA218" i="45"/>
  <c r="R218" i="45"/>
  <c r="CE219" i="45"/>
  <c r="AZ219" i="45"/>
  <c r="A219" i="45" s="1"/>
  <c r="AV219" i="45"/>
  <c r="AA219" i="45"/>
  <c r="R219" i="45"/>
  <c r="CE220" i="45"/>
  <c r="AV220" i="45"/>
  <c r="AA220" i="45"/>
  <c r="R220" i="45"/>
  <c r="A220" i="45"/>
  <c r="CE221" i="45"/>
  <c r="AV221" i="45"/>
  <c r="AA221" i="45"/>
  <c r="R221" i="45"/>
  <c r="A221" i="45"/>
  <c r="CE222" i="45"/>
  <c r="AZ222" i="45"/>
  <c r="A222" i="45" s="1"/>
  <c r="AV222" i="45"/>
  <c r="AA222" i="45"/>
  <c r="R222" i="45"/>
  <c r="CE223" i="45"/>
  <c r="AV223" i="45"/>
  <c r="AA223" i="45"/>
  <c r="R223" i="45"/>
  <c r="A223" i="45"/>
  <c r="CE224" i="45"/>
  <c r="AZ224" i="45"/>
  <c r="A224" i="45" s="1"/>
  <c r="AV224" i="45"/>
  <c r="AA224" i="45"/>
  <c r="R224" i="45"/>
  <c r="CE225" i="45"/>
  <c r="AZ225" i="45"/>
  <c r="A225" i="45" s="1"/>
  <c r="AV225" i="45"/>
  <c r="AA225" i="45"/>
  <c r="R225" i="45"/>
  <c r="CE226" i="45"/>
  <c r="AZ226" i="45"/>
  <c r="A226" i="45" s="1"/>
  <c r="AV226" i="45"/>
  <c r="AA226" i="45"/>
  <c r="R226" i="45"/>
  <c r="CE227" i="45"/>
  <c r="AZ227" i="45"/>
  <c r="A227" i="45" s="1"/>
  <c r="AV227" i="45"/>
  <c r="AA227" i="45"/>
  <c r="R227" i="45"/>
  <c r="CE228" i="45"/>
  <c r="AZ228" i="45"/>
  <c r="A228" i="45" s="1"/>
  <c r="AV228" i="45"/>
  <c r="AA228" i="45"/>
  <c r="R228" i="45"/>
  <c r="CE229" i="45"/>
  <c r="AZ229" i="45"/>
  <c r="A229" i="45" s="1"/>
  <c r="AV229" i="45"/>
  <c r="AA229" i="45"/>
  <c r="R229" i="45"/>
  <c r="CE230" i="45"/>
  <c r="AZ230" i="45"/>
  <c r="A230" i="45" s="1"/>
  <c r="AV230" i="45"/>
  <c r="AA230" i="45"/>
  <c r="R230" i="45"/>
  <c r="CE231" i="45"/>
  <c r="AZ231" i="45"/>
  <c r="A231" i="45" s="1"/>
  <c r="AV231" i="45"/>
  <c r="AA231" i="45"/>
  <c r="R231" i="45"/>
  <c r="CE232" i="45"/>
  <c r="AZ232" i="45"/>
  <c r="A232" i="45" s="1"/>
  <c r="AV232" i="45"/>
  <c r="AA232" i="45"/>
  <c r="R232" i="45"/>
  <c r="CE233" i="45"/>
  <c r="AZ233" i="45"/>
  <c r="A233" i="45" s="1"/>
  <c r="AV233" i="45"/>
  <c r="AA233" i="45"/>
  <c r="R233" i="45"/>
  <c r="CE234" i="45"/>
  <c r="AZ234" i="45"/>
  <c r="A234" i="45" s="1"/>
  <c r="AV234" i="45"/>
  <c r="AA234" i="45"/>
  <c r="R234" i="45"/>
  <c r="CE235" i="45"/>
  <c r="AZ235" i="45"/>
  <c r="A235" i="45" s="1"/>
  <c r="AV235" i="45"/>
  <c r="AA235" i="45"/>
  <c r="R235" i="45"/>
  <c r="CE236" i="45"/>
  <c r="AZ236" i="45"/>
  <c r="A236" i="45" s="1"/>
  <c r="AV236" i="45"/>
  <c r="AA236" i="45"/>
  <c r="R236" i="45"/>
  <c r="CE237" i="45"/>
  <c r="AZ237" i="45"/>
  <c r="AV237" i="45"/>
  <c r="AA237" i="45"/>
  <c r="R237" i="45"/>
  <c r="A237" i="45"/>
  <c r="CE238" i="45"/>
  <c r="AZ238" i="45"/>
  <c r="AV238" i="45"/>
  <c r="AA238" i="45"/>
  <c r="R238" i="45"/>
  <c r="A238" i="45"/>
  <c r="CE239" i="45"/>
  <c r="AZ239" i="45"/>
  <c r="AV239" i="45"/>
  <c r="AA239" i="45"/>
  <c r="R239" i="45"/>
  <c r="A239" i="45"/>
  <c r="CE240" i="45"/>
  <c r="AZ240" i="45"/>
  <c r="AV240" i="45"/>
  <c r="AA240" i="45"/>
  <c r="X240" i="45"/>
  <c r="R240" i="45"/>
  <c r="A240" i="45"/>
  <c r="CE241" i="45"/>
  <c r="AZ241" i="45"/>
  <c r="AV241" i="45"/>
  <c r="AA241" i="45"/>
  <c r="X241" i="45"/>
  <c r="R241" i="45"/>
  <c r="A241" i="45"/>
  <c r="CE242" i="45"/>
  <c r="AZ242" i="45"/>
  <c r="AV242" i="45"/>
  <c r="AA242" i="45"/>
  <c r="R242" i="45"/>
  <c r="CE243" i="45"/>
  <c r="AZ243" i="45"/>
  <c r="AV243" i="45"/>
  <c r="AA243" i="45"/>
  <c r="R243" i="45"/>
  <c r="A243" i="45"/>
  <c r="CE244" i="45"/>
  <c r="AZ244" i="45"/>
  <c r="AV244" i="45"/>
  <c r="AA244" i="45"/>
  <c r="R244" i="45"/>
  <c r="A244" i="45"/>
  <c r="CE245" i="45"/>
  <c r="AZ245" i="45"/>
  <c r="AV245" i="45"/>
  <c r="AA245" i="45"/>
  <c r="R245" i="45"/>
  <c r="A245" i="45"/>
  <c r="CE246" i="45"/>
  <c r="AZ246" i="45"/>
  <c r="AV246" i="45"/>
  <c r="AA246" i="45"/>
  <c r="R246" i="45"/>
  <c r="A246" i="45"/>
  <c r="CE247" i="45"/>
  <c r="AZ247" i="45"/>
  <c r="AV247" i="45"/>
  <c r="AA247" i="45"/>
  <c r="R247" i="45"/>
  <c r="A247" i="45"/>
  <c r="CE248" i="45"/>
  <c r="AZ248" i="45"/>
  <c r="AV248" i="45"/>
  <c r="AA248" i="45"/>
  <c r="R248" i="45"/>
  <c r="A248" i="45"/>
  <c r="CE249" i="45"/>
  <c r="AZ249" i="45"/>
  <c r="AV249" i="45"/>
  <c r="AA249" i="45"/>
  <c r="R249" i="45"/>
  <c r="A249" i="45"/>
  <c r="CE250" i="45"/>
  <c r="AZ250" i="45"/>
  <c r="AV250" i="45"/>
  <c r="AA250" i="45"/>
  <c r="R250" i="45"/>
  <c r="A250" i="45"/>
  <c r="CE251" i="45"/>
  <c r="AZ251" i="45"/>
  <c r="AV251" i="45"/>
  <c r="AA251" i="45"/>
  <c r="R251" i="45"/>
  <c r="A251" i="45"/>
  <c r="CE252" i="45"/>
  <c r="AZ252" i="45"/>
  <c r="AV252" i="45"/>
  <c r="AA252" i="45"/>
  <c r="R252" i="45"/>
  <c r="A252" i="45"/>
  <c r="CE253" i="45"/>
  <c r="AZ253" i="45"/>
  <c r="AV253" i="45"/>
  <c r="AA253" i="45"/>
  <c r="R253" i="45"/>
  <c r="A253" i="45"/>
  <c r="CE254" i="45"/>
  <c r="AZ254" i="45"/>
  <c r="AV254" i="45"/>
  <c r="AA254" i="45"/>
  <c r="R254" i="45"/>
  <c r="A254" i="45"/>
  <c r="CE255" i="45"/>
  <c r="AZ255" i="45"/>
  <c r="AV255" i="45"/>
  <c r="AA255" i="45"/>
  <c r="R255" i="45"/>
  <c r="A255" i="45"/>
  <c r="CE256" i="45"/>
  <c r="AZ256" i="45"/>
  <c r="AV256" i="45"/>
  <c r="AA256" i="45"/>
  <c r="R256" i="45"/>
  <c r="A256" i="45"/>
  <c r="CE257" i="45"/>
  <c r="AZ257" i="45"/>
  <c r="AV257" i="45"/>
  <c r="AA257" i="45"/>
  <c r="R257" i="45"/>
  <c r="A257" i="45"/>
  <c r="CE258" i="45"/>
  <c r="AZ258" i="45"/>
  <c r="AV258" i="45"/>
  <c r="AA258" i="45"/>
  <c r="R258" i="45"/>
  <c r="A258" i="45"/>
  <c r="CE259" i="45"/>
  <c r="AZ259" i="45"/>
  <c r="AV259" i="45"/>
  <c r="AA259" i="45"/>
  <c r="R259" i="45"/>
  <c r="A259" i="45"/>
  <c r="CE260" i="45"/>
  <c r="AZ260" i="45"/>
  <c r="AV260" i="45"/>
  <c r="AA260" i="45"/>
  <c r="R260" i="45"/>
  <c r="A260" i="45"/>
  <c r="CE261" i="45"/>
  <c r="AZ261" i="45"/>
  <c r="AV261" i="45"/>
  <c r="AA261" i="45"/>
  <c r="R261" i="45"/>
  <c r="A261" i="45"/>
  <c r="CE262" i="45"/>
  <c r="AZ262" i="45"/>
  <c r="AV262" i="45"/>
  <c r="AA262" i="45"/>
  <c r="R262" i="45"/>
  <c r="A262" i="45"/>
  <c r="CE263" i="45"/>
  <c r="AZ263" i="45"/>
  <c r="AV263" i="45"/>
  <c r="AA263" i="45"/>
  <c r="R263" i="45"/>
  <c r="A263" i="45"/>
  <c r="CE264" i="45"/>
  <c r="AZ264" i="45"/>
  <c r="AV264" i="45"/>
  <c r="AA264" i="45"/>
  <c r="R264" i="45"/>
  <c r="A264" i="45"/>
  <c r="CE265" i="45"/>
  <c r="AZ265" i="45"/>
  <c r="AV265" i="45"/>
  <c r="AA265" i="45"/>
  <c r="R265" i="45"/>
  <c r="A265" i="45"/>
  <c r="CE266" i="45"/>
  <c r="AZ266" i="45"/>
  <c r="AV266" i="45"/>
  <c r="AA266" i="45"/>
  <c r="R266" i="45"/>
  <c r="A266" i="45"/>
  <c r="CE267" i="45"/>
  <c r="AZ267" i="45"/>
  <c r="AV267" i="45"/>
  <c r="AA267" i="45"/>
  <c r="R267" i="45"/>
  <c r="A267" i="45"/>
  <c r="CE268" i="45"/>
  <c r="AZ268" i="45"/>
  <c r="AV268" i="45"/>
  <c r="AA268" i="45"/>
  <c r="R268" i="45"/>
  <c r="A268" i="45"/>
  <c r="CE269" i="45"/>
  <c r="AZ269" i="45"/>
  <c r="AV269" i="45"/>
  <c r="AA269" i="45"/>
  <c r="R269" i="45"/>
  <c r="A269" i="45"/>
  <c r="CE270" i="45"/>
  <c r="AZ270" i="45"/>
  <c r="AV270" i="45"/>
  <c r="AA270" i="45"/>
  <c r="R270" i="45"/>
  <c r="A270" i="45"/>
  <c r="CE271" i="45"/>
  <c r="AZ271" i="45"/>
  <c r="AV271" i="45"/>
  <c r="AA271" i="45"/>
  <c r="R271" i="45"/>
  <c r="A271" i="45"/>
  <c r="CE272" i="45"/>
  <c r="AZ272" i="45"/>
  <c r="AV272" i="45"/>
  <c r="AA272" i="45"/>
  <c r="R272" i="45"/>
  <c r="A272" i="45"/>
  <c r="CE273" i="45"/>
  <c r="AZ273" i="45"/>
  <c r="AV273" i="45"/>
  <c r="AA273" i="45"/>
  <c r="R273" i="45"/>
  <c r="A273" i="45"/>
  <c r="CE274" i="45"/>
  <c r="AZ274" i="45"/>
  <c r="AV274" i="45"/>
  <c r="AA274" i="45"/>
  <c r="R274" i="45"/>
  <c r="A274" i="45"/>
  <c r="CE275" i="45"/>
  <c r="AZ275" i="45"/>
  <c r="AV275" i="45"/>
  <c r="AA275" i="45"/>
  <c r="R275" i="45"/>
  <c r="A275" i="45"/>
  <c r="CE276" i="45"/>
  <c r="AZ276" i="45"/>
  <c r="AV276" i="45"/>
  <c r="AA276" i="45"/>
  <c r="R276" i="45"/>
  <c r="A276" i="45"/>
  <c r="CE277" i="45"/>
  <c r="AZ277" i="45"/>
  <c r="AV277" i="45"/>
  <c r="AA277" i="45"/>
  <c r="R277" i="45"/>
  <c r="A277" i="45"/>
  <c r="CE278" i="45"/>
  <c r="AZ278" i="45"/>
  <c r="AV278" i="45"/>
  <c r="AA278" i="45"/>
  <c r="R278" i="45"/>
  <c r="A278" i="45"/>
  <c r="CE279" i="45"/>
  <c r="AZ279" i="45"/>
  <c r="AV279" i="45"/>
  <c r="AA279" i="45"/>
  <c r="R279" i="45"/>
  <c r="A279" i="45"/>
  <c r="CE280" i="45"/>
  <c r="AZ280" i="45"/>
  <c r="AV280" i="45"/>
  <c r="AA280" i="45"/>
  <c r="R280" i="45"/>
  <c r="A280" i="45"/>
  <c r="CE281" i="45"/>
  <c r="AZ281" i="45"/>
  <c r="AV281" i="45"/>
  <c r="AA281" i="45"/>
  <c r="R281" i="45"/>
  <c r="A281" i="45"/>
  <c r="CE282" i="45"/>
  <c r="AZ282" i="45"/>
  <c r="AV282" i="45"/>
  <c r="AA282" i="45"/>
  <c r="R282" i="45"/>
  <c r="A282" i="45"/>
  <c r="CE283" i="45"/>
  <c r="AZ283" i="45"/>
  <c r="AV283" i="45"/>
  <c r="AA283" i="45"/>
  <c r="R283" i="45"/>
  <c r="A283" i="45"/>
  <c r="CE284" i="45"/>
  <c r="AZ284" i="45"/>
  <c r="AV284" i="45"/>
  <c r="AA284" i="45"/>
  <c r="X284" i="45"/>
  <c r="R284" i="45"/>
  <c r="A284" i="45"/>
  <c r="CE285" i="45"/>
  <c r="AZ285" i="45"/>
  <c r="AV285" i="45"/>
  <c r="AA285" i="45"/>
  <c r="X285" i="45"/>
  <c r="R285" i="45"/>
  <c r="A285" i="45"/>
  <c r="CE286" i="45"/>
  <c r="AZ286" i="45"/>
  <c r="AV286" i="45"/>
  <c r="AA286" i="45"/>
  <c r="X286" i="45"/>
  <c r="R286" i="45"/>
  <c r="A286" i="45"/>
  <c r="CE287" i="45"/>
  <c r="AZ287" i="45"/>
  <c r="AV287" i="45"/>
  <c r="AA287" i="45"/>
  <c r="R287" i="45"/>
  <c r="A287" i="45"/>
  <c r="CE288" i="45"/>
  <c r="AZ288" i="45"/>
  <c r="AV288" i="45"/>
  <c r="AA288" i="45"/>
  <c r="X288" i="45"/>
  <c r="R288" i="45"/>
  <c r="A288" i="45"/>
  <c r="CE289" i="45"/>
  <c r="AZ289" i="45"/>
  <c r="AV289" i="45"/>
  <c r="AA289" i="45"/>
  <c r="X289" i="45"/>
  <c r="R289" i="45"/>
  <c r="A289" i="45"/>
  <c r="CE290" i="45"/>
  <c r="AZ290" i="45"/>
  <c r="AV290" i="45"/>
  <c r="AA290" i="45"/>
  <c r="X290" i="45"/>
  <c r="R290" i="45"/>
  <c r="A290" i="45"/>
  <c r="CE291" i="45"/>
  <c r="AZ291" i="45"/>
  <c r="AV291" i="45"/>
  <c r="AA291" i="45"/>
  <c r="R291" i="45"/>
  <c r="A291" i="45"/>
  <c r="CE292" i="45"/>
  <c r="AZ292" i="45"/>
  <c r="AV292" i="45"/>
  <c r="AA292" i="45"/>
  <c r="R292" i="45"/>
  <c r="A292" i="45"/>
  <c r="CE293" i="45"/>
  <c r="AV293" i="45"/>
  <c r="AA293" i="45"/>
  <c r="R293" i="45"/>
  <c r="A293" i="45"/>
  <c r="CE294" i="45"/>
  <c r="AV294" i="45"/>
  <c r="AA294" i="45"/>
  <c r="R294" i="45"/>
  <c r="A294" i="45"/>
  <c r="CE295" i="45"/>
  <c r="AZ295" i="45"/>
  <c r="A295" i="45" s="1"/>
  <c r="AV295" i="45"/>
  <c r="AA295" i="45"/>
  <c r="R295" i="45"/>
  <c r="CE296" i="45"/>
  <c r="AZ296" i="45"/>
  <c r="A296" i="45" s="1"/>
  <c r="AV296" i="45"/>
  <c r="AA296" i="45"/>
  <c r="R296" i="45"/>
  <c r="CE297" i="45"/>
  <c r="AZ297" i="45"/>
  <c r="A297" i="45" s="1"/>
  <c r="AV297" i="45"/>
  <c r="AA297" i="45"/>
  <c r="R297" i="45"/>
  <c r="CE298" i="45"/>
  <c r="AZ298" i="45"/>
  <c r="A298" i="45" s="1"/>
  <c r="AV298" i="45"/>
  <c r="AA298" i="45"/>
  <c r="R298" i="45"/>
  <c r="CE299" i="45"/>
  <c r="AZ299" i="45"/>
  <c r="A299" i="45" s="1"/>
  <c r="AV299" i="45"/>
  <c r="AA299" i="45"/>
  <c r="R299" i="45"/>
  <c r="CE300" i="45"/>
  <c r="AZ300" i="45"/>
  <c r="AA300" i="45"/>
  <c r="R300" i="45"/>
  <c r="CE301" i="45"/>
  <c r="AZ301" i="45"/>
  <c r="A301" i="45" s="1"/>
  <c r="AV301" i="45"/>
  <c r="AA301" i="45"/>
  <c r="R301" i="45"/>
  <c r="CE302" i="45"/>
  <c r="AZ302" i="45"/>
  <c r="A302" i="45" s="1"/>
  <c r="AV302" i="45"/>
  <c r="AA302" i="45"/>
  <c r="R302" i="45"/>
  <c r="CE303" i="45"/>
  <c r="AZ303" i="45"/>
  <c r="A303" i="45" s="1"/>
  <c r="AV303" i="45"/>
  <c r="AA303" i="45"/>
  <c r="R303" i="45"/>
  <c r="CE304" i="45"/>
  <c r="AZ304" i="45"/>
  <c r="A304" i="45" s="1"/>
  <c r="AV304" i="45"/>
  <c r="AA304" i="45"/>
  <c r="R304" i="45"/>
  <c r="CE305" i="45"/>
  <c r="AZ305" i="45"/>
  <c r="A305" i="45" s="1"/>
  <c r="AV305" i="45"/>
  <c r="AA305" i="45"/>
  <c r="R305" i="45"/>
  <c r="CE306" i="45"/>
  <c r="AZ306" i="45"/>
  <c r="A306" i="45" s="1"/>
  <c r="AV306" i="45"/>
  <c r="AA306" i="45"/>
  <c r="R306" i="45"/>
  <c r="CE307" i="45"/>
  <c r="AZ307" i="45"/>
  <c r="A307" i="45" s="1"/>
  <c r="AV307" i="45"/>
  <c r="AA307" i="45"/>
  <c r="R307" i="45"/>
  <c r="CE308" i="45"/>
  <c r="AZ308" i="45"/>
  <c r="A308" i="45" s="1"/>
  <c r="AV308" i="45"/>
  <c r="AA308" i="45"/>
  <c r="R308" i="45"/>
  <c r="CE309" i="45"/>
  <c r="AZ309" i="45"/>
  <c r="A309" i="45" s="1"/>
  <c r="AV309" i="45"/>
  <c r="AA309" i="45"/>
  <c r="R309" i="45"/>
  <c r="CE310" i="45"/>
  <c r="AZ310" i="45"/>
  <c r="A310" i="45" s="1"/>
  <c r="AV310" i="45"/>
  <c r="AA310" i="45"/>
  <c r="R310" i="45"/>
  <c r="CE311" i="45"/>
  <c r="AZ311" i="45"/>
  <c r="A311" i="45" s="1"/>
  <c r="AV311" i="45"/>
  <c r="AA311" i="45"/>
  <c r="R311" i="45"/>
  <c r="CE312" i="45"/>
  <c r="AZ312" i="45"/>
  <c r="AV312" i="45"/>
  <c r="AA312" i="45"/>
  <c r="R312" i="45"/>
  <c r="A312" i="45"/>
  <c r="CE313" i="45"/>
  <c r="AZ313" i="45"/>
  <c r="A313" i="45" s="1"/>
  <c r="AV313" i="45"/>
  <c r="AA313" i="45"/>
  <c r="R313" i="45"/>
  <c r="CE314" i="45"/>
  <c r="AZ314" i="45"/>
  <c r="A314" i="45" s="1"/>
  <c r="AV314" i="45"/>
  <c r="AA314" i="45"/>
  <c r="R314" i="45"/>
  <c r="CE315" i="45"/>
  <c r="AZ315" i="45"/>
  <c r="A315" i="45" s="1"/>
  <c r="AV315" i="45"/>
  <c r="AA315" i="45"/>
  <c r="R315" i="45"/>
  <c r="CE316" i="45"/>
  <c r="AZ316" i="45"/>
  <c r="A316" i="45" s="1"/>
  <c r="AV316" i="45"/>
  <c r="AA316" i="45"/>
  <c r="R316" i="45"/>
  <c r="CE317" i="45"/>
  <c r="AZ317" i="45"/>
  <c r="A317" i="45" s="1"/>
  <c r="AV317" i="45"/>
  <c r="AA317" i="45"/>
  <c r="R317" i="45"/>
  <c r="CE318" i="45"/>
  <c r="AZ318" i="45"/>
  <c r="A318" i="45" s="1"/>
  <c r="AV318" i="45"/>
  <c r="AA318" i="45"/>
  <c r="R318" i="45"/>
  <c r="CE319" i="45"/>
  <c r="AZ319" i="45"/>
  <c r="AA319" i="45"/>
  <c r="R319" i="45"/>
  <c r="CE320" i="45"/>
  <c r="AZ320" i="45"/>
  <c r="AA320" i="45"/>
  <c r="R320" i="45"/>
  <c r="CE321" i="45"/>
  <c r="AZ321" i="45"/>
  <c r="AA321" i="45"/>
  <c r="R321" i="45"/>
  <c r="CE322" i="45"/>
  <c r="AZ322" i="45"/>
  <c r="AV322" i="45"/>
  <c r="AA322" i="45"/>
  <c r="R322" i="45"/>
  <c r="A322" i="45"/>
  <c r="CE323" i="45"/>
  <c r="AZ323" i="45"/>
  <c r="A323" i="45" s="1"/>
  <c r="AV323" i="45"/>
  <c r="AA323" i="45"/>
  <c r="R323" i="45"/>
  <c r="CE324" i="45"/>
  <c r="AZ324" i="45"/>
  <c r="A324" i="45" s="1"/>
  <c r="AV324" i="45"/>
  <c r="AA324" i="45"/>
  <c r="R324" i="45"/>
  <c r="CE325" i="45"/>
  <c r="AZ325" i="45"/>
  <c r="A325" i="45" s="1"/>
  <c r="AV325" i="45"/>
  <c r="AA325" i="45"/>
  <c r="R325" i="45"/>
  <c r="CE326" i="45"/>
  <c r="AZ326" i="45"/>
  <c r="A326" i="45" s="1"/>
  <c r="AV326" i="45"/>
  <c r="AA326" i="45"/>
  <c r="R326" i="45"/>
  <c r="CE327" i="45"/>
  <c r="AZ327" i="45"/>
  <c r="A327" i="45" s="1"/>
  <c r="AV327" i="45"/>
  <c r="AA327" i="45"/>
  <c r="R327" i="45"/>
  <c r="CE328" i="45"/>
  <c r="AZ328" i="45"/>
  <c r="A328" i="45" s="1"/>
  <c r="AV328" i="45"/>
  <c r="AA328" i="45"/>
  <c r="R328" i="45"/>
  <c r="CE329" i="45"/>
  <c r="AZ329" i="45"/>
  <c r="A329" i="45" s="1"/>
  <c r="AV329" i="45"/>
  <c r="AA329" i="45"/>
  <c r="R329" i="45"/>
  <c r="CE330" i="45"/>
  <c r="AZ330" i="45"/>
  <c r="A330" i="45" s="1"/>
  <c r="AV330" i="45"/>
  <c r="AA330" i="45"/>
  <c r="R330" i="45"/>
  <c r="CE331" i="45"/>
  <c r="AZ331" i="45"/>
  <c r="A331" i="45" s="1"/>
  <c r="AV331" i="45"/>
  <c r="AA331" i="45"/>
  <c r="R331" i="45"/>
  <c r="CE332" i="45"/>
  <c r="AZ332" i="45"/>
  <c r="A332" i="45" s="1"/>
  <c r="AV332" i="45"/>
  <c r="AA332" i="45"/>
  <c r="R332" i="45"/>
  <c r="CE333" i="45"/>
  <c r="AZ333" i="45"/>
  <c r="A333" i="45" s="1"/>
  <c r="AV333" i="45"/>
  <c r="AA333" i="45"/>
  <c r="R333" i="45"/>
  <c r="CE334" i="45"/>
  <c r="AZ334" i="45"/>
  <c r="A334" i="45" s="1"/>
  <c r="AV334" i="45"/>
  <c r="AA334" i="45"/>
  <c r="R334" i="45"/>
  <c r="CE335" i="45"/>
  <c r="AZ335" i="45"/>
  <c r="A335" i="45" s="1"/>
  <c r="AV335" i="45"/>
  <c r="AA335" i="45"/>
  <c r="R335" i="45"/>
  <c r="CE336" i="45"/>
  <c r="AZ336" i="45"/>
  <c r="A336" i="45" s="1"/>
  <c r="AV336" i="45"/>
  <c r="AA336" i="45"/>
  <c r="R336" i="45"/>
  <c r="CE337" i="45"/>
  <c r="AZ337" i="45"/>
  <c r="A337" i="45" s="1"/>
  <c r="AV337" i="45"/>
  <c r="AA337" i="45"/>
  <c r="R337" i="45"/>
  <c r="CE338" i="45"/>
  <c r="AZ338" i="45"/>
  <c r="A338" i="45" s="1"/>
  <c r="AV338" i="45"/>
  <c r="AA338" i="45"/>
  <c r="R338" i="45"/>
  <c r="CE339" i="45"/>
  <c r="AZ339" i="45"/>
  <c r="A339" i="45" s="1"/>
  <c r="AV339" i="45"/>
  <c r="AA339" i="45"/>
  <c r="R339" i="45"/>
  <c r="CE340" i="45"/>
  <c r="AZ340" i="45"/>
  <c r="A340" i="45" s="1"/>
  <c r="AV340" i="45"/>
  <c r="AA340" i="45"/>
  <c r="R340" i="45"/>
  <c r="CE341" i="45"/>
  <c r="AZ341" i="45"/>
  <c r="A341" i="45" s="1"/>
  <c r="AV341" i="45"/>
  <c r="AA341" i="45"/>
  <c r="R341" i="45"/>
  <c r="CE342" i="45"/>
  <c r="AZ342" i="45"/>
  <c r="A342" i="45" s="1"/>
  <c r="AV342" i="45"/>
  <c r="AA342" i="45"/>
  <c r="R342" i="45"/>
  <c r="CE343" i="45"/>
  <c r="AZ343" i="45"/>
  <c r="A343" i="45" s="1"/>
  <c r="AV343" i="45"/>
  <c r="AA343" i="45"/>
  <c r="R343" i="45"/>
  <c r="CE344" i="45"/>
  <c r="AZ344" i="45"/>
  <c r="A344" i="45" s="1"/>
  <c r="AV344" i="45"/>
  <c r="AA344" i="45"/>
  <c r="R344" i="45"/>
  <c r="CE345" i="45"/>
  <c r="AZ345" i="45"/>
  <c r="A345" i="45" s="1"/>
  <c r="AV345" i="45"/>
  <c r="AA345" i="45"/>
  <c r="R345" i="45"/>
  <c r="CE346" i="45"/>
  <c r="AZ346" i="45"/>
  <c r="A346" i="45" s="1"/>
  <c r="AV346" i="45"/>
  <c r="AA346" i="45"/>
  <c r="R346" i="45"/>
  <c r="CE347" i="45"/>
  <c r="AZ347" i="45"/>
  <c r="A347" i="45" s="1"/>
  <c r="AV347" i="45"/>
  <c r="AA347" i="45"/>
  <c r="R347" i="45"/>
  <c r="CE348" i="45"/>
  <c r="AZ348" i="45"/>
  <c r="A348" i="45" s="1"/>
  <c r="AV348" i="45"/>
  <c r="AA348" i="45"/>
  <c r="R348" i="45"/>
  <c r="CE349" i="45"/>
  <c r="AZ349" i="45"/>
  <c r="A349" i="45" s="1"/>
  <c r="AV349" i="45"/>
  <c r="AA349" i="45"/>
  <c r="R349" i="45"/>
  <c r="CE350" i="45"/>
  <c r="AZ350" i="45"/>
  <c r="A350" i="45" s="1"/>
  <c r="AV350" i="45"/>
  <c r="AA350" i="45"/>
  <c r="R350" i="45"/>
  <c r="CE351" i="45"/>
  <c r="AZ351" i="45"/>
  <c r="A351" i="45" s="1"/>
  <c r="AV351" i="45"/>
  <c r="AA351" i="45"/>
  <c r="R351" i="45"/>
  <c r="CE352" i="45"/>
  <c r="AZ352" i="45"/>
  <c r="A352" i="45" s="1"/>
  <c r="AV352" i="45"/>
  <c r="AA352" i="45"/>
  <c r="R352" i="45"/>
  <c r="CE353" i="45"/>
  <c r="AZ353" i="45"/>
  <c r="A353" i="45" s="1"/>
  <c r="AV353" i="45"/>
  <c r="AA353" i="45"/>
  <c r="R353" i="45"/>
  <c r="CE354" i="45"/>
  <c r="AZ354" i="45"/>
  <c r="A354" i="45" s="1"/>
  <c r="AV354" i="45"/>
  <c r="AA354" i="45"/>
  <c r="R354" i="45"/>
  <c r="CE355" i="45"/>
  <c r="AZ355" i="45"/>
  <c r="A355" i="45" s="1"/>
  <c r="AV355" i="45"/>
  <c r="AA355" i="45"/>
  <c r="R355" i="45"/>
  <c r="CE356" i="45"/>
  <c r="AZ356" i="45"/>
  <c r="A356" i="45" s="1"/>
  <c r="AV356" i="45"/>
  <c r="AA356" i="45"/>
  <c r="R356" i="45"/>
  <c r="CE357" i="45"/>
  <c r="AZ357" i="45"/>
  <c r="A357" i="45" s="1"/>
  <c r="AV357" i="45"/>
  <c r="AA357" i="45"/>
  <c r="R357" i="45"/>
  <c r="CE358" i="45"/>
  <c r="AZ358" i="45"/>
  <c r="A358" i="45" s="1"/>
  <c r="AV358" i="45"/>
  <c r="AA358" i="45"/>
  <c r="R358" i="45"/>
  <c r="CE359" i="45"/>
  <c r="AZ359" i="45"/>
  <c r="A359" i="45" s="1"/>
  <c r="AV359" i="45"/>
  <c r="AA359" i="45"/>
  <c r="R359" i="45"/>
  <c r="CE360" i="45"/>
  <c r="AZ360" i="45"/>
  <c r="A360" i="45" s="1"/>
  <c r="AV360" i="45"/>
  <c r="AA360" i="45"/>
  <c r="R360" i="45"/>
  <c r="CE361" i="45"/>
  <c r="AZ361" i="45"/>
  <c r="A361" i="45" s="1"/>
  <c r="AV361" i="45"/>
  <c r="AA361" i="45"/>
  <c r="R361" i="45"/>
  <c r="CE362" i="45"/>
  <c r="AZ362" i="45"/>
  <c r="A362" i="45" s="1"/>
  <c r="AV362" i="45"/>
  <c r="AA362" i="45"/>
  <c r="R362" i="45"/>
  <c r="CE363" i="45"/>
  <c r="AZ363" i="45"/>
  <c r="A363" i="45" s="1"/>
  <c r="AV363" i="45"/>
  <c r="AA363" i="45"/>
  <c r="R363" i="45"/>
  <c r="CE364" i="45"/>
  <c r="AZ364" i="45"/>
  <c r="A364" i="45" s="1"/>
  <c r="AV364" i="45"/>
  <c r="AA364" i="45"/>
  <c r="R364" i="45"/>
  <c r="CE365" i="45"/>
  <c r="AZ365" i="45"/>
  <c r="A365" i="45" s="1"/>
  <c r="AV365" i="45"/>
  <c r="AA365" i="45"/>
  <c r="R365" i="45"/>
  <c r="CE366" i="45"/>
  <c r="AZ366" i="45"/>
  <c r="A366" i="45" s="1"/>
  <c r="AV366" i="45"/>
  <c r="AA366" i="45"/>
  <c r="R366" i="45"/>
  <c r="CE367" i="45"/>
  <c r="AZ367" i="45"/>
  <c r="A367" i="45" s="1"/>
  <c r="AV367" i="45"/>
  <c r="AA367" i="45"/>
  <c r="R367" i="45"/>
  <c r="CE368" i="45"/>
  <c r="AZ368" i="45"/>
  <c r="A368" i="45" s="1"/>
  <c r="AV368" i="45"/>
  <c r="AA368" i="45"/>
  <c r="R368" i="45"/>
  <c r="CE369" i="45"/>
  <c r="AZ369" i="45"/>
  <c r="A369" i="45" s="1"/>
  <c r="AV369" i="45"/>
  <c r="AA369" i="45"/>
  <c r="R369" i="45"/>
  <c r="CE370" i="45"/>
  <c r="AZ370" i="45"/>
  <c r="A370" i="45" s="1"/>
  <c r="AV370" i="45"/>
  <c r="AA370" i="45"/>
  <c r="R370" i="45"/>
  <c r="CE371" i="45"/>
  <c r="AZ371" i="45"/>
  <c r="A371" i="45" s="1"/>
  <c r="AV371" i="45"/>
  <c r="AA371" i="45"/>
  <c r="R371" i="45"/>
  <c r="CE372" i="45"/>
  <c r="AZ372" i="45"/>
  <c r="A372" i="45" s="1"/>
  <c r="AV372" i="45"/>
  <c r="AA372" i="45"/>
  <c r="R372" i="45"/>
  <c r="CE373" i="45"/>
  <c r="AZ373" i="45"/>
  <c r="A373" i="45" s="1"/>
  <c r="AV373" i="45"/>
  <c r="AA373" i="45"/>
  <c r="R373" i="45"/>
  <c r="CE374" i="45"/>
  <c r="AZ374" i="45"/>
  <c r="A374" i="45" s="1"/>
  <c r="AV374" i="45"/>
  <c r="AA374" i="45"/>
  <c r="R374" i="45"/>
  <c r="CE375" i="45"/>
  <c r="AZ375" i="45"/>
  <c r="A375" i="45" s="1"/>
  <c r="AV375" i="45"/>
  <c r="AA375" i="45"/>
  <c r="R375" i="45"/>
  <c r="CE376" i="45"/>
  <c r="AZ376" i="45"/>
  <c r="A376" i="45" s="1"/>
  <c r="AV376" i="45"/>
  <c r="AA376" i="45"/>
  <c r="R376" i="45"/>
  <c r="CE377" i="45"/>
  <c r="AZ377" i="45"/>
  <c r="A377" i="45" s="1"/>
  <c r="AV377" i="45"/>
  <c r="AA377" i="45"/>
  <c r="R377" i="45"/>
  <c r="CE378" i="45"/>
  <c r="AZ378" i="45"/>
  <c r="A378" i="45" s="1"/>
  <c r="AV378" i="45"/>
  <c r="AA378" i="45"/>
  <c r="R378" i="45"/>
  <c r="CE379" i="45"/>
  <c r="AZ379" i="45"/>
  <c r="A379" i="45" s="1"/>
  <c r="AV379" i="45"/>
  <c r="AA379" i="45"/>
  <c r="R379" i="45"/>
  <c r="CE380" i="45"/>
  <c r="AZ380" i="45"/>
  <c r="A380" i="45" s="1"/>
  <c r="AV380" i="45"/>
  <c r="AA380" i="45"/>
  <c r="R380" i="45"/>
  <c r="CE381" i="45"/>
  <c r="AZ381" i="45"/>
  <c r="A381" i="45" s="1"/>
  <c r="AV381" i="45"/>
  <c r="AA381" i="45"/>
  <c r="R381" i="45"/>
  <c r="CE382" i="45"/>
  <c r="AZ382" i="45"/>
  <c r="A382" i="45" s="1"/>
  <c r="AV382" i="45"/>
  <c r="AA382" i="45"/>
  <c r="R382" i="45"/>
  <c r="CE383" i="45"/>
  <c r="AZ383" i="45"/>
  <c r="A383" i="45" s="1"/>
  <c r="AV383" i="45"/>
  <c r="AA383" i="45"/>
  <c r="R383" i="45"/>
  <c r="CE384" i="45"/>
  <c r="AZ384" i="45"/>
  <c r="A384" i="45" s="1"/>
  <c r="AV384" i="45"/>
  <c r="AA384" i="45"/>
  <c r="R384" i="45"/>
  <c r="CE385" i="45"/>
  <c r="AZ385" i="45"/>
  <c r="A385" i="45" s="1"/>
  <c r="AV385" i="45"/>
  <c r="AA385" i="45"/>
  <c r="R385" i="45"/>
  <c r="CE386" i="45"/>
  <c r="AZ386" i="45"/>
  <c r="A386" i="45" s="1"/>
  <c r="AV386" i="45"/>
  <c r="AA386" i="45"/>
  <c r="R386" i="45"/>
  <c r="CE387" i="45"/>
  <c r="AZ387" i="45"/>
  <c r="A387" i="45" s="1"/>
  <c r="AV387" i="45"/>
  <c r="AA387" i="45"/>
  <c r="R387" i="45"/>
  <c r="CE388" i="45"/>
  <c r="AZ388" i="45"/>
  <c r="A388" i="45" s="1"/>
  <c r="AV388" i="45"/>
  <c r="AA388" i="45"/>
  <c r="R388" i="45"/>
  <c r="CE389" i="45"/>
  <c r="AZ389" i="45"/>
  <c r="A389" i="45" s="1"/>
  <c r="AV389" i="45"/>
  <c r="AA389" i="45"/>
  <c r="R389" i="45"/>
  <c r="CE390" i="45"/>
  <c r="AZ390" i="45"/>
  <c r="A390" i="45" s="1"/>
  <c r="AV390" i="45"/>
  <c r="AA390" i="45"/>
  <c r="R390" i="45"/>
  <c r="CE391" i="45"/>
  <c r="AZ391" i="45"/>
  <c r="A391" i="45" s="1"/>
  <c r="AV391" i="45"/>
  <c r="AA391" i="45"/>
  <c r="R391" i="45"/>
  <c r="CE392" i="45"/>
  <c r="AZ392" i="45"/>
  <c r="A392" i="45" s="1"/>
  <c r="AV392" i="45"/>
  <c r="AA392" i="45"/>
  <c r="R392" i="45"/>
  <c r="CE393" i="45"/>
  <c r="AZ393" i="45"/>
  <c r="A393" i="45" s="1"/>
  <c r="AV393" i="45"/>
  <c r="AA393" i="45"/>
  <c r="R393" i="45"/>
  <c r="CE394" i="45"/>
  <c r="AZ394" i="45"/>
  <c r="A394" i="45" s="1"/>
  <c r="AV394" i="45"/>
  <c r="AA394" i="45"/>
  <c r="R394" i="45"/>
  <c r="CE395" i="45"/>
  <c r="AZ395" i="45"/>
  <c r="A395" i="45" s="1"/>
  <c r="AV395" i="45"/>
  <c r="AA395" i="45"/>
  <c r="R395" i="45"/>
  <c r="CE396" i="45"/>
  <c r="AZ396" i="45"/>
  <c r="A396" i="45" s="1"/>
  <c r="AV396" i="45"/>
  <c r="AA396" i="45"/>
  <c r="R396" i="45"/>
  <c r="CE397" i="45"/>
  <c r="AZ397" i="45"/>
  <c r="A397" i="45" s="1"/>
  <c r="AV397" i="45"/>
  <c r="AA397" i="45"/>
  <c r="R397" i="45"/>
  <c r="CE398" i="45"/>
  <c r="AZ398" i="45"/>
  <c r="A398" i="45" s="1"/>
  <c r="AV398" i="45"/>
  <c r="AA398" i="45"/>
  <c r="R398" i="45"/>
  <c r="CE399" i="45"/>
  <c r="AZ399" i="45"/>
  <c r="A399" i="45" s="1"/>
  <c r="AV399" i="45"/>
  <c r="AA399" i="45"/>
  <c r="R399" i="45"/>
  <c r="CE400" i="45"/>
  <c r="AZ400" i="45"/>
  <c r="A400" i="45" s="1"/>
  <c r="AV400" i="45"/>
  <c r="AA400" i="45"/>
  <c r="R400" i="45"/>
  <c r="CE401" i="45"/>
  <c r="AZ401" i="45"/>
  <c r="A401" i="45" s="1"/>
  <c r="AV401" i="45"/>
  <c r="AA401" i="45"/>
  <c r="R401" i="45"/>
  <c r="CE402" i="45"/>
  <c r="AZ402" i="45"/>
  <c r="A402" i="45" s="1"/>
  <c r="AV402" i="45"/>
  <c r="AA402" i="45"/>
  <c r="R402" i="45"/>
  <c r="CE403" i="45"/>
  <c r="AZ403" i="45"/>
  <c r="A403" i="45" s="1"/>
  <c r="AV403" i="45"/>
  <c r="AA403" i="45"/>
  <c r="R403" i="45"/>
  <c r="CE404" i="45"/>
  <c r="AZ404" i="45"/>
  <c r="A404" i="45" s="1"/>
  <c r="AV404" i="45"/>
  <c r="AA404" i="45"/>
  <c r="R404" i="45"/>
  <c r="CE405" i="45"/>
  <c r="AZ405" i="45"/>
  <c r="A405" i="45" s="1"/>
  <c r="AV405" i="45"/>
  <c r="AA405" i="45"/>
  <c r="R405" i="45"/>
  <c r="CE406" i="45"/>
  <c r="AZ406" i="45"/>
  <c r="A406" i="45" s="1"/>
  <c r="AV406" i="45"/>
  <c r="AA406" i="45"/>
  <c r="R406" i="45"/>
  <c r="CE407" i="45"/>
  <c r="AZ407" i="45"/>
  <c r="A407" i="45" s="1"/>
  <c r="AV407" i="45"/>
  <c r="AA407" i="45"/>
  <c r="R407" i="45"/>
  <c r="CE408" i="45"/>
  <c r="AZ408" i="45"/>
  <c r="A408" i="45" s="1"/>
  <c r="AV408" i="45"/>
  <c r="AA408" i="45"/>
  <c r="R408" i="45"/>
  <c r="CE409" i="45"/>
  <c r="AZ409" i="45"/>
  <c r="A409" i="45" s="1"/>
  <c r="AV409" i="45"/>
  <c r="AA409" i="45"/>
  <c r="R409" i="45"/>
  <c r="CE410" i="45"/>
  <c r="AZ410" i="45"/>
  <c r="A410" i="45" s="1"/>
  <c r="AV410" i="45"/>
  <c r="AA410" i="45"/>
  <c r="R410" i="45"/>
  <c r="CE411" i="45"/>
  <c r="AZ411" i="45"/>
  <c r="A411" i="45" s="1"/>
  <c r="AV411" i="45"/>
  <c r="AA411" i="45"/>
  <c r="R411" i="45"/>
  <c r="CE412" i="45"/>
  <c r="AZ412" i="45"/>
  <c r="A412" i="45" s="1"/>
  <c r="AV412" i="45"/>
  <c r="AA412" i="45"/>
  <c r="R412" i="45"/>
  <c r="CE413" i="45"/>
  <c r="AZ413" i="45"/>
  <c r="A413" i="45" s="1"/>
  <c r="AV413" i="45"/>
  <c r="AA413" i="45"/>
  <c r="R413" i="45"/>
  <c r="CE414" i="45"/>
  <c r="AZ414" i="45"/>
  <c r="A414" i="45" s="1"/>
  <c r="AV414" i="45"/>
  <c r="AA414" i="45"/>
  <c r="R414" i="45"/>
  <c r="CE415" i="45"/>
  <c r="AZ415" i="45"/>
  <c r="A415" i="45" s="1"/>
  <c r="AV415" i="45"/>
  <c r="AA415" i="45"/>
  <c r="R415" i="45"/>
  <c r="CE416" i="45"/>
  <c r="AZ416" i="45"/>
  <c r="A416" i="45" s="1"/>
  <c r="AV416" i="45"/>
  <c r="AA416" i="45"/>
  <c r="R416" i="45"/>
  <c r="CE417" i="45"/>
  <c r="AZ417" i="45"/>
  <c r="A417" i="45" s="1"/>
  <c r="AV417" i="45"/>
  <c r="AA417" i="45"/>
  <c r="R417" i="45"/>
  <c r="CE418" i="45"/>
  <c r="AZ418" i="45"/>
  <c r="A418" i="45" s="1"/>
  <c r="AV418" i="45"/>
  <c r="AA418" i="45"/>
  <c r="R418" i="45"/>
  <c r="CE419" i="45"/>
  <c r="AZ419" i="45"/>
  <c r="A419" i="45" s="1"/>
  <c r="AV419" i="45"/>
  <c r="AA419" i="45"/>
  <c r="R419" i="45"/>
  <c r="CE420" i="45"/>
  <c r="AZ420" i="45"/>
  <c r="A420" i="45" s="1"/>
  <c r="AV420" i="45"/>
  <c r="AA420" i="45"/>
  <c r="R420" i="45"/>
  <c r="CE421" i="45"/>
  <c r="AZ421" i="45"/>
  <c r="A421" i="45" s="1"/>
  <c r="AV421" i="45"/>
  <c r="AA421" i="45"/>
  <c r="R421" i="45"/>
  <c r="CE422" i="45"/>
  <c r="AZ422" i="45"/>
  <c r="A422" i="45" s="1"/>
  <c r="AV422" i="45"/>
  <c r="AA422" i="45"/>
  <c r="R422" i="45"/>
  <c r="CE423" i="45"/>
  <c r="AZ423" i="45"/>
  <c r="A423" i="45" s="1"/>
  <c r="AV423" i="45"/>
  <c r="AA423" i="45"/>
  <c r="R423" i="45"/>
  <c r="CE424" i="45"/>
  <c r="AZ424" i="45"/>
  <c r="A424" i="45" s="1"/>
  <c r="AV424" i="45"/>
  <c r="AA424" i="45"/>
  <c r="R424" i="45"/>
  <c r="CE425" i="45"/>
  <c r="AZ425" i="45"/>
  <c r="A425" i="45" s="1"/>
  <c r="AV425" i="45"/>
  <c r="AA425" i="45"/>
  <c r="R425" i="45"/>
  <c r="CE426" i="45"/>
  <c r="AZ426" i="45"/>
  <c r="A426" i="45" s="1"/>
  <c r="AV426" i="45"/>
  <c r="AA426" i="45"/>
  <c r="R426" i="45"/>
  <c r="CE427" i="45"/>
  <c r="AZ427" i="45"/>
  <c r="A427" i="45" s="1"/>
  <c r="AV427" i="45"/>
  <c r="AA427" i="45"/>
  <c r="R427" i="45"/>
  <c r="CE428" i="45"/>
  <c r="AZ428" i="45"/>
  <c r="A428" i="45" s="1"/>
  <c r="AV428" i="45"/>
  <c r="AA428" i="45"/>
  <c r="R428" i="45"/>
  <c r="CE429" i="45"/>
  <c r="AZ429" i="45"/>
  <c r="A429" i="45" s="1"/>
  <c r="AV429" i="45"/>
  <c r="AA429" i="45"/>
  <c r="R429" i="45"/>
  <c r="CE430" i="45"/>
  <c r="AZ430" i="45"/>
  <c r="A430" i="45" s="1"/>
  <c r="AV430" i="45"/>
  <c r="AA430" i="45"/>
  <c r="R430" i="45"/>
  <c r="CE431" i="45"/>
  <c r="AZ431" i="45"/>
  <c r="A431" i="45" s="1"/>
  <c r="AV431" i="45"/>
  <c r="AA431" i="45"/>
  <c r="R431" i="45"/>
  <c r="CE432" i="45"/>
  <c r="AZ432" i="45"/>
  <c r="A432" i="45" s="1"/>
  <c r="AV432" i="45"/>
  <c r="AA432" i="45"/>
  <c r="R432" i="45"/>
  <c r="CE433" i="45"/>
  <c r="AZ433" i="45"/>
  <c r="A433" i="45" s="1"/>
  <c r="AV433" i="45"/>
  <c r="AA433" i="45"/>
  <c r="R433" i="45"/>
  <c r="CE434" i="45"/>
  <c r="AZ434" i="45"/>
  <c r="A434" i="45" s="1"/>
  <c r="AV434" i="45"/>
  <c r="AA434" i="45"/>
  <c r="R434" i="45"/>
  <c r="CE435" i="45"/>
  <c r="AZ435" i="45"/>
  <c r="A435" i="45" s="1"/>
  <c r="AV435" i="45"/>
  <c r="AA435" i="45"/>
  <c r="R435" i="45"/>
  <c r="CE436" i="45"/>
  <c r="AZ436" i="45"/>
  <c r="A436" i="45" s="1"/>
  <c r="AV436" i="45"/>
  <c r="AA436" i="45"/>
  <c r="R436" i="45"/>
  <c r="CE437" i="45"/>
  <c r="AZ437" i="45"/>
  <c r="A437" i="45" s="1"/>
  <c r="AV437" i="45"/>
  <c r="AA437" i="45"/>
  <c r="R437" i="45"/>
  <c r="CE438" i="45"/>
  <c r="AZ438" i="45"/>
  <c r="A438" i="45" s="1"/>
  <c r="AV438" i="45"/>
  <c r="AA438" i="45"/>
  <c r="R438" i="45"/>
  <c r="CE439" i="45"/>
  <c r="AZ439" i="45"/>
  <c r="A439" i="45" s="1"/>
  <c r="AV439" i="45"/>
  <c r="AA439" i="45"/>
  <c r="R439" i="45"/>
  <c r="CE440" i="45"/>
  <c r="AZ440" i="45"/>
  <c r="A440" i="45" s="1"/>
  <c r="AV440" i="45"/>
  <c r="AA440" i="45"/>
  <c r="R440" i="45"/>
  <c r="CE441" i="45"/>
  <c r="AZ441" i="45"/>
  <c r="A441" i="45" s="1"/>
  <c r="AV441" i="45"/>
  <c r="AA441" i="45"/>
  <c r="R441" i="45"/>
  <c r="CE442" i="45"/>
  <c r="AZ442" i="45"/>
  <c r="A442" i="45" s="1"/>
  <c r="AV442" i="45"/>
  <c r="AA442" i="45"/>
  <c r="R442" i="45"/>
  <c r="CE443" i="45"/>
  <c r="AZ443" i="45"/>
  <c r="A443" i="45" s="1"/>
  <c r="AV443" i="45"/>
  <c r="AA443" i="45"/>
  <c r="R443" i="45"/>
  <c r="CE444" i="45"/>
  <c r="AZ444" i="45"/>
  <c r="A444" i="45" s="1"/>
  <c r="AV444" i="45"/>
  <c r="AA444" i="45"/>
  <c r="R444" i="45"/>
  <c r="CE445" i="45"/>
  <c r="AZ445" i="45"/>
  <c r="A445" i="45" s="1"/>
  <c r="AV445" i="45"/>
  <c r="AA445" i="45"/>
  <c r="R445" i="45"/>
  <c r="CE446" i="45"/>
  <c r="AZ446" i="45"/>
  <c r="A446" i="45" s="1"/>
  <c r="AV446" i="45"/>
  <c r="AA446" i="45"/>
  <c r="R446" i="45"/>
  <c r="CE447" i="45"/>
  <c r="AZ447" i="45"/>
  <c r="A447" i="45" s="1"/>
  <c r="AV447" i="45"/>
  <c r="AA447" i="45"/>
  <c r="R447" i="45"/>
  <c r="CE448" i="45"/>
  <c r="AZ448" i="45"/>
  <c r="A448" i="45" s="1"/>
  <c r="AV448" i="45"/>
  <c r="AA448" i="45"/>
  <c r="R448" i="45"/>
  <c r="CE449" i="45"/>
  <c r="AZ449" i="45"/>
  <c r="A449" i="45" s="1"/>
  <c r="AV449" i="45"/>
  <c r="AA449" i="45"/>
  <c r="R449" i="45"/>
  <c r="CE450" i="45"/>
  <c r="AZ450" i="45"/>
  <c r="A450" i="45" s="1"/>
  <c r="AV450" i="45"/>
  <c r="AA450" i="45"/>
  <c r="R450" i="45"/>
  <c r="CE451" i="45"/>
  <c r="AZ451" i="45"/>
  <c r="A451" i="45" s="1"/>
  <c r="AV451" i="45"/>
  <c r="AA451" i="45"/>
  <c r="R451" i="45"/>
  <c r="CE452" i="45"/>
  <c r="AZ452" i="45"/>
  <c r="A452" i="45" s="1"/>
  <c r="AV452" i="45"/>
  <c r="AA452" i="45"/>
  <c r="R452" i="45"/>
  <c r="CE453" i="45"/>
  <c r="AZ453" i="45"/>
  <c r="A453" i="45" s="1"/>
  <c r="AV453" i="45"/>
  <c r="AA453" i="45"/>
  <c r="R453" i="45"/>
  <c r="CE454" i="45"/>
  <c r="AZ454" i="45"/>
  <c r="A454" i="45" s="1"/>
  <c r="AV454" i="45"/>
  <c r="AA454" i="45"/>
  <c r="R454" i="45"/>
  <c r="CE455" i="45"/>
  <c r="AZ455" i="45"/>
  <c r="A455" i="45" s="1"/>
  <c r="AV455" i="45"/>
  <c r="AA455" i="45"/>
  <c r="R455" i="45"/>
  <c r="CE456" i="45"/>
  <c r="AZ456" i="45"/>
  <c r="A456" i="45" s="1"/>
  <c r="AV456" i="45"/>
  <c r="AA456" i="45"/>
  <c r="R456" i="45"/>
  <c r="CE457" i="45"/>
  <c r="AZ457" i="45"/>
  <c r="A457" i="45" s="1"/>
  <c r="AV457" i="45"/>
  <c r="AA457" i="45"/>
  <c r="R457" i="45"/>
  <c r="CE458" i="45"/>
  <c r="AZ458" i="45"/>
  <c r="A458" i="45" s="1"/>
  <c r="AV458" i="45"/>
  <c r="AA458" i="45"/>
  <c r="R458" i="45"/>
  <c r="CE459" i="45"/>
  <c r="AZ459" i="45"/>
  <c r="A459" i="45" s="1"/>
  <c r="AV459" i="45"/>
  <c r="AA459" i="45"/>
  <c r="R459" i="45"/>
  <c r="CE460" i="45"/>
  <c r="AZ460" i="45"/>
  <c r="A460" i="45" s="1"/>
  <c r="AV460" i="45"/>
  <c r="AA460" i="45"/>
  <c r="R460" i="45"/>
  <c r="CE461" i="45"/>
  <c r="AZ461" i="45"/>
  <c r="A461" i="45" s="1"/>
  <c r="AV461" i="45"/>
  <c r="AA461" i="45"/>
  <c r="R461" i="45"/>
  <c r="CE462" i="45"/>
  <c r="AZ462" i="45"/>
  <c r="A462" i="45" s="1"/>
  <c r="AV462" i="45"/>
  <c r="AA462" i="45"/>
  <c r="R462" i="45"/>
  <c r="CE463" i="45"/>
  <c r="AZ463" i="45"/>
  <c r="A463" i="45" s="1"/>
  <c r="AV463" i="45"/>
  <c r="AA463" i="45"/>
  <c r="R463" i="45"/>
  <c r="CE464" i="45"/>
  <c r="AZ464" i="45"/>
  <c r="A464" i="45" s="1"/>
  <c r="AV464" i="45"/>
  <c r="AA464" i="45"/>
  <c r="R464" i="45"/>
  <c r="CE465" i="45"/>
  <c r="AZ465" i="45"/>
  <c r="A465" i="45" s="1"/>
  <c r="AV465" i="45"/>
  <c r="AA465" i="45"/>
  <c r="R465" i="45"/>
  <c r="CE466" i="45"/>
  <c r="AZ466" i="45"/>
  <c r="A466" i="45" s="1"/>
  <c r="AV466" i="45"/>
  <c r="AA466" i="45"/>
  <c r="R466" i="45"/>
  <c r="CE467" i="45"/>
  <c r="AZ467" i="45"/>
  <c r="A467" i="45" s="1"/>
  <c r="AV467" i="45"/>
  <c r="AA467" i="45"/>
  <c r="R467" i="45"/>
  <c r="CE468" i="45"/>
  <c r="AZ468" i="45"/>
  <c r="A468" i="45" s="1"/>
  <c r="AV468" i="45"/>
  <c r="AA468" i="45"/>
  <c r="R468" i="45"/>
  <c r="CE469" i="45"/>
  <c r="AZ469" i="45"/>
  <c r="A469" i="45" s="1"/>
  <c r="AV469" i="45"/>
  <c r="AA469" i="45"/>
  <c r="R469" i="45"/>
  <c r="CE470" i="45"/>
  <c r="AZ470" i="45"/>
  <c r="A470" i="45" s="1"/>
  <c r="AV470" i="45"/>
  <c r="AA470" i="45"/>
  <c r="R470" i="45"/>
  <c r="CE471" i="45"/>
  <c r="AZ471" i="45"/>
  <c r="A471" i="45" s="1"/>
  <c r="AV471" i="45"/>
  <c r="AA471" i="45"/>
  <c r="R471" i="45"/>
  <c r="CE472" i="45"/>
  <c r="AZ472" i="45"/>
  <c r="A472" i="45" s="1"/>
  <c r="AV472" i="45"/>
  <c r="AA472" i="45"/>
  <c r="R472" i="45"/>
  <c r="CE473" i="45"/>
  <c r="AZ473" i="45"/>
  <c r="A473" i="45" s="1"/>
  <c r="AV473" i="45"/>
  <c r="AA473" i="45"/>
  <c r="R473" i="45"/>
  <c r="CE474" i="45"/>
  <c r="AZ474" i="45"/>
  <c r="A474" i="45" s="1"/>
  <c r="AV474" i="45"/>
  <c r="AA474" i="45"/>
  <c r="R474" i="45"/>
  <c r="CE475" i="45"/>
  <c r="AZ475" i="45"/>
  <c r="A475" i="45" s="1"/>
  <c r="AV475" i="45"/>
  <c r="AA475" i="45"/>
  <c r="R475" i="45"/>
  <c r="CE476" i="45"/>
  <c r="AZ476" i="45"/>
  <c r="A476" i="45" s="1"/>
  <c r="AV476" i="45"/>
  <c r="AA476" i="45"/>
  <c r="R476" i="45"/>
  <c r="CE477" i="45"/>
  <c r="AZ477" i="45"/>
  <c r="A477" i="45" s="1"/>
  <c r="AV477" i="45"/>
  <c r="AA477" i="45"/>
  <c r="R477" i="45"/>
  <c r="CE478" i="45"/>
  <c r="AZ478" i="45"/>
  <c r="A478" i="45" s="1"/>
  <c r="AV478" i="45"/>
  <c r="AA478" i="45"/>
  <c r="R478" i="45"/>
  <c r="CE479" i="45"/>
  <c r="AZ479" i="45"/>
  <c r="A479" i="45" s="1"/>
  <c r="AV479" i="45"/>
  <c r="AA479" i="45"/>
  <c r="R479" i="45"/>
  <c r="CE480" i="45"/>
  <c r="AZ480" i="45"/>
  <c r="A480" i="45" s="1"/>
  <c r="AV480" i="45"/>
  <c r="AA480" i="45"/>
  <c r="R480" i="45"/>
  <c r="CE481" i="45"/>
  <c r="AZ481" i="45"/>
  <c r="A481" i="45" s="1"/>
  <c r="AV481" i="45"/>
  <c r="AA481" i="45"/>
  <c r="R481" i="45"/>
  <c r="CE482" i="45"/>
  <c r="AZ482" i="45"/>
  <c r="A482" i="45" s="1"/>
  <c r="AV482" i="45"/>
  <c r="AA482" i="45"/>
  <c r="R482" i="45"/>
  <c r="CE483" i="45"/>
  <c r="AZ483" i="45"/>
  <c r="A483" i="45" s="1"/>
  <c r="AV483" i="45"/>
  <c r="AA483" i="45"/>
  <c r="R483" i="45"/>
  <c r="CE484" i="45"/>
  <c r="AZ484" i="45"/>
  <c r="A484" i="45" s="1"/>
  <c r="AV484" i="45"/>
  <c r="AA484" i="45"/>
  <c r="R484" i="45"/>
  <c r="CE485" i="45"/>
  <c r="AZ485" i="45"/>
  <c r="A485" i="45" s="1"/>
  <c r="AV485" i="45"/>
  <c r="AA485" i="45"/>
  <c r="R485" i="45"/>
  <c r="CE486" i="45"/>
  <c r="AZ486" i="45"/>
  <c r="A486" i="45" s="1"/>
  <c r="AV486" i="45"/>
  <c r="AA486" i="45"/>
  <c r="R486" i="45"/>
  <c r="CE487" i="45"/>
  <c r="AZ487" i="45"/>
  <c r="A487" i="45" s="1"/>
  <c r="AV487" i="45"/>
  <c r="AA487" i="45"/>
  <c r="R487" i="45"/>
  <c r="CE488" i="45"/>
  <c r="AZ488" i="45"/>
  <c r="A488" i="45" s="1"/>
  <c r="AV488" i="45"/>
  <c r="AA488" i="45"/>
  <c r="R488" i="45"/>
  <c r="CE489" i="45"/>
  <c r="AZ489" i="45"/>
  <c r="A489" i="45" s="1"/>
  <c r="AV489" i="45"/>
  <c r="AA489" i="45"/>
  <c r="R489" i="45"/>
  <c r="CE490" i="45"/>
  <c r="AZ490" i="45"/>
  <c r="A490" i="45" s="1"/>
  <c r="AV490" i="45"/>
  <c r="AA490" i="45"/>
  <c r="R490" i="45"/>
  <c r="CE491" i="45"/>
  <c r="AZ491" i="45"/>
  <c r="A491" i="45" s="1"/>
  <c r="AV491" i="45"/>
  <c r="AA491" i="45"/>
  <c r="R491" i="45"/>
  <c r="CE492" i="45"/>
  <c r="AZ492" i="45"/>
  <c r="A492" i="45" s="1"/>
  <c r="AV492" i="45"/>
  <c r="AA492" i="45"/>
  <c r="R492" i="45"/>
  <c r="CE493" i="45"/>
  <c r="AZ493" i="45"/>
  <c r="A493" i="45" s="1"/>
  <c r="AV493" i="45"/>
  <c r="AA493" i="45"/>
  <c r="R493" i="45"/>
  <c r="CE494" i="45"/>
  <c r="AZ494" i="45"/>
  <c r="A494" i="45" s="1"/>
  <c r="AV494" i="45"/>
  <c r="AA494" i="45"/>
  <c r="R494" i="45"/>
  <c r="CE495" i="45"/>
  <c r="AZ495" i="45"/>
  <c r="A495" i="45" s="1"/>
  <c r="AV495" i="45"/>
  <c r="AA495" i="45"/>
  <c r="R495" i="45"/>
  <c r="CE496" i="45"/>
  <c r="AZ496" i="45"/>
  <c r="A496" i="45" s="1"/>
  <c r="AV496" i="45"/>
  <c r="AA496" i="45"/>
  <c r="R496" i="45"/>
  <c r="CE497" i="45"/>
  <c r="AZ497" i="45"/>
  <c r="A497" i="45" s="1"/>
  <c r="AV497" i="45"/>
  <c r="AA497" i="45"/>
  <c r="R497" i="45"/>
  <c r="CE498" i="45"/>
  <c r="AZ498" i="45"/>
  <c r="A498" i="45" s="1"/>
  <c r="AV498" i="45"/>
  <c r="AA498" i="45"/>
  <c r="R498" i="45"/>
  <c r="CE499" i="45"/>
  <c r="AZ499" i="45"/>
  <c r="A499" i="45" s="1"/>
  <c r="AV499" i="45"/>
  <c r="AA499" i="45"/>
  <c r="R499" i="45"/>
  <c r="CE500" i="45"/>
  <c r="AZ500" i="45"/>
  <c r="A500" i="45" s="1"/>
  <c r="AV500" i="45"/>
  <c r="AA500" i="45"/>
  <c r="R500" i="45"/>
  <c r="CE501" i="45"/>
  <c r="AZ501" i="45"/>
  <c r="A501" i="45" s="1"/>
  <c r="AV501" i="45"/>
  <c r="AA501" i="45"/>
  <c r="R501" i="45"/>
  <c r="CE502" i="45"/>
  <c r="AZ502" i="45"/>
  <c r="A502" i="45" s="1"/>
  <c r="AV502" i="45"/>
  <c r="AA502" i="45"/>
  <c r="R502" i="45"/>
  <c r="CE503" i="45"/>
  <c r="AZ503" i="45"/>
  <c r="A503" i="45" s="1"/>
  <c r="AV503" i="45"/>
  <c r="AA503" i="45"/>
  <c r="R503" i="45"/>
  <c r="CE504" i="45"/>
  <c r="AZ504" i="45"/>
  <c r="A504" i="45" s="1"/>
  <c r="AV504" i="45"/>
  <c r="AA504" i="45"/>
  <c r="R504" i="45"/>
  <c r="CE505" i="45"/>
  <c r="AZ505" i="45"/>
  <c r="A505" i="45" s="1"/>
  <c r="AV505" i="45"/>
  <c r="AA505" i="45"/>
  <c r="R505" i="45"/>
  <c r="CE506" i="45"/>
  <c r="AZ506" i="45"/>
  <c r="A506" i="45" s="1"/>
  <c r="AV506" i="45"/>
  <c r="AA506" i="45"/>
  <c r="R506" i="45"/>
  <c r="CE507" i="45"/>
  <c r="AZ507" i="45"/>
  <c r="A507" i="45" s="1"/>
  <c r="AV507" i="45"/>
  <c r="AA507" i="45"/>
  <c r="R507" i="45"/>
  <c r="CE508" i="45"/>
  <c r="AZ508" i="45"/>
  <c r="A508" i="45" s="1"/>
  <c r="AV508" i="45"/>
  <c r="AA508" i="45"/>
  <c r="R508" i="45"/>
  <c r="CE509" i="45"/>
  <c r="AZ509" i="45"/>
  <c r="A509" i="45" s="1"/>
  <c r="AV509" i="45"/>
  <c r="AA509" i="45"/>
  <c r="R509" i="45"/>
  <c r="CE510" i="45"/>
  <c r="AZ510" i="45"/>
  <c r="A510" i="45" s="1"/>
  <c r="AV510" i="45"/>
  <c r="AA510" i="45"/>
  <c r="R510" i="45"/>
  <c r="CE511" i="45"/>
  <c r="AZ511" i="45"/>
  <c r="A511" i="45" s="1"/>
  <c r="AV511" i="45"/>
  <c r="AA511" i="45"/>
  <c r="R511" i="45"/>
  <c r="CE512" i="45"/>
  <c r="AZ512" i="45"/>
  <c r="A512" i="45" s="1"/>
  <c r="AV512" i="45"/>
  <c r="AA512" i="45"/>
  <c r="R512" i="45"/>
  <c r="CE513" i="45"/>
  <c r="AZ513" i="45"/>
  <c r="A513" i="45" s="1"/>
  <c r="AV513" i="45"/>
  <c r="AA513" i="45"/>
  <c r="R513" i="45"/>
  <c r="CE514" i="45"/>
  <c r="AZ514" i="45"/>
  <c r="A514" i="45" s="1"/>
  <c r="AV514" i="45"/>
  <c r="AA514" i="45"/>
  <c r="R514" i="45"/>
  <c r="CE515" i="45"/>
  <c r="AZ515" i="45"/>
  <c r="A515" i="45" s="1"/>
  <c r="AV515" i="45"/>
  <c r="AA515" i="45"/>
  <c r="R515" i="45"/>
  <c r="CE516" i="45"/>
  <c r="AZ516" i="45"/>
  <c r="A516" i="45" s="1"/>
  <c r="AV516" i="45"/>
  <c r="AA516" i="45"/>
  <c r="R516" i="45"/>
  <c r="CE517" i="45"/>
  <c r="AZ517" i="45"/>
  <c r="A517" i="45" s="1"/>
  <c r="AV517" i="45"/>
  <c r="AA517" i="45"/>
  <c r="R517" i="45"/>
  <c r="CE518" i="45"/>
  <c r="AZ518" i="45"/>
  <c r="A518" i="45" s="1"/>
  <c r="AV518" i="45"/>
  <c r="AA518" i="45"/>
  <c r="R518" i="45"/>
  <c r="CE519" i="45"/>
  <c r="AZ519" i="45"/>
  <c r="A519" i="45" s="1"/>
  <c r="AV519" i="45"/>
  <c r="AA519" i="45"/>
  <c r="R519" i="45"/>
  <c r="CE520" i="45"/>
  <c r="AZ520" i="45"/>
  <c r="A520" i="45" s="1"/>
  <c r="AV520" i="45"/>
  <c r="AA520" i="45"/>
  <c r="R520" i="45"/>
  <c r="CE521" i="45"/>
  <c r="AZ521" i="45"/>
  <c r="A521" i="45" s="1"/>
  <c r="AV521" i="45"/>
  <c r="AA521" i="45"/>
  <c r="R521" i="45"/>
  <c r="CE522" i="45"/>
  <c r="AZ522" i="45"/>
  <c r="A522" i="45" s="1"/>
  <c r="AV522" i="45"/>
  <c r="AA522" i="45"/>
  <c r="R522" i="45"/>
  <c r="CE523" i="45"/>
  <c r="AZ523" i="45"/>
  <c r="A523" i="45" s="1"/>
  <c r="AV523" i="45"/>
  <c r="AA523" i="45"/>
  <c r="R523" i="45"/>
  <c r="CE524" i="45"/>
  <c r="AZ524" i="45"/>
  <c r="A524" i="45" s="1"/>
  <c r="AV524" i="45"/>
  <c r="AA524" i="45"/>
  <c r="R524" i="45"/>
  <c r="CE525" i="45"/>
  <c r="AZ525" i="45"/>
  <c r="A525" i="45" s="1"/>
  <c r="AV525" i="45"/>
  <c r="AA525" i="45"/>
  <c r="R525" i="45"/>
  <c r="CE526" i="45"/>
  <c r="AZ526" i="45"/>
  <c r="A526" i="45" s="1"/>
  <c r="AV526" i="45"/>
  <c r="AA526" i="45"/>
  <c r="R526" i="45"/>
  <c r="CE527" i="45"/>
  <c r="AZ527" i="45"/>
  <c r="A527" i="45" s="1"/>
  <c r="AV527" i="45"/>
  <c r="AA527" i="45"/>
  <c r="R527" i="45"/>
  <c r="CE528" i="45"/>
  <c r="AZ528" i="45"/>
  <c r="A528" i="45" s="1"/>
  <c r="AV528" i="45"/>
  <c r="AA528" i="45"/>
  <c r="R528" i="45"/>
  <c r="CE529" i="45"/>
  <c r="AZ529" i="45"/>
  <c r="A529" i="45" s="1"/>
  <c r="AV529" i="45"/>
  <c r="AA529" i="45"/>
  <c r="R529" i="45"/>
  <c r="CE530" i="45"/>
  <c r="AZ530" i="45"/>
  <c r="A530" i="45" s="1"/>
  <c r="AV530" i="45"/>
  <c r="AA530" i="45"/>
  <c r="R530" i="45"/>
  <c r="CE531" i="45"/>
  <c r="AZ531" i="45"/>
  <c r="A531" i="45" s="1"/>
  <c r="AV531" i="45"/>
  <c r="AA531" i="45"/>
  <c r="R531" i="45"/>
  <c r="CE532" i="45"/>
  <c r="AZ532" i="45"/>
  <c r="A532" i="45" s="1"/>
  <c r="AV532" i="45"/>
  <c r="AA532" i="45"/>
  <c r="R532" i="45"/>
  <c r="CE533" i="45"/>
  <c r="AZ533" i="45"/>
  <c r="A533" i="45" s="1"/>
  <c r="AV533" i="45"/>
  <c r="AA533" i="45"/>
  <c r="R533" i="45"/>
  <c r="CE534" i="45"/>
  <c r="AZ534" i="45"/>
  <c r="A534" i="45" s="1"/>
  <c r="AV534" i="45"/>
  <c r="AA534" i="45"/>
  <c r="R534" i="45"/>
  <c r="CE535" i="45"/>
  <c r="AZ535" i="45"/>
  <c r="A535" i="45" s="1"/>
  <c r="AV535" i="45"/>
  <c r="AA535" i="45"/>
  <c r="R535" i="45"/>
  <c r="CE536" i="45"/>
  <c r="AZ536" i="45"/>
  <c r="A536" i="45" s="1"/>
  <c r="AV536" i="45"/>
  <c r="AA536" i="45"/>
  <c r="R536" i="45"/>
  <c r="CE537" i="45"/>
  <c r="AZ537" i="45"/>
  <c r="A537" i="45" s="1"/>
  <c r="AV537" i="45"/>
  <c r="AA537" i="45"/>
  <c r="R537" i="45"/>
  <c r="CE538" i="45"/>
  <c r="AZ538" i="45"/>
  <c r="A538" i="45" s="1"/>
  <c r="AV538" i="45"/>
  <c r="AA538" i="45"/>
  <c r="R538" i="45"/>
  <c r="CE539" i="45"/>
  <c r="AZ539" i="45"/>
  <c r="A539" i="45" s="1"/>
  <c r="AV539" i="45"/>
  <c r="AA539" i="45"/>
  <c r="R539" i="45"/>
  <c r="CE540" i="45"/>
  <c r="AZ540" i="45"/>
  <c r="A540" i="45" s="1"/>
  <c r="AV540" i="45"/>
  <c r="AA540" i="45"/>
  <c r="R540" i="45"/>
  <c r="CE541" i="45"/>
  <c r="AZ541" i="45"/>
  <c r="A541" i="45" s="1"/>
  <c r="AV541" i="45"/>
  <c r="AA541" i="45"/>
  <c r="R541" i="45"/>
  <c r="CE542" i="45"/>
  <c r="AZ542" i="45"/>
  <c r="A542" i="45" s="1"/>
  <c r="AV542" i="45"/>
  <c r="AA542" i="45"/>
  <c r="R542" i="45"/>
  <c r="CE543" i="45"/>
  <c r="AZ543" i="45"/>
  <c r="A543" i="45" s="1"/>
  <c r="AV543" i="45"/>
  <c r="AA543" i="45"/>
  <c r="R543" i="45"/>
  <c r="CE544" i="45"/>
  <c r="AZ544" i="45"/>
  <c r="A544" i="45" s="1"/>
  <c r="AV544" i="45"/>
  <c r="AA544" i="45"/>
  <c r="R544" i="45"/>
  <c r="CE545" i="45"/>
  <c r="AZ545" i="45"/>
  <c r="A545" i="45" s="1"/>
  <c r="AV545" i="45"/>
  <c r="AA545" i="45"/>
  <c r="R545" i="45"/>
  <c r="CE546" i="45"/>
  <c r="AZ546" i="45"/>
  <c r="A546" i="45" s="1"/>
  <c r="AV546" i="45"/>
  <c r="AA546" i="45"/>
  <c r="R546" i="45"/>
  <c r="CE547" i="45"/>
  <c r="AZ547" i="45"/>
  <c r="A547" i="45" s="1"/>
  <c r="AV547" i="45"/>
  <c r="AA547" i="45"/>
  <c r="R547" i="45"/>
  <c r="CE548" i="45"/>
  <c r="AZ548" i="45"/>
  <c r="A548" i="45" s="1"/>
  <c r="AV548" i="45"/>
  <c r="AA548" i="45"/>
  <c r="R548" i="45"/>
  <c r="CE549" i="45"/>
  <c r="AZ549" i="45"/>
  <c r="A549" i="45" s="1"/>
  <c r="AV549" i="45"/>
  <c r="AA549" i="45"/>
  <c r="R549" i="45"/>
  <c r="CE550" i="45"/>
  <c r="AZ550" i="45"/>
  <c r="A550" i="45" s="1"/>
  <c r="AV550" i="45"/>
  <c r="AA550" i="45"/>
  <c r="R550" i="45"/>
  <c r="CE551" i="45"/>
  <c r="AZ551" i="45"/>
  <c r="A551" i="45" s="1"/>
  <c r="AV551" i="45"/>
  <c r="AA551" i="45"/>
  <c r="R551" i="45"/>
  <c r="CE552" i="45"/>
  <c r="AZ552" i="45"/>
  <c r="A552" i="45" s="1"/>
  <c r="AV552" i="45"/>
  <c r="AA552" i="45"/>
  <c r="R552" i="45"/>
  <c r="CE553" i="45"/>
  <c r="AZ553" i="45"/>
  <c r="A553" i="45" s="1"/>
  <c r="AV553" i="45"/>
  <c r="AA553" i="45"/>
  <c r="R553" i="45"/>
  <c r="CE554" i="45"/>
  <c r="AZ554" i="45"/>
  <c r="A554" i="45" s="1"/>
  <c r="AV554" i="45"/>
  <c r="AA554" i="45"/>
  <c r="R554" i="45"/>
  <c r="CE555" i="45"/>
  <c r="AZ555" i="45"/>
  <c r="A555" i="45" s="1"/>
  <c r="AV555" i="45"/>
  <c r="AA555" i="45"/>
  <c r="R555" i="45"/>
  <c r="CE556" i="45"/>
  <c r="AZ556" i="45"/>
  <c r="A556" i="45" s="1"/>
  <c r="AV556" i="45"/>
  <c r="AA556" i="45"/>
  <c r="R556" i="45"/>
  <c r="CE557" i="45"/>
  <c r="AZ557" i="45"/>
  <c r="A557" i="45" s="1"/>
  <c r="AV557" i="45"/>
  <c r="AA557" i="45"/>
  <c r="R557" i="45"/>
  <c r="CE558" i="45"/>
  <c r="AZ558" i="45"/>
  <c r="A558" i="45" s="1"/>
  <c r="AV558" i="45"/>
  <c r="AA558" i="45"/>
  <c r="R558" i="45"/>
  <c r="CE559" i="45"/>
  <c r="AZ559" i="45"/>
  <c r="A559" i="45" s="1"/>
  <c r="AV559" i="45"/>
  <c r="AA559" i="45"/>
  <c r="R559" i="45"/>
  <c r="CE560" i="45"/>
  <c r="AZ560" i="45"/>
  <c r="A560" i="45" s="1"/>
  <c r="AV560" i="45"/>
  <c r="AA560" i="45"/>
  <c r="R560" i="45"/>
  <c r="CE561" i="45"/>
  <c r="AZ561" i="45"/>
  <c r="A561" i="45" s="1"/>
  <c r="AV561" i="45"/>
  <c r="AA561" i="45"/>
  <c r="R561" i="45"/>
  <c r="CE562" i="45"/>
  <c r="AZ562" i="45"/>
  <c r="A562" i="45" s="1"/>
  <c r="AV562" i="45"/>
  <c r="AA562" i="45"/>
  <c r="R562" i="45"/>
  <c r="CE563" i="45"/>
  <c r="AZ563" i="45"/>
  <c r="A563" i="45" s="1"/>
  <c r="AV563" i="45"/>
  <c r="AA563" i="45"/>
  <c r="R563" i="45"/>
  <c r="CE564" i="45"/>
  <c r="AZ564" i="45"/>
  <c r="A564" i="45" s="1"/>
  <c r="AV564" i="45"/>
  <c r="AA564" i="45"/>
  <c r="R564" i="45"/>
  <c r="CE565" i="45"/>
  <c r="AZ565" i="45"/>
  <c r="A565" i="45" s="1"/>
  <c r="AV565" i="45"/>
  <c r="AA565" i="45"/>
  <c r="R565" i="45"/>
  <c r="CE566" i="45"/>
  <c r="AZ566" i="45"/>
  <c r="A566" i="45" s="1"/>
  <c r="AV566" i="45"/>
  <c r="AA566" i="45"/>
  <c r="R566" i="45"/>
  <c r="CE567" i="45"/>
  <c r="AZ567" i="45"/>
  <c r="A567" i="45" s="1"/>
  <c r="AV567" i="45"/>
  <c r="AA567" i="45"/>
  <c r="R567" i="45"/>
  <c r="CE568" i="45"/>
  <c r="AZ568" i="45"/>
  <c r="A568" i="45" s="1"/>
  <c r="AV568" i="45"/>
  <c r="AA568" i="45"/>
  <c r="R568" i="45"/>
  <c r="CE569" i="45"/>
  <c r="AZ569" i="45"/>
  <c r="A569" i="45" s="1"/>
  <c r="AV569" i="45"/>
  <c r="AA569" i="45"/>
  <c r="R569" i="45"/>
  <c r="CE570" i="45"/>
  <c r="AZ570" i="45"/>
  <c r="A570" i="45" s="1"/>
  <c r="AV570" i="45"/>
  <c r="AA570" i="45"/>
  <c r="R570" i="45"/>
  <c r="CE571" i="45"/>
  <c r="AZ571" i="45"/>
  <c r="A571" i="45" s="1"/>
  <c r="AV571" i="45"/>
  <c r="AA571" i="45"/>
  <c r="R571" i="45"/>
  <c r="CE572" i="45"/>
  <c r="AZ572" i="45"/>
  <c r="A572" i="45" s="1"/>
  <c r="AV572" i="45"/>
  <c r="AA572" i="45"/>
  <c r="R572" i="45"/>
  <c r="CE573" i="45"/>
  <c r="AZ573" i="45"/>
  <c r="A573" i="45" s="1"/>
  <c r="AV573" i="45"/>
  <c r="AA573" i="45"/>
  <c r="R573" i="45"/>
  <c r="CE574" i="45"/>
  <c r="AZ574" i="45"/>
  <c r="A574" i="45" s="1"/>
  <c r="AV574" i="45"/>
  <c r="AA574" i="45"/>
  <c r="R574" i="45"/>
  <c r="CE575" i="45"/>
  <c r="AZ575" i="45"/>
  <c r="AV575" i="45"/>
  <c r="AA575" i="45"/>
  <c r="R575" i="45"/>
  <c r="A575" i="45"/>
  <c r="CE576" i="45"/>
  <c r="AZ576" i="45"/>
  <c r="A576" i="45" s="1"/>
  <c r="AV576" i="45"/>
  <c r="AA576" i="45"/>
  <c r="R576" i="45"/>
  <c r="CE577" i="45"/>
  <c r="AZ577" i="45"/>
  <c r="A577" i="45" s="1"/>
  <c r="AV577" i="45"/>
  <c r="AA577" i="45"/>
  <c r="R577" i="45"/>
  <c r="CE578" i="45"/>
  <c r="AZ578" i="45"/>
  <c r="A578" i="45" s="1"/>
  <c r="AV578" i="45"/>
  <c r="AA578" i="45"/>
  <c r="R578" i="45"/>
  <c r="CE579" i="45"/>
  <c r="AZ579" i="45"/>
  <c r="A579" i="45" s="1"/>
  <c r="AV579" i="45"/>
  <c r="AA579" i="45"/>
  <c r="R579" i="45"/>
  <c r="CE580" i="45"/>
  <c r="AZ580" i="45"/>
  <c r="A580" i="45" s="1"/>
  <c r="AV580" i="45"/>
  <c r="AA580" i="45"/>
  <c r="R580" i="45"/>
  <c r="CE581" i="45"/>
  <c r="AZ581" i="45"/>
  <c r="A581" i="45" s="1"/>
  <c r="AV581" i="45"/>
  <c r="AA581" i="45"/>
  <c r="R581" i="45"/>
  <c r="CE582" i="45"/>
  <c r="AZ582" i="45"/>
  <c r="A582" i="45" s="1"/>
  <c r="AV582" i="45"/>
  <c r="AA582" i="45"/>
  <c r="R582" i="45"/>
  <c r="CE583" i="45"/>
  <c r="AZ583" i="45"/>
  <c r="A583" i="45" s="1"/>
  <c r="AV583" i="45"/>
  <c r="AA583" i="45"/>
  <c r="R583" i="45"/>
  <c r="CE584" i="45"/>
  <c r="AZ584" i="45"/>
  <c r="A584" i="45" s="1"/>
  <c r="AV584" i="45"/>
  <c r="AA584" i="45"/>
  <c r="R584" i="45"/>
  <c r="CE585" i="45"/>
  <c r="AZ585" i="45"/>
  <c r="A585" i="45" s="1"/>
  <c r="AV585" i="45"/>
  <c r="AA585" i="45"/>
  <c r="R585" i="45"/>
  <c r="CE586" i="45"/>
  <c r="AZ586" i="45"/>
  <c r="A586" i="45" s="1"/>
  <c r="AV586" i="45"/>
  <c r="AA586" i="45"/>
  <c r="R586" i="45"/>
  <c r="CE587" i="45"/>
  <c r="AZ587" i="45"/>
  <c r="A587" i="45" s="1"/>
  <c r="AV587" i="45"/>
  <c r="AA587" i="45"/>
  <c r="R587" i="45"/>
  <c r="CE588" i="45"/>
  <c r="AZ588" i="45"/>
  <c r="A588" i="45" s="1"/>
  <c r="AV588" i="45"/>
  <c r="AA588" i="45"/>
  <c r="R588" i="45"/>
  <c r="CE589" i="45"/>
  <c r="AZ589" i="45"/>
  <c r="A589" i="45" s="1"/>
  <c r="AV589" i="45"/>
  <c r="AA589" i="45"/>
  <c r="R589" i="45"/>
  <c r="CE590" i="45"/>
  <c r="AZ590" i="45"/>
  <c r="A590" i="45" s="1"/>
  <c r="AV590" i="45"/>
  <c r="AA590" i="45"/>
  <c r="R590" i="45"/>
  <c r="CE591" i="45"/>
  <c r="AZ591" i="45"/>
  <c r="A591" i="45" s="1"/>
  <c r="AV591" i="45"/>
  <c r="AA591" i="45"/>
  <c r="R591" i="45"/>
  <c r="CE592" i="45"/>
  <c r="AZ592" i="45"/>
  <c r="A592" i="45" s="1"/>
  <c r="AV592" i="45"/>
  <c r="AA592" i="45"/>
  <c r="R592" i="45"/>
  <c r="CE593" i="45"/>
  <c r="AZ593" i="45"/>
  <c r="A593" i="45" s="1"/>
  <c r="AV593" i="45"/>
  <c r="AA593" i="45"/>
  <c r="R593" i="45"/>
  <c r="CE594" i="45"/>
  <c r="AZ594" i="45"/>
  <c r="A594" i="45" s="1"/>
  <c r="AV594" i="45"/>
  <c r="AA594" i="45"/>
  <c r="R594" i="45"/>
  <c r="CE595" i="45"/>
  <c r="AZ595" i="45"/>
  <c r="A595" i="45" s="1"/>
  <c r="AV595" i="45"/>
  <c r="AA595" i="45"/>
  <c r="R595" i="45"/>
  <c r="CE596" i="45"/>
  <c r="AZ596" i="45"/>
  <c r="A596" i="45" s="1"/>
  <c r="AV596" i="45"/>
  <c r="AA596" i="45"/>
  <c r="R596" i="45"/>
  <c r="CE597" i="45"/>
  <c r="AZ597" i="45"/>
  <c r="A597" i="45" s="1"/>
  <c r="AV597" i="45"/>
  <c r="AA597" i="45"/>
  <c r="R597" i="45"/>
  <c r="CE598" i="45"/>
  <c r="AZ598" i="45"/>
  <c r="A598" i="45" s="1"/>
  <c r="AV598" i="45"/>
  <c r="AA598" i="45"/>
  <c r="R598" i="45"/>
  <c r="CE599" i="45"/>
  <c r="AZ599" i="45"/>
  <c r="A599" i="45" s="1"/>
  <c r="AV599" i="45"/>
  <c r="AA599" i="45"/>
  <c r="R599" i="45"/>
  <c r="CE600" i="45"/>
  <c r="AZ600" i="45"/>
  <c r="A600" i="45" s="1"/>
  <c r="AV600" i="45"/>
  <c r="AA600" i="45"/>
  <c r="R600" i="45"/>
  <c r="CE601" i="45"/>
  <c r="AZ601" i="45"/>
  <c r="A601" i="45" s="1"/>
  <c r="AV601" i="45"/>
  <c r="AA601" i="45"/>
  <c r="R601" i="45"/>
  <c r="CE602" i="45"/>
  <c r="AZ602" i="45"/>
  <c r="A602" i="45" s="1"/>
  <c r="AV602" i="45"/>
  <c r="AA602" i="45"/>
  <c r="R602" i="45"/>
  <c r="CE603" i="45"/>
  <c r="AZ603" i="45"/>
  <c r="A603" i="45" s="1"/>
  <c r="AV603" i="45"/>
  <c r="AA603" i="45"/>
  <c r="R603" i="45"/>
  <c r="CE604" i="45"/>
  <c r="AZ604" i="45"/>
  <c r="A604" i="45" s="1"/>
  <c r="AV604" i="45"/>
  <c r="AA604" i="45"/>
  <c r="R604" i="45"/>
  <c r="CE605" i="45"/>
  <c r="AZ605" i="45"/>
  <c r="A605" i="45" s="1"/>
  <c r="AV605" i="45"/>
  <c r="AA605" i="45"/>
  <c r="R605" i="45"/>
  <c r="CE606" i="45"/>
  <c r="AZ606" i="45"/>
  <c r="A606" i="45" s="1"/>
  <c r="AV606" i="45"/>
  <c r="AA606" i="45"/>
  <c r="R606" i="45"/>
  <c r="CE607" i="45"/>
  <c r="AZ607" i="45"/>
  <c r="A607" i="45" s="1"/>
  <c r="AV607" i="45"/>
  <c r="AA607" i="45"/>
  <c r="R607" i="45"/>
  <c r="CE608" i="45"/>
  <c r="AZ608" i="45"/>
  <c r="A608" i="45" s="1"/>
  <c r="AV608" i="45"/>
  <c r="AA608" i="45"/>
  <c r="R608" i="45"/>
  <c r="CE609" i="45"/>
  <c r="AZ609" i="45"/>
  <c r="A609" i="45" s="1"/>
  <c r="AV609" i="45"/>
  <c r="AA609" i="45"/>
  <c r="R609" i="45"/>
  <c r="CE610" i="45"/>
  <c r="AZ610" i="45"/>
  <c r="A610" i="45" s="1"/>
  <c r="AV610" i="45"/>
  <c r="AA610" i="45"/>
  <c r="R610" i="45"/>
  <c r="CE611" i="45"/>
  <c r="AZ611" i="45"/>
  <c r="A611" i="45" s="1"/>
  <c r="AV611" i="45"/>
  <c r="AA611" i="45"/>
  <c r="R611" i="45"/>
  <c r="CE612" i="45"/>
  <c r="AZ612" i="45"/>
  <c r="A612" i="45" s="1"/>
  <c r="AV612" i="45"/>
  <c r="AA612" i="45"/>
  <c r="R612" i="45"/>
  <c r="CE613" i="45"/>
  <c r="AZ613" i="45"/>
  <c r="A613" i="45" s="1"/>
  <c r="AV613" i="45"/>
  <c r="AA613" i="45"/>
  <c r="R613" i="45"/>
  <c r="CE614" i="45"/>
  <c r="AZ614" i="45"/>
  <c r="A614" i="45" s="1"/>
  <c r="AV614" i="45"/>
  <c r="AA614" i="45"/>
  <c r="R614" i="45"/>
  <c r="CE615" i="45"/>
  <c r="AZ615" i="45"/>
  <c r="A615" i="45" s="1"/>
  <c r="AV615" i="45"/>
  <c r="AA615" i="45"/>
  <c r="R615" i="45"/>
  <c r="CE616" i="45"/>
  <c r="AZ616" i="45"/>
  <c r="A616" i="45" s="1"/>
  <c r="AV616" i="45"/>
  <c r="AA616" i="45"/>
  <c r="R616" i="45"/>
  <c r="CE617" i="45"/>
  <c r="AZ617" i="45"/>
  <c r="A617" i="45" s="1"/>
  <c r="AV617" i="45"/>
  <c r="AA617" i="45"/>
  <c r="R617" i="45"/>
  <c r="CE618" i="45"/>
  <c r="AZ618" i="45"/>
  <c r="A618" i="45" s="1"/>
  <c r="AV618" i="45"/>
  <c r="AA618" i="45"/>
  <c r="R618" i="45"/>
  <c r="CE619" i="45"/>
  <c r="AZ619" i="45"/>
  <c r="A619" i="45" s="1"/>
  <c r="AV619" i="45"/>
  <c r="AA619" i="45"/>
  <c r="R619" i="45"/>
  <c r="CE620" i="45"/>
  <c r="AZ620" i="45"/>
  <c r="A620" i="45" s="1"/>
  <c r="AV620" i="45"/>
  <c r="AA620" i="45"/>
  <c r="R620" i="45"/>
  <c r="CE621" i="45"/>
  <c r="AZ621" i="45"/>
  <c r="A621" i="45" s="1"/>
  <c r="AV621" i="45"/>
  <c r="AA621" i="45"/>
  <c r="R621" i="45"/>
  <c r="CE622" i="45"/>
  <c r="AZ622" i="45"/>
  <c r="A622" i="45" s="1"/>
  <c r="AV622" i="45"/>
  <c r="AA622" i="45"/>
  <c r="R622" i="45"/>
  <c r="CE623" i="45"/>
  <c r="AZ623" i="45"/>
  <c r="A623" i="45" s="1"/>
  <c r="AV623" i="45"/>
  <c r="AA623" i="45"/>
  <c r="R623" i="45"/>
  <c r="CE624" i="45"/>
  <c r="AZ624" i="45"/>
  <c r="A624" i="45" s="1"/>
  <c r="AV624" i="45"/>
  <c r="AA624" i="45"/>
  <c r="R624" i="45"/>
  <c r="CE625" i="45"/>
  <c r="AZ625" i="45"/>
  <c r="A625" i="45" s="1"/>
  <c r="AV625" i="45"/>
  <c r="AA625" i="45"/>
  <c r="R625" i="45"/>
  <c r="CE626" i="45"/>
  <c r="AZ626" i="45"/>
  <c r="A626" i="45" s="1"/>
  <c r="AV626" i="45"/>
  <c r="AA626" i="45"/>
  <c r="R626" i="45"/>
  <c r="CE627" i="45"/>
  <c r="AZ627" i="45"/>
  <c r="A627" i="45" s="1"/>
  <c r="AV627" i="45"/>
  <c r="AA627" i="45"/>
  <c r="R627" i="45"/>
  <c r="CE628" i="45"/>
  <c r="AZ628" i="45"/>
  <c r="A628" i="45" s="1"/>
  <c r="AV628" i="45"/>
  <c r="AA628" i="45"/>
  <c r="R628" i="45"/>
  <c r="CE629" i="45"/>
  <c r="AZ629" i="45"/>
  <c r="A629" i="45" s="1"/>
  <c r="AV629" i="45"/>
  <c r="AA629" i="45"/>
  <c r="R629" i="45"/>
  <c r="CE630" i="45"/>
  <c r="AZ630" i="45"/>
  <c r="A630" i="45" s="1"/>
  <c r="AV630" i="45"/>
  <c r="AA630" i="45"/>
  <c r="R630" i="45"/>
  <c r="CE631" i="45"/>
  <c r="AZ631" i="45"/>
  <c r="A631" i="45" s="1"/>
  <c r="AV631" i="45"/>
  <c r="AA631" i="45"/>
  <c r="R631" i="45"/>
  <c r="CE632" i="45"/>
  <c r="AZ632" i="45"/>
  <c r="A632" i="45" s="1"/>
  <c r="AV632" i="45"/>
  <c r="AA632" i="45"/>
  <c r="R632" i="45"/>
  <c r="CE633" i="45"/>
  <c r="AZ633" i="45"/>
  <c r="A633" i="45" s="1"/>
  <c r="AV633" i="45"/>
  <c r="AA633" i="45"/>
  <c r="R633" i="45"/>
  <c r="CE634" i="45"/>
  <c r="AZ634" i="45"/>
  <c r="A634" i="45" s="1"/>
  <c r="AV634" i="45"/>
  <c r="AA634" i="45"/>
  <c r="R634" i="45"/>
  <c r="CE635" i="45"/>
  <c r="AZ635" i="45"/>
  <c r="A635" i="45" s="1"/>
  <c r="AV635" i="45"/>
  <c r="AA635" i="45"/>
  <c r="R635" i="45"/>
  <c r="CE636" i="45"/>
  <c r="AZ636" i="45"/>
  <c r="A636" i="45" s="1"/>
  <c r="AV636" i="45"/>
  <c r="AA636" i="45"/>
  <c r="R636" i="45"/>
  <c r="CE637" i="45"/>
  <c r="AZ637" i="45"/>
  <c r="A637" i="45" s="1"/>
  <c r="AV637" i="45"/>
  <c r="AA637" i="45"/>
  <c r="R637" i="45"/>
  <c r="CE638" i="45"/>
  <c r="AZ638" i="45"/>
  <c r="A638" i="45" s="1"/>
  <c r="AV638" i="45"/>
  <c r="AA638" i="45"/>
  <c r="R638" i="45"/>
  <c r="CE639" i="45"/>
  <c r="AZ639" i="45"/>
  <c r="A639" i="45" s="1"/>
  <c r="AV639" i="45"/>
  <c r="AA639" i="45"/>
  <c r="R639" i="45"/>
  <c r="CE640" i="45"/>
  <c r="AZ640" i="45"/>
  <c r="A640" i="45" s="1"/>
  <c r="AV640" i="45"/>
  <c r="AA640" i="45"/>
  <c r="R640" i="45"/>
  <c r="CE641" i="45"/>
  <c r="AZ641" i="45"/>
  <c r="A641" i="45" s="1"/>
  <c r="AV641" i="45"/>
  <c r="AA641" i="45"/>
  <c r="R641" i="45"/>
  <c r="CE642" i="45"/>
  <c r="AZ642" i="45"/>
  <c r="A642" i="45" s="1"/>
  <c r="AV642" i="45"/>
  <c r="AA642" i="45"/>
  <c r="R642" i="45"/>
  <c r="CE643" i="45"/>
  <c r="AZ643" i="45"/>
  <c r="A643" i="45" s="1"/>
  <c r="AV643" i="45"/>
  <c r="AA643" i="45"/>
  <c r="R643" i="45"/>
  <c r="CE644" i="45"/>
  <c r="AZ644" i="45"/>
  <c r="AV644" i="45"/>
  <c r="AA644" i="45"/>
  <c r="R644" i="45"/>
  <c r="A644" i="45"/>
  <c r="CE645" i="45"/>
  <c r="AZ645" i="45"/>
  <c r="A645" i="45" s="1"/>
  <c r="AV645" i="45"/>
  <c r="AA645" i="45"/>
  <c r="R645" i="45"/>
  <c r="CE646" i="45"/>
  <c r="AZ646" i="45"/>
  <c r="A646" i="45" s="1"/>
  <c r="AV646" i="45"/>
  <c r="AA646" i="45"/>
  <c r="R646" i="45"/>
  <c r="CE647" i="45"/>
  <c r="AZ647" i="45"/>
  <c r="A647" i="45" s="1"/>
  <c r="AV647" i="45"/>
  <c r="AA647" i="45"/>
  <c r="R647" i="45"/>
  <c r="CE648" i="45"/>
  <c r="AZ648" i="45"/>
  <c r="A648" i="45" s="1"/>
  <c r="AV648" i="45"/>
  <c r="AA648" i="45"/>
  <c r="R648" i="45"/>
  <c r="CE649" i="45"/>
  <c r="AZ649" i="45"/>
  <c r="A649" i="45" s="1"/>
  <c r="AV649" i="45"/>
  <c r="AA649" i="45"/>
  <c r="R649" i="45"/>
  <c r="CE650" i="45"/>
  <c r="AZ650" i="45"/>
  <c r="A650" i="45" s="1"/>
  <c r="AV650" i="45"/>
  <c r="AA650" i="45"/>
  <c r="R650" i="45"/>
  <c r="CE651" i="45"/>
  <c r="AZ651" i="45"/>
  <c r="A651" i="45" s="1"/>
  <c r="AV651" i="45"/>
  <c r="AA651" i="45"/>
  <c r="R651" i="45"/>
  <c r="CE652" i="45"/>
  <c r="AZ652" i="45"/>
  <c r="A652" i="45" s="1"/>
  <c r="AV652" i="45"/>
  <c r="AA652" i="45"/>
  <c r="R652" i="45"/>
  <c r="CE653" i="45"/>
  <c r="AZ653" i="45"/>
  <c r="A653" i="45" s="1"/>
  <c r="AV653" i="45"/>
  <c r="AA653" i="45"/>
  <c r="R653" i="45"/>
  <c r="CE654" i="45"/>
  <c r="AZ654" i="45"/>
  <c r="A654" i="45" s="1"/>
  <c r="AV654" i="45"/>
  <c r="AA654" i="45"/>
  <c r="R654" i="45"/>
  <c r="CE655" i="45"/>
  <c r="AZ655" i="45"/>
  <c r="A655" i="45" s="1"/>
  <c r="AV655" i="45"/>
  <c r="AA655" i="45"/>
  <c r="R655" i="45"/>
  <c r="CE656" i="45"/>
  <c r="AZ656" i="45"/>
  <c r="A656" i="45" s="1"/>
  <c r="AV656" i="45"/>
  <c r="AA656" i="45"/>
  <c r="R656" i="45"/>
  <c r="CE657" i="45"/>
  <c r="AZ657" i="45"/>
  <c r="A657" i="45" s="1"/>
  <c r="AV657" i="45"/>
  <c r="AA657" i="45"/>
  <c r="R657" i="45"/>
  <c r="CE658" i="45"/>
  <c r="AZ658" i="45"/>
  <c r="A658" i="45" s="1"/>
  <c r="AV658" i="45"/>
  <c r="AA658" i="45"/>
  <c r="R658" i="45"/>
  <c r="CE659" i="45"/>
  <c r="AZ659" i="45"/>
  <c r="A659" i="45" s="1"/>
  <c r="AV659" i="45"/>
  <c r="AA659" i="45"/>
  <c r="R659" i="45"/>
  <c r="CE660" i="45"/>
  <c r="AZ660" i="45"/>
  <c r="A660" i="45" s="1"/>
  <c r="AV660" i="45"/>
  <c r="AA660" i="45"/>
  <c r="R660" i="45"/>
  <c r="CE661" i="45"/>
  <c r="AZ661" i="45"/>
  <c r="A661" i="45" s="1"/>
  <c r="AV661" i="45"/>
  <c r="AA661" i="45"/>
  <c r="R661" i="45"/>
  <c r="CE662" i="45"/>
  <c r="AZ662" i="45"/>
  <c r="A662" i="45" s="1"/>
  <c r="AV662" i="45"/>
  <c r="AA662" i="45"/>
  <c r="R662" i="45"/>
  <c r="CE663" i="45"/>
  <c r="AZ663" i="45"/>
  <c r="A663" i="45" s="1"/>
  <c r="AV663" i="45"/>
  <c r="AA663" i="45"/>
  <c r="R663" i="45"/>
  <c r="CE664" i="45"/>
  <c r="AZ664" i="45"/>
  <c r="A664" i="45" s="1"/>
  <c r="AV664" i="45"/>
  <c r="AA664" i="45"/>
  <c r="R664" i="45"/>
  <c r="CE665" i="45"/>
  <c r="AZ665" i="45"/>
  <c r="A665" i="45" s="1"/>
  <c r="AV665" i="45"/>
  <c r="AA665" i="45"/>
  <c r="R665" i="45"/>
  <c r="CE666" i="45"/>
  <c r="AZ666" i="45"/>
  <c r="A666" i="45" s="1"/>
  <c r="AV666" i="45"/>
  <c r="AA666" i="45"/>
  <c r="R666" i="45"/>
  <c r="CE667" i="45"/>
  <c r="AZ667" i="45"/>
  <c r="A667" i="45" s="1"/>
  <c r="AV667" i="45"/>
  <c r="AA667" i="45"/>
  <c r="R667" i="45"/>
  <c r="CE668" i="45"/>
  <c r="AZ668" i="45"/>
  <c r="A668" i="45" s="1"/>
  <c r="AV668" i="45"/>
  <c r="AA668" i="45"/>
  <c r="R668" i="45"/>
  <c r="CE669" i="45"/>
  <c r="AZ669" i="45"/>
  <c r="A669" i="45" s="1"/>
  <c r="AA669" i="45"/>
  <c r="R669" i="45"/>
  <c r="CE670" i="45"/>
  <c r="AZ670" i="45"/>
  <c r="A670" i="45" s="1"/>
  <c r="AV670" i="45"/>
  <c r="AA670" i="45"/>
  <c r="R670" i="45"/>
  <c r="CE671" i="45"/>
  <c r="AZ671" i="45"/>
  <c r="A671" i="45" s="1"/>
  <c r="AV671" i="45"/>
  <c r="AA671" i="45"/>
  <c r="R671" i="45"/>
  <c r="CE672" i="45"/>
  <c r="AZ672" i="45"/>
  <c r="A672" i="45" s="1"/>
  <c r="AV672" i="45"/>
  <c r="AA672" i="45"/>
  <c r="R672" i="45"/>
  <c r="CE673" i="45"/>
  <c r="AZ673" i="45"/>
  <c r="A673" i="45" s="1"/>
  <c r="AV673" i="45"/>
  <c r="AA673" i="45"/>
  <c r="R673" i="45"/>
  <c r="CE674" i="45"/>
  <c r="AZ674" i="45"/>
  <c r="AV674" i="45"/>
  <c r="AA674" i="45"/>
  <c r="R674" i="45"/>
  <c r="A674" i="45"/>
  <c r="CE675" i="45"/>
  <c r="AZ675" i="45"/>
  <c r="A675" i="45" s="1"/>
  <c r="AV675" i="45"/>
  <c r="AA675" i="45"/>
  <c r="R675" i="45"/>
  <c r="CE676" i="45"/>
  <c r="AZ676" i="45"/>
  <c r="A676" i="45" s="1"/>
  <c r="AV676" i="45"/>
  <c r="AA676" i="45"/>
  <c r="R676" i="45"/>
  <c r="CE677" i="45"/>
  <c r="AZ677" i="45"/>
  <c r="A677" i="45" s="1"/>
  <c r="AV677" i="45"/>
  <c r="AA677" i="45"/>
  <c r="R677" i="45"/>
  <c r="CE678" i="45"/>
  <c r="AZ678" i="45"/>
  <c r="A678" i="45" s="1"/>
  <c r="AV678" i="45"/>
  <c r="AA678" i="45"/>
  <c r="R678" i="45"/>
  <c r="CE679" i="45"/>
  <c r="AZ679" i="45"/>
  <c r="A679" i="45" s="1"/>
  <c r="AV679" i="45"/>
  <c r="AA679" i="45"/>
  <c r="R679" i="45"/>
  <c r="CE680" i="45"/>
  <c r="AZ680" i="45"/>
  <c r="A680" i="45" s="1"/>
  <c r="AV680" i="45"/>
  <c r="AA680" i="45"/>
  <c r="R680" i="45"/>
  <c r="CE681" i="45"/>
  <c r="AZ681" i="45"/>
  <c r="A681" i="45" s="1"/>
  <c r="AV681" i="45"/>
  <c r="AA681" i="45"/>
  <c r="R681" i="45"/>
  <c r="CE682" i="45"/>
  <c r="AZ682" i="45"/>
  <c r="A682" i="45" s="1"/>
  <c r="AV682" i="45"/>
  <c r="AA682" i="45"/>
  <c r="R682" i="45"/>
  <c r="CE683" i="45"/>
  <c r="AZ683" i="45"/>
  <c r="A683" i="45" s="1"/>
  <c r="AV683" i="45"/>
  <c r="AA683" i="45"/>
  <c r="R683" i="45"/>
  <c r="CE684" i="45"/>
  <c r="AZ684" i="45"/>
  <c r="A684" i="45" s="1"/>
  <c r="AV684" i="45"/>
  <c r="AA684" i="45"/>
  <c r="R684" i="45"/>
  <c r="CE685" i="45"/>
  <c r="AZ685" i="45"/>
  <c r="A685" i="45" s="1"/>
  <c r="AV685" i="45"/>
  <c r="AA685" i="45"/>
  <c r="R685" i="45"/>
  <c r="CE686" i="45"/>
  <c r="AZ686" i="45"/>
  <c r="A686" i="45" s="1"/>
  <c r="AV686" i="45"/>
  <c r="AA686" i="45"/>
  <c r="R686" i="45"/>
  <c r="CE687" i="45"/>
  <c r="AZ687" i="45"/>
  <c r="A687" i="45" s="1"/>
  <c r="AV687" i="45"/>
  <c r="AA687" i="45"/>
  <c r="R687" i="45"/>
  <c r="CE688" i="45"/>
  <c r="AZ688" i="45"/>
  <c r="A688" i="45" s="1"/>
  <c r="AV688" i="45"/>
  <c r="AA688" i="45"/>
  <c r="R688" i="45"/>
  <c r="CE689" i="45"/>
  <c r="AZ689" i="45"/>
  <c r="A689" i="45" s="1"/>
  <c r="AV689" i="45"/>
  <c r="AA689" i="45"/>
  <c r="R689" i="45"/>
  <c r="CE690" i="45"/>
  <c r="AZ690" i="45"/>
  <c r="A690" i="45" s="1"/>
  <c r="AV690" i="45"/>
  <c r="AA690" i="45"/>
  <c r="R690" i="45"/>
  <c r="CE691" i="45"/>
  <c r="AZ691" i="45"/>
  <c r="A691" i="45" s="1"/>
  <c r="AV691" i="45"/>
  <c r="AA691" i="45"/>
  <c r="R691" i="45"/>
  <c r="CE692" i="45"/>
  <c r="AZ692" i="45"/>
  <c r="A692" i="45" s="1"/>
  <c r="AV692" i="45"/>
  <c r="AA692" i="45"/>
  <c r="R692" i="45"/>
  <c r="CE693" i="45"/>
  <c r="AZ693" i="45"/>
  <c r="A693" i="45" s="1"/>
  <c r="AV693" i="45"/>
  <c r="AA693" i="45"/>
  <c r="R693" i="45"/>
  <c r="CE694" i="45"/>
  <c r="AZ694" i="45"/>
  <c r="A694" i="45" s="1"/>
  <c r="AV694" i="45"/>
  <c r="AA694" i="45"/>
  <c r="R694" i="45"/>
  <c r="CE695" i="45"/>
  <c r="AZ695" i="45"/>
  <c r="A695" i="45" s="1"/>
  <c r="AV695" i="45"/>
  <c r="AA695" i="45"/>
  <c r="R695" i="45"/>
  <c r="CE696" i="45"/>
  <c r="AZ696" i="45"/>
  <c r="A696" i="45" s="1"/>
  <c r="AV696" i="45"/>
  <c r="AA696" i="45"/>
  <c r="R696" i="45"/>
  <c r="CE697" i="45"/>
  <c r="AZ697" i="45"/>
  <c r="A697" i="45" s="1"/>
  <c r="AV697" i="45"/>
  <c r="AA697" i="45"/>
  <c r="R697" i="45"/>
  <c r="CE698" i="45"/>
  <c r="AZ698" i="45"/>
  <c r="A698" i="45" s="1"/>
  <c r="AV698" i="45"/>
  <c r="AA698" i="45"/>
  <c r="R698" i="45"/>
  <c r="CE699" i="45"/>
  <c r="AZ699" i="45"/>
  <c r="A699" i="45" s="1"/>
  <c r="AV699" i="45"/>
  <c r="AA699" i="45"/>
  <c r="R699" i="45"/>
  <c r="CE700" i="45"/>
  <c r="AZ700" i="45"/>
  <c r="A700" i="45" s="1"/>
  <c r="AV700" i="45"/>
  <c r="AA700" i="45"/>
  <c r="R700" i="45"/>
  <c r="CE701" i="45"/>
  <c r="AZ701" i="45"/>
  <c r="A701" i="45" s="1"/>
  <c r="AV701" i="45"/>
  <c r="AA701" i="45"/>
  <c r="R701" i="45"/>
  <c r="CE702" i="45"/>
  <c r="AZ702" i="45"/>
  <c r="A702" i="45" s="1"/>
  <c r="AV702" i="45"/>
  <c r="AA702" i="45"/>
  <c r="R702" i="45"/>
  <c r="CE703" i="45"/>
  <c r="AZ703" i="45"/>
  <c r="A703" i="45" s="1"/>
  <c r="AV703" i="45"/>
  <c r="AA703" i="45"/>
  <c r="R703" i="45"/>
  <c r="CE704" i="45"/>
  <c r="AZ704" i="45"/>
  <c r="A704" i="45" s="1"/>
  <c r="AV704" i="45"/>
  <c r="AA704" i="45"/>
  <c r="R704" i="45"/>
  <c r="CE705" i="45"/>
  <c r="AZ705" i="45"/>
  <c r="A705" i="45" s="1"/>
  <c r="AV705" i="45"/>
  <c r="AA705" i="45"/>
  <c r="R705" i="45"/>
  <c r="CE706" i="45"/>
  <c r="AZ706" i="45"/>
  <c r="A706" i="45" s="1"/>
  <c r="AV706" i="45"/>
  <c r="AA706" i="45"/>
  <c r="R706" i="45"/>
  <c r="CE707" i="45"/>
  <c r="AZ707" i="45"/>
  <c r="A707" i="45" s="1"/>
  <c r="AV707" i="45"/>
  <c r="AA707" i="45"/>
  <c r="R707" i="45"/>
  <c r="CE708" i="45"/>
  <c r="AZ708" i="45"/>
  <c r="A708" i="45" s="1"/>
  <c r="AV708" i="45"/>
  <c r="AA708" i="45"/>
  <c r="R708" i="45"/>
  <c r="CE709" i="45"/>
  <c r="AZ709" i="45"/>
  <c r="A709" i="45" s="1"/>
  <c r="AV709" i="45"/>
  <c r="AA709" i="45"/>
  <c r="R709" i="45"/>
  <c r="CE710" i="45"/>
  <c r="AZ710" i="45"/>
  <c r="A710" i="45" s="1"/>
  <c r="AV710" i="45"/>
  <c r="AA710" i="45"/>
  <c r="R710" i="45"/>
  <c r="CE711" i="45"/>
  <c r="AZ711" i="45"/>
  <c r="A711" i="45" s="1"/>
  <c r="AV711" i="45"/>
  <c r="AA711" i="45"/>
  <c r="R711" i="45"/>
  <c r="CE712" i="45"/>
  <c r="AZ712" i="45"/>
  <c r="A712" i="45" s="1"/>
  <c r="AV712" i="45"/>
  <c r="AA712" i="45"/>
  <c r="R712" i="45"/>
  <c r="CE713" i="45"/>
  <c r="AZ713" i="45"/>
  <c r="A713" i="45" s="1"/>
  <c r="AV713" i="45"/>
  <c r="AA713" i="45"/>
  <c r="R713" i="45"/>
  <c r="CE714" i="45"/>
  <c r="AZ714" i="45"/>
  <c r="A714" i="45" s="1"/>
  <c r="AV714" i="45"/>
  <c r="AA714" i="45"/>
  <c r="R714" i="45"/>
  <c r="CE715" i="45"/>
  <c r="AZ715" i="45"/>
  <c r="A715" i="45" s="1"/>
  <c r="AV715" i="45"/>
  <c r="AA715" i="45"/>
  <c r="R715" i="45"/>
  <c r="CE716" i="45"/>
  <c r="AZ716" i="45"/>
  <c r="A716" i="45" s="1"/>
  <c r="AV716" i="45"/>
  <c r="AA716" i="45"/>
  <c r="R716" i="45"/>
  <c r="CE717" i="45"/>
  <c r="AZ717" i="45"/>
  <c r="A717" i="45" s="1"/>
  <c r="AV717" i="45"/>
  <c r="AA717" i="45"/>
  <c r="R717" i="45"/>
  <c r="CE718" i="45"/>
  <c r="AZ718" i="45"/>
  <c r="A718" i="45" s="1"/>
  <c r="AV718" i="45"/>
  <c r="AA718" i="45"/>
  <c r="R718" i="45"/>
  <c r="CE719" i="45"/>
  <c r="AZ719" i="45"/>
  <c r="A719" i="45" s="1"/>
  <c r="AV719" i="45"/>
  <c r="AA719" i="45"/>
  <c r="R719" i="45"/>
  <c r="CE720" i="45"/>
  <c r="AZ720" i="45"/>
  <c r="A720" i="45" s="1"/>
  <c r="AV720" i="45"/>
  <c r="AA720" i="45"/>
  <c r="R720" i="45"/>
  <c r="CE721" i="45"/>
  <c r="AZ721" i="45"/>
  <c r="A721" i="45" s="1"/>
  <c r="AV721" i="45"/>
  <c r="AA721" i="45"/>
  <c r="R721" i="45"/>
  <c r="CE722" i="45"/>
  <c r="AZ722" i="45"/>
  <c r="A722" i="45" s="1"/>
  <c r="AV722" i="45"/>
  <c r="AA722" i="45"/>
  <c r="R722" i="45"/>
  <c r="CE723" i="45"/>
  <c r="AZ723" i="45"/>
  <c r="A723" i="45" s="1"/>
  <c r="AV723" i="45"/>
  <c r="AA723" i="45"/>
  <c r="R723" i="45"/>
  <c r="CE724" i="45"/>
  <c r="AZ724" i="45"/>
  <c r="A724" i="45" s="1"/>
  <c r="AV724" i="45"/>
  <c r="AA724" i="45"/>
  <c r="R724" i="45"/>
  <c r="CE725" i="45"/>
  <c r="AZ725" i="45"/>
  <c r="A725" i="45" s="1"/>
  <c r="AV725" i="45"/>
  <c r="AA725" i="45"/>
  <c r="R725" i="45"/>
  <c r="CE726" i="45"/>
  <c r="AZ726" i="45"/>
  <c r="A726" i="45" s="1"/>
  <c r="AV726" i="45"/>
  <c r="AA726" i="45"/>
  <c r="R726" i="45"/>
  <c r="CE727" i="45"/>
  <c r="AZ727" i="45"/>
  <c r="A727" i="45" s="1"/>
  <c r="AV727" i="45"/>
  <c r="AA727" i="45"/>
  <c r="R727" i="45"/>
  <c r="CE728" i="45"/>
  <c r="AZ728" i="45"/>
  <c r="A728" i="45" s="1"/>
  <c r="AV728" i="45"/>
  <c r="AA728" i="45"/>
  <c r="R728" i="45"/>
  <c r="CE729" i="45"/>
  <c r="AZ729" i="45"/>
  <c r="A729" i="45" s="1"/>
  <c r="AV729" i="45"/>
  <c r="AA729" i="45"/>
  <c r="R729" i="45"/>
  <c r="CE730" i="45"/>
  <c r="AZ730" i="45"/>
  <c r="A730" i="45" s="1"/>
  <c r="AV730" i="45"/>
  <c r="AA730" i="45"/>
  <c r="R730" i="45"/>
  <c r="CE731" i="45"/>
  <c r="AZ731" i="45"/>
  <c r="A731" i="45" s="1"/>
  <c r="AV731" i="45"/>
  <c r="AA731" i="45"/>
  <c r="R731" i="45"/>
  <c r="CE732" i="45"/>
  <c r="AZ732" i="45"/>
  <c r="A732" i="45" s="1"/>
  <c r="AV732" i="45"/>
  <c r="AA732" i="45"/>
  <c r="R732" i="45"/>
  <c r="CE733" i="45"/>
  <c r="AZ733" i="45"/>
  <c r="A733" i="45" s="1"/>
  <c r="AV733" i="45"/>
  <c r="AA733" i="45"/>
  <c r="R733" i="45"/>
  <c r="CE734" i="45"/>
  <c r="AZ734" i="45"/>
  <c r="A734" i="45" s="1"/>
  <c r="AV734" i="45"/>
  <c r="AA734" i="45"/>
  <c r="R734" i="45"/>
  <c r="CE735" i="45"/>
  <c r="AZ735" i="45"/>
  <c r="AV735" i="45"/>
  <c r="AA735" i="45"/>
  <c r="R735" i="45"/>
  <c r="A735" i="45"/>
  <c r="CE736" i="45"/>
  <c r="AZ736" i="45"/>
  <c r="A736" i="45" s="1"/>
  <c r="AV736" i="45"/>
  <c r="AA736" i="45"/>
  <c r="R736" i="45"/>
  <c r="CE737" i="45"/>
  <c r="AZ737" i="45"/>
  <c r="A737" i="45" s="1"/>
  <c r="AV737" i="45"/>
  <c r="AA737" i="45"/>
  <c r="R737" i="45"/>
  <c r="CE738" i="45"/>
  <c r="AZ738" i="45"/>
  <c r="A738" i="45" s="1"/>
  <c r="AV738" i="45"/>
  <c r="AA738" i="45"/>
  <c r="R738" i="45"/>
  <c r="CE739" i="45"/>
  <c r="AZ739" i="45"/>
  <c r="A739" i="45" s="1"/>
  <c r="AV739" i="45"/>
  <c r="AA739" i="45"/>
  <c r="R739" i="45"/>
  <c r="CE740" i="45"/>
  <c r="AZ740" i="45"/>
  <c r="A740" i="45" s="1"/>
  <c r="AV740" i="45"/>
  <c r="AA740" i="45"/>
  <c r="R740" i="45"/>
  <c r="CE741" i="45"/>
  <c r="AZ741" i="45"/>
  <c r="A741" i="45" s="1"/>
  <c r="AV741" i="45"/>
  <c r="AA741" i="45"/>
  <c r="R741" i="45"/>
  <c r="CE742" i="45"/>
  <c r="AZ742" i="45"/>
  <c r="A742" i="45" s="1"/>
  <c r="AV742" i="45"/>
  <c r="AA742" i="45"/>
  <c r="R742" i="45"/>
  <c r="CE743" i="45"/>
  <c r="AZ743" i="45"/>
  <c r="A743" i="45" s="1"/>
  <c r="AV743" i="45"/>
  <c r="AA743" i="45"/>
  <c r="R743" i="45"/>
  <c r="CE744" i="45"/>
  <c r="AZ744" i="45"/>
  <c r="A744" i="45" s="1"/>
  <c r="AV744" i="45"/>
  <c r="AA744" i="45"/>
  <c r="R744" i="45"/>
  <c r="CE745" i="45"/>
  <c r="AZ745" i="45"/>
  <c r="A745" i="45" s="1"/>
  <c r="AV745" i="45"/>
  <c r="AA745" i="45"/>
  <c r="R745" i="45"/>
  <c r="CE746" i="45"/>
  <c r="AZ746" i="45"/>
  <c r="A746" i="45" s="1"/>
  <c r="AV746" i="45"/>
  <c r="AA746" i="45"/>
  <c r="R746" i="45"/>
  <c r="CE747" i="45"/>
  <c r="AZ747" i="45"/>
  <c r="A747" i="45" s="1"/>
  <c r="AV747" i="45"/>
  <c r="AA747" i="45"/>
  <c r="R747" i="45"/>
  <c r="CE748" i="45"/>
  <c r="AZ748" i="45"/>
  <c r="A748" i="45" s="1"/>
  <c r="AV748" i="45"/>
  <c r="AA748" i="45"/>
  <c r="R748" i="45"/>
  <c r="CE749" i="45"/>
  <c r="AZ749" i="45"/>
  <c r="A749" i="45" s="1"/>
  <c r="AV749" i="45"/>
  <c r="AA749" i="45"/>
  <c r="R749" i="45"/>
  <c r="CE750" i="45"/>
  <c r="AZ750" i="45"/>
  <c r="A750" i="45" s="1"/>
  <c r="AV750" i="45"/>
  <c r="AA750" i="45"/>
  <c r="R750" i="45"/>
  <c r="CE751" i="45"/>
  <c r="AZ751" i="45"/>
  <c r="A751" i="45" s="1"/>
  <c r="AV751" i="45"/>
  <c r="AA751" i="45"/>
  <c r="R751" i="45"/>
  <c r="CE752" i="45"/>
  <c r="AZ752" i="45"/>
  <c r="A752" i="45" s="1"/>
  <c r="AV752" i="45"/>
  <c r="AA752" i="45"/>
  <c r="R752" i="45"/>
  <c r="CE753" i="45"/>
  <c r="AZ753" i="45"/>
  <c r="A753" i="45" s="1"/>
  <c r="AV753" i="45"/>
  <c r="AA753" i="45"/>
  <c r="R753" i="45"/>
  <c r="CE754" i="45"/>
  <c r="AZ754" i="45"/>
  <c r="A754" i="45" s="1"/>
  <c r="AV754" i="45"/>
  <c r="AA754" i="45"/>
  <c r="R754" i="45"/>
  <c r="CE755" i="45"/>
  <c r="AZ755" i="45"/>
  <c r="A755" i="45" s="1"/>
  <c r="AV755" i="45"/>
  <c r="AA755" i="45"/>
  <c r="R755" i="45"/>
  <c r="CE756" i="45"/>
  <c r="AZ756" i="45"/>
  <c r="A756" i="45" s="1"/>
  <c r="AV756" i="45"/>
  <c r="AA756" i="45"/>
  <c r="R756" i="45"/>
  <c r="CE757" i="45"/>
  <c r="AZ757" i="45"/>
  <c r="A757" i="45" s="1"/>
  <c r="AV757" i="45"/>
  <c r="AA757" i="45"/>
  <c r="R757" i="45"/>
  <c r="CE758" i="45"/>
  <c r="AZ758" i="45"/>
  <c r="A758" i="45" s="1"/>
  <c r="AV758" i="45"/>
  <c r="AA758" i="45"/>
  <c r="R758" i="45"/>
  <c r="CE759" i="45"/>
  <c r="AZ759" i="45"/>
  <c r="A759" i="45" s="1"/>
  <c r="AV759" i="45"/>
  <c r="AA759" i="45"/>
  <c r="R759" i="45"/>
  <c r="CE760" i="45"/>
  <c r="AZ760" i="45"/>
  <c r="AV760" i="45"/>
  <c r="AA760" i="45"/>
  <c r="R760" i="45"/>
  <c r="A760" i="45"/>
  <c r="CE761" i="45"/>
  <c r="AZ761" i="45"/>
  <c r="AV761" i="45"/>
  <c r="AA761" i="45"/>
  <c r="R761" i="45"/>
  <c r="A761" i="45"/>
  <c r="CE762" i="45"/>
  <c r="AZ762" i="45"/>
  <c r="AV762" i="45"/>
  <c r="AA762" i="45"/>
  <c r="R762" i="45"/>
  <c r="A762" i="45"/>
  <c r="CE763" i="45"/>
  <c r="AZ763" i="45"/>
  <c r="AV763" i="45"/>
  <c r="AA763" i="45"/>
  <c r="R763" i="45"/>
  <c r="A763" i="45"/>
  <c r="CE764" i="45"/>
  <c r="AZ764" i="45"/>
  <c r="AV764" i="45"/>
  <c r="AA764" i="45"/>
  <c r="R764" i="45"/>
  <c r="A764" i="45"/>
  <c r="CE765" i="45"/>
  <c r="AZ765" i="45"/>
  <c r="A765" i="45" s="1"/>
  <c r="AV765" i="45"/>
  <c r="AA765" i="45"/>
  <c r="R765" i="45"/>
  <c r="CE766" i="45"/>
  <c r="AZ766" i="45"/>
  <c r="AV766" i="45"/>
  <c r="AA766" i="45"/>
  <c r="R766" i="45"/>
  <c r="A766" i="45"/>
  <c r="CE767" i="45"/>
  <c r="AV767" i="45"/>
  <c r="AA767" i="45"/>
  <c r="R767" i="45"/>
  <c r="A767" i="45"/>
  <c r="CE768" i="45"/>
  <c r="AV768" i="45"/>
  <c r="AA768" i="45"/>
  <c r="R768" i="45"/>
  <c r="CE769" i="45"/>
  <c r="AZ769" i="45"/>
  <c r="AV769" i="45"/>
  <c r="AA769" i="45"/>
  <c r="R769" i="45"/>
  <c r="A769" i="45"/>
  <c r="CE770" i="45"/>
  <c r="AZ770" i="45"/>
  <c r="AV770" i="45"/>
  <c r="AA770" i="45"/>
  <c r="R770" i="45"/>
  <c r="A770" i="45"/>
  <c r="CE771" i="45"/>
  <c r="AV771" i="45"/>
  <c r="AA771" i="45"/>
  <c r="R771" i="45"/>
  <c r="A771" i="45"/>
  <c r="CE772" i="45"/>
  <c r="AZ772" i="45"/>
  <c r="AV772" i="45"/>
  <c r="AA772" i="45"/>
  <c r="R772" i="45"/>
  <c r="A772" i="45"/>
  <c r="AV773" i="45"/>
  <c r="AA773" i="45"/>
  <c r="R773" i="45"/>
  <c r="A773" i="45"/>
  <c r="CE774" i="45"/>
  <c r="AZ774" i="45"/>
  <c r="A774" i="45" s="1"/>
  <c r="AV774" i="45"/>
  <c r="AA774" i="45"/>
  <c r="R774" i="45"/>
  <c r="CE775" i="45"/>
  <c r="AZ775" i="45"/>
  <c r="AV775" i="45"/>
  <c r="AA775" i="45"/>
  <c r="R775" i="45"/>
  <c r="A775" i="45"/>
  <c r="CE776" i="45"/>
  <c r="AZ776" i="45"/>
  <c r="AV776" i="45"/>
  <c r="AA776" i="45"/>
  <c r="R776" i="45"/>
  <c r="A776" i="45"/>
  <c r="CE777" i="45"/>
  <c r="AZ777" i="45"/>
  <c r="A777" i="45" s="1"/>
  <c r="AV777" i="45"/>
  <c r="AA777" i="45"/>
  <c r="R777" i="45"/>
  <c r="CE780" i="45"/>
  <c r="AZ780" i="45"/>
  <c r="AV780" i="45"/>
  <c r="AA780" i="45"/>
  <c r="R780" i="45"/>
  <c r="A780" i="45"/>
  <c r="CE781" i="45"/>
  <c r="AZ781" i="45"/>
  <c r="AV781" i="45"/>
  <c r="AA781" i="45"/>
  <c r="R781" i="45"/>
  <c r="A781" i="45"/>
  <c r="CE782" i="45"/>
  <c r="AZ782" i="45"/>
  <c r="AV782" i="45"/>
  <c r="AA782" i="45"/>
  <c r="R782" i="45"/>
  <c r="A782" i="45"/>
  <c r="CE783" i="45"/>
  <c r="AZ783" i="45"/>
  <c r="AV783" i="45"/>
  <c r="AA783" i="45"/>
  <c r="R783" i="45"/>
  <c r="A783" i="45"/>
  <c r="CE784" i="45"/>
  <c r="AZ784" i="45"/>
  <c r="A784" i="45" s="1"/>
  <c r="AV784" i="45"/>
  <c r="AA784" i="45"/>
  <c r="R784" i="45"/>
  <c r="CE785" i="45"/>
  <c r="AZ785" i="45"/>
  <c r="A785" i="45" s="1"/>
  <c r="AV785" i="45"/>
  <c r="AA785" i="45"/>
  <c r="R785" i="45"/>
  <c r="CE786" i="45"/>
  <c r="AZ786" i="45"/>
  <c r="A786" i="45" s="1"/>
  <c r="AV786" i="45"/>
  <c r="AA786" i="45"/>
  <c r="R786" i="45"/>
  <c r="CE787" i="45"/>
  <c r="AZ787" i="45"/>
  <c r="A787" i="45" s="1"/>
  <c r="AV787" i="45"/>
  <c r="AA787" i="45"/>
  <c r="R787" i="45"/>
  <c r="CE788" i="45"/>
  <c r="AZ788" i="45"/>
  <c r="AV788" i="45"/>
  <c r="AA788" i="45"/>
  <c r="R788" i="45"/>
  <c r="CE789" i="45"/>
  <c r="AZ789" i="45"/>
  <c r="A789" i="45" s="1"/>
  <c r="AV789" i="45"/>
  <c r="AA789" i="45"/>
  <c r="R789" i="45"/>
  <c r="CE790" i="45"/>
  <c r="AZ790" i="45"/>
  <c r="A790" i="45" s="1"/>
  <c r="AV790" i="45"/>
  <c r="AA790" i="45"/>
  <c r="R790" i="45"/>
  <c r="CE791" i="45"/>
  <c r="AZ791" i="45"/>
  <c r="A791" i="45" s="1"/>
  <c r="AV791" i="45"/>
  <c r="AA791" i="45"/>
  <c r="R791" i="45"/>
  <c r="CE792" i="45"/>
  <c r="AZ792" i="45"/>
  <c r="A792" i="45" s="1"/>
  <c r="AV792" i="45"/>
  <c r="AA792" i="45"/>
  <c r="R792" i="45"/>
  <c r="CE793" i="45"/>
  <c r="AZ793" i="45"/>
  <c r="A793" i="45" s="1"/>
  <c r="AV793" i="45"/>
  <c r="AA793" i="45"/>
  <c r="R793" i="45"/>
  <c r="CE794" i="45"/>
  <c r="AV794" i="45"/>
  <c r="AA794" i="45"/>
  <c r="R794" i="45"/>
  <c r="A794" i="45"/>
  <c r="CE795" i="45"/>
  <c r="AZ795" i="45"/>
  <c r="A795" i="45" s="1"/>
  <c r="AV795" i="45"/>
  <c r="AA795" i="45"/>
  <c r="R795" i="45"/>
  <c r="CE796" i="45"/>
  <c r="AZ796" i="45"/>
  <c r="A796" i="45" s="1"/>
  <c r="AV796" i="45"/>
  <c r="AA796" i="45"/>
  <c r="R796" i="45"/>
  <c r="CE797" i="45"/>
  <c r="AZ797" i="45"/>
  <c r="A797" i="45" s="1"/>
  <c r="AV797" i="45"/>
  <c r="AA797" i="45"/>
  <c r="R797" i="45"/>
  <c r="CE798" i="45"/>
  <c r="AV798" i="45"/>
  <c r="AA798" i="45"/>
  <c r="R798" i="45"/>
  <c r="A798" i="45"/>
  <c r="CE799" i="45"/>
  <c r="AZ799" i="45"/>
  <c r="A799" i="45" s="1"/>
  <c r="AV799" i="45"/>
  <c r="AA799" i="45"/>
  <c r="R799" i="45"/>
  <c r="CE800" i="45"/>
  <c r="AZ800" i="45"/>
  <c r="A800" i="45" s="1"/>
  <c r="AV800" i="45"/>
  <c r="AA800" i="45"/>
  <c r="R800" i="45"/>
  <c r="CE801" i="45"/>
  <c r="AZ801" i="45"/>
  <c r="A801" i="45" s="1"/>
  <c r="AV801" i="45"/>
  <c r="AA801" i="45"/>
  <c r="R801" i="45"/>
  <c r="CE802" i="45"/>
  <c r="AZ802" i="45"/>
  <c r="A802" i="45" s="1"/>
  <c r="AV802" i="45"/>
  <c r="AA802" i="45"/>
  <c r="R802" i="45"/>
  <c r="CE803" i="45"/>
  <c r="AZ803" i="45"/>
  <c r="A803" i="45" s="1"/>
  <c r="AV803" i="45"/>
  <c r="AA803" i="45"/>
  <c r="R803" i="45"/>
  <c r="CE804" i="45"/>
  <c r="AZ804" i="45"/>
  <c r="A804" i="45" s="1"/>
  <c r="AV804" i="45"/>
  <c r="AA804" i="45"/>
  <c r="R804" i="45"/>
  <c r="CE805" i="45"/>
  <c r="AZ805" i="45"/>
  <c r="A805" i="45" s="1"/>
  <c r="AV805" i="45"/>
  <c r="AA805" i="45"/>
  <c r="R805" i="45"/>
  <c r="CE806" i="45"/>
  <c r="AA806" i="45"/>
  <c r="R806" i="45"/>
  <c r="CE807" i="45"/>
  <c r="AV807" i="45"/>
  <c r="AA807" i="45"/>
  <c r="R807" i="45"/>
  <c r="A807" i="45"/>
  <c r="CE808" i="45"/>
  <c r="AZ808" i="45"/>
  <c r="A808" i="45" s="1"/>
  <c r="AV808" i="45"/>
  <c r="AA808" i="45"/>
  <c r="R808" i="45"/>
  <c r="CE809" i="45"/>
  <c r="AZ809" i="45"/>
  <c r="A809" i="45" s="1"/>
  <c r="AV809" i="45"/>
  <c r="AA809" i="45"/>
  <c r="R809" i="45"/>
  <c r="CE810" i="45"/>
  <c r="AZ810" i="45"/>
  <c r="A810" i="45" s="1"/>
  <c r="AV810" i="45"/>
  <c r="AA810" i="45"/>
  <c r="R810" i="45"/>
  <c r="CE811" i="45"/>
  <c r="AZ811" i="45"/>
  <c r="A811" i="45" s="1"/>
  <c r="AV811" i="45"/>
  <c r="AA811" i="45"/>
  <c r="R811" i="45"/>
  <c r="CE812" i="45"/>
  <c r="AZ812" i="45"/>
  <c r="AV812" i="45"/>
  <c r="AA812" i="45"/>
  <c r="R812" i="45"/>
  <c r="A812" i="45"/>
  <c r="CE813" i="45"/>
  <c r="AZ813" i="45"/>
  <c r="A813" i="45" s="1"/>
  <c r="AV813" i="45"/>
  <c r="AA813" i="45"/>
  <c r="R813" i="45"/>
  <c r="CE814" i="45"/>
  <c r="AZ814" i="45"/>
  <c r="A814" i="45" s="1"/>
  <c r="AV814" i="45"/>
  <c r="AA814" i="45"/>
  <c r="R814" i="45"/>
  <c r="CE815" i="45"/>
  <c r="AV815" i="45"/>
  <c r="AA815" i="45"/>
  <c r="R815" i="45"/>
  <c r="A815" i="45"/>
  <c r="CE816" i="45"/>
  <c r="AZ816" i="45"/>
  <c r="A816" i="45" s="1"/>
  <c r="AV816" i="45"/>
  <c r="AA816" i="45"/>
  <c r="R816" i="45"/>
  <c r="CE817" i="45"/>
  <c r="AV817" i="45"/>
  <c r="AA817" i="45"/>
  <c r="R817" i="45"/>
  <c r="A817" i="45"/>
  <c r="CE818" i="45"/>
  <c r="AZ818" i="45"/>
  <c r="AV818" i="45"/>
  <c r="AA818" i="45"/>
  <c r="R818" i="45"/>
  <c r="A818" i="45"/>
  <c r="CE819" i="45"/>
  <c r="AZ819" i="45"/>
  <c r="A819" i="45" s="1"/>
  <c r="AV819" i="45"/>
  <c r="AA819" i="45"/>
  <c r="R819" i="45"/>
  <c r="CE820" i="45"/>
  <c r="AZ820" i="45"/>
  <c r="A820" i="45" s="1"/>
  <c r="AV820" i="45"/>
  <c r="AA820" i="45"/>
  <c r="R820" i="45"/>
  <c r="CE821" i="45"/>
  <c r="AZ821" i="45"/>
  <c r="A821" i="45" s="1"/>
  <c r="AV821" i="45"/>
  <c r="AA821" i="45"/>
  <c r="R821" i="45"/>
  <c r="CE822" i="45"/>
  <c r="AZ822" i="45"/>
  <c r="A822" i="45" s="1"/>
  <c r="AV822" i="45"/>
  <c r="AA822" i="45"/>
  <c r="R822" i="45"/>
  <c r="CE823" i="45"/>
  <c r="AZ823" i="45"/>
  <c r="A823" i="45" s="1"/>
  <c r="AV823" i="45"/>
  <c r="AA823" i="45"/>
  <c r="R823" i="45"/>
  <c r="CE824" i="45"/>
  <c r="AZ824" i="45"/>
  <c r="A824" i="45" s="1"/>
  <c r="AV824" i="45"/>
  <c r="AA824" i="45"/>
  <c r="R824" i="45"/>
  <c r="CE825" i="45"/>
  <c r="AZ825" i="45"/>
  <c r="A825" i="45" s="1"/>
  <c r="AV825" i="45"/>
  <c r="AA825" i="45"/>
  <c r="R825" i="45"/>
  <c r="CE826" i="45"/>
  <c r="AA826" i="45"/>
  <c r="R826" i="45"/>
  <c r="CE827" i="45"/>
  <c r="AV827" i="45"/>
  <c r="AA827" i="45"/>
  <c r="R827" i="45"/>
  <c r="A827" i="45"/>
  <c r="CE828" i="45"/>
  <c r="AZ828" i="45"/>
  <c r="A828" i="45" s="1"/>
  <c r="AV828" i="45"/>
  <c r="AA828" i="45"/>
  <c r="R828" i="45"/>
  <c r="CE829" i="45"/>
  <c r="AZ829" i="45"/>
  <c r="A829" i="45" s="1"/>
  <c r="AV829" i="45"/>
  <c r="AA829" i="45"/>
  <c r="R829" i="45"/>
  <c r="CE830" i="45"/>
  <c r="AV830" i="45"/>
  <c r="AA830" i="45"/>
  <c r="R830" i="45"/>
  <c r="A830" i="45"/>
  <c r="CE831" i="45"/>
  <c r="AZ831" i="45"/>
  <c r="A831" i="45" s="1"/>
  <c r="AV831" i="45"/>
  <c r="AA831" i="45"/>
  <c r="R831" i="45"/>
  <c r="CE832" i="45"/>
  <c r="AZ832" i="45"/>
  <c r="A832" i="45" s="1"/>
  <c r="AV832" i="45"/>
  <c r="AA832" i="45"/>
  <c r="R832" i="45"/>
  <c r="CE833" i="45"/>
  <c r="AZ833" i="45"/>
  <c r="A833" i="45" s="1"/>
  <c r="AV833" i="45"/>
  <c r="AA833" i="45"/>
  <c r="R833" i="45"/>
  <c r="CE834" i="45"/>
  <c r="AZ834" i="45"/>
  <c r="A834" i="45" s="1"/>
  <c r="AV834" i="45"/>
  <c r="AA834" i="45"/>
  <c r="R834" i="45"/>
  <c r="CE835" i="45"/>
  <c r="AV835" i="45"/>
  <c r="AA835" i="45"/>
  <c r="R835" i="45"/>
  <c r="CE836" i="45"/>
  <c r="AV836" i="45"/>
  <c r="AA836" i="45"/>
  <c r="R836" i="45"/>
  <c r="CE837" i="45"/>
  <c r="AZ837" i="45"/>
  <c r="A837" i="45" s="1"/>
  <c r="AV837" i="45"/>
  <c r="AA837" i="45"/>
  <c r="R837" i="45"/>
  <c r="CE838" i="45"/>
  <c r="AV838" i="45"/>
  <c r="AA838" i="45"/>
  <c r="R838" i="45"/>
  <c r="A838" i="45"/>
  <c r="CE839" i="45"/>
  <c r="AZ839" i="45"/>
  <c r="A839" i="45" s="1"/>
  <c r="AV839" i="45"/>
  <c r="AA839" i="45"/>
  <c r="R839" i="45"/>
  <c r="CE840" i="45"/>
  <c r="AZ840" i="45"/>
  <c r="A840" i="45" s="1"/>
  <c r="AV840" i="45"/>
  <c r="AA840" i="45"/>
  <c r="R840" i="45"/>
  <c r="CE841" i="45"/>
  <c r="AZ841" i="45"/>
  <c r="A841" i="45" s="1"/>
  <c r="AV841" i="45"/>
  <c r="AA841" i="45"/>
  <c r="R841" i="45"/>
  <c r="CE842" i="45"/>
  <c r="AV842" i="45"/>
  <c r="AA842" i="45"/>
  <c r="R842" i="45"/>
  <c r="A842" i="45"/>
  <c r="CE843" i="45"/>
  <c r="AV843" i="45"/>
  <c r="AA843" i="45"/>
  <c r="R843" i="45"/>
  <c r="A843" i="45"/>
  <c r="CE844" i="45"/>
  <c r="AV844" i="45"/>
  <c r="AA844" i="45"/>
  <c r="R844" i="45"/>
  <c r="A844" i="45"/>
  <c r="CE845" i="45"/>
  <c r="AZ845" i="45"/>
  <c r="A845" i="45" s="1"/>
  <c r="AV845" i="45"/>
  <c r="AA845" i="45"/>
  <c r="R845" i="45"/>
  <c r="CE846" i="45"/>
  <c r="AZ846" i="45"/>
  <c r="A846" i="45" s="1"/>
  <c r="AV846" i="45"/>
  <c r="AA846" i="45"/>
  <c r="R846" i="45"/>
  <c r="CE847" i="45"/>
  <c r="AZ847" i="45"/>
  <c r="A847" i="45" s="1"/>
  <c r="AV847" i="45"/>
  <c r="AA847" i="45"/>
  <c r="R847" i="45"/>
  <c r="CE848" i="45"/>
  <c r="AZ848" i="45"/>
  <c r="A848" i="45" s="1"/>
  <c r="AV848" i="45"/>
  <c r="AA848" i="45"/>
  <c r="R848" i="45"/>
  <c r="CE849" i="45"/>
  <c r="AV849" i="45"/>
  <c r="AA849" i="45"/>
  <c r="R849" i="45"/>
  <c r="A849" i="45"/>
  <c r="CE850" i="45"/>
  <c r="AZ850" i="45"/>
  <c r="A850" i="45" s="1"/>
  <c r="AV850" i="45"/>
  <c r="AA850" i="45"/>
  <c r="R850" i="45"/>
  <c r="CE851" i="45"/>
  <c r="AZ851" i="45"/>
  <c r="A851" i="45" s="1"/>
  <c r="AV851" i="45"/>
  <c r="AA851" i="45"/>
  <c r="R851" i="45"/>
  <c r="CE852" i="45"/>
  <c r="AZ852" i="45"/>
  <c r="A852" i="45" s="1"/>
  <c r="AV852" i="45"/>
  <c r="AA852" i="45"/>
  <c r="R852" i="45"/>
  <c r="CE853" i="45"/>
  <c r="AZ853" i="45"/>
  <c r="A853" i="45" s="1"/>
  <c r="AV853" i="45"/>
  <c r="AA853" i="45"/>
  <c r="R853" i="45"/>
  <c r="CE854" i="45"/>
  <c r="AZ854" i="45"/>
  <c r="A854" i="45" s="1"/>
  <c r="AV854" i="45"/>
  <c r="AA854" i="45"/>
  <c r="R854" i="45"/>
  <c r="CE855" i="45"/>
  <c r="AA855" i="45"/>
  <c r="R855" i="45"/>
  <c r="CE856" i="45"/>
  <c r="AZ856" i="45"/>
  <c r="A856" i="45" s="1"/>
  <c r="AV856" i="45"/>
  <c r="AA856" i="45"/>
  <c r="R856" i="45"/>
  <c r="CE857" i="45"/>
  <c r="AZ857" i="45"/>
  <c r="A857" i="45" s="1"/>
  <c r="AV857" i="45"/>
  <c r="AA857" i="45"/>
  <c r="R857" i="45"/>
  <c r="CE858" i="45"/>
  <c r="AZ858" i="45"/>
  <c r="A858" i="45" s="1"/>
  <c r="AV858" i="45"/>
  <c r="AA858" i="45"/>
  <c r="R858" i="45"/>
  <c r="CE859" i="45"/>
  <c r="AZ859" i="45"/>
  <c r="A859" i="45" s="1"/>
  <c r="AV859" i="45"/>
  <c r="AA859" i="45"/>
  <c r="R859" i="45"/>
  <c r="CE860" i="45"/>
  <c r="AZ860" i="45"/>
  <c r="A860" i="45" s="1"/>
  <c r="AV860" i="45"/>
  <c r="AA860" i="45"/>
  <c r="R860" i="45"/>
  <c r="CE861" i="45"/>
  <c r="AZ861" i="45"/>
  <c r="A861" i="45" s="1"/>
  <c r="AV861" i="45"/>
  <c r="AA861" i="45"/>
  <c r="R861" i="45"/>
  <c r="CE862" i="45"/>
  <c r="AZ862" i="45"/>
  <c r="A862" i="45" s="1"/>
  <c r="AV862" i="45"/>
  <c r="AA862" i="45"/>
  <c r="R862" i="45"/>
  <c r="CE863" i="45"/>
  <c r="AV863" i="45"/>
  <c r="AA863" i="45"/>
  <c r="R863" i="45"/>
  <c r="A863" i="45"/>
  <c r="CE864" i="45"/>
  <c r="AZ864" i="45"/>
  <c r="A864" i="45" s="1"/>
  <c r="AV864" i="45"/>
  <c r="AA864" i="45"/>
  <c r="R864" i="45"/>
  <c r="CE865" i="45"/>
  <c r="AV865" i="45"/>
  <c r="AA865" i="45"/>
  <c r="R865" i="45"/>
  <c r="A865" i="45"/>
  <c r="CE866" i="45"/>
  <c r="AZ866" i="45"/>
  <c r="A866" i="45" s="1"/>
  <c r="AV866" i="45"/>
  <c r="AA866" i="45"/>
  <c r="R866" i="45"/>
  <c r="CE867" i="45"/>
  <c r="AZ867" i="45"/>
  <c r="A867" i="45" s="1"/>
  <c r="AV867" i="45"/>
  <c r="AA867" i="45"/>
  <c r="R867" i="45"/>
  <c r="CE868" i="45"/>
  <c r="AZ868" i="45"/>
  <c r="AV868" i="45"/>
  <c r="AA868" i="45"/>
  <c r="R868" i="45"/>
  <c r="A868" i="45"/>
  <c r="CE869" i="45"/>
  <c r="AZ869" i="45"/>
  <c r="A869" i="45" s="1"/>
  <c r="AV869" i="45"/>
  <c r="AA869" i="45"/>
  <c r="R869" i="45"/>
  <c r="CE870" i="45"/>
  <c r="AZ870" i="45"/>
  <c r="A870" i="45" s="1"/>
  <c r="AV870" i="45"/>
  <c r="AA870" i="45"/>
  <c r="R870" i="45"/>
  <c r="CE871" i="45"/>
  <c r="AZ871" i="45"/>
  <c r="AV871" i="45"/>
  <c r="AA871" i="45"/>
  <c r="R871" i="45"/>
  <c r="A871" i="45"/>
  <c r="CE872" i="45"/>
  <c r="AZ872" i="45"/>
  <c r="A872" i="45" s="1"/>
  <c r="AV872" i="45"/>
  <c r="AA872" i="45"/>
  <c r="R872" i="45"/>
  <c r="CE873" i="45"/>
  <c r="AZ873" i="45"/>
  <c r="AV873" i="45"/>
  <c r="AA873" i="45"/>
  <c r="R873" i="45"/>
  <c r="A873" i="45"/>
  <c r="CE874" i="45"/>
  <c r="AZ874" i="45"/>
  <c r="A874" i="45" s="1"/>
  <c r="AV874" i="45"/>
  <c r="AA874" i="45"/>
  <c r="R874" i="45"/>
  <c r="CE875" i="45"/>
  <c r="AZ875" i="45"/>
  <c r="A875" i="45" s="1"/>
  <c r="AV875" i="45"/>
  <c r="AA875" i="45"/>
  <c r="R875" i="45"/>
  <c r="CE876" i="45"/>
  <c r="AZ876" i="45"/>
  <c r="A876" i="45" s="1"/>
  <c r="AV876" i="45"/>
  <c r="AA876" i="45"/>
  <c r="R876" i="45"/>
  <c r="CE877" i="45"/>
  <c r="AZ877" i="45"/>
  <c r="AV877" i="45"/>
  <c r="AA877" i="45"/>
  <c r="R877" i="45"/>
  <c r="A877" i="45"/>
  <c r="CE878" i="45"/>
  <c r="AZ878" i="45"/>
  <c r="AV878" i="45"/>
  <c r="AA878" i="45"/>
  <c r="R878" i="45"/>
  <c r="A878" i="45"/>
  <c r="CE879" i="45"/>
  <c r="AZ879" i="45"/>
  <c r="A879" i="45" s="1"/>
  <c r="AV879" i="45"/>
  <c r="AA879" i="45"/>
  <c r="R879" i="45"/>
  <c r="CE880" i="45"/>
  <c r="AZ880" i="45"/>
  <c r="A880" i="45" s="1"/>
  <c r="AV880" i="45"/>
  <c r="AA880" i="45"/>
  <c r="R880" i="45"/>
  <c r="CE881" i="45"/>
  <c r="AZ881" i="45"/>
  <c r="A881" i="45" s="1"/>
  <c r="AV881" i="45"/>
  <c r="AA881" i="45"/>
  <c r="R881" i="45"/>
  <c r="CE882" i="45"/>
  <c r="AZ882" i="45"/>
  <c r="A882" i="45" s="1"/>
  <c r="AV882" i="45"/>
  <c r="AA882" i="45"/>
  <c r="R882" i="45"/>
  <c r="CE883" i="45"/>
  <c r="AV883" i="45"/>
  <c r="AA883" i="45"/>
  <c r="R883" i="45"/>
  <c r="A883" i="45"/>
  <c r="CE884" i="45"/>
  <c r="AZ884" i="45"/>
  <c r="AV884" i="45"/>
  <c r="AA884" i="45"/>
  <c r="R884" i="45"/>
  <c r="A884" i="45"/>
  <c r="CE885" i="45"/>
  <c r="AZ885" i="45"/>
  <c r="A885" i="45" s="1"/>
  <c r="AV885" i="45"/>
  <c r="AA885" i="45"/>
  <c r="R885" i="45"/>
  <c r="CE886" i="45"/>
  <c r="AZ886" i="45"/>
  <c r="A886" i="45" s="1"/>
  <c r="AV886" i="45"/>
  <c r="AA886" i="45"/>
  <c r="R886" i="45"/>
  <c r="CE887" i="45"/>
  <c r="AZ887" i="45"/>
  <c r="AV887" i="45"/>
  <c r="AA887" i="45"/>
  <c r="R887" i="45"/>
  <c r="A887" i="45"/>
  <c r="CE888" i="45"/>
  <c r="AZ888" i="45"/>
  <c r="A888" i="45" s="1"/>
  <c r="AV888" i="45"/>
  <c r="AA888" i="45"/>
  <c r="R888" i="45"/>
  <c r="CE889" i="45"/>
  <c r="AZ889" i="45"/>
  <c r="A889" i="45" s="1"/>
  <c r="AV889" i="45"/>
  <c r="AA889" i="45"/>
  <c r="R889" i="45"/>
  <c r="CE890" i="45"/>
  <c r="AA890" i="45"/>
  <c r="R890" i="45"/>
  <c r="CE891" i="45"/>
  <c r="AZ891" i="45"/>
  <c r="AV891" i="45"/>
  <c r="AA891" i="45"/>
  <c r="R891" i="45"/>
  <c r="A891" i="45"/>
  <c r="CE892" i="45"/>
  <c r="AZ892" i="45"/>
  <c r="A892" i="45" s="1"/>
  <c r="AV892" i="45"/>
  <c r="AA892" i="45"/>
  <c r="R892" i="45"/>
  <c r="CE893" i="45"/>
  <c r="AZ893" i="45"/>
  <c r="A893" i="45" s="1"/>
  <c r="AV893" i="45"/>
  <c r="AA893" i="45"/>
  <c r="R893" i="45"/>
  <c r="CE894" i="45"/>
  <c r="AZ894" i="45"/>
  <c r="A894" i="45" s="1"/>
  <c r="AV894" i="45"/>
  <c r="AA894" i="45"/>
  <c r="R894" i="45"/>
  <c r="CE895" i="45"/>
  <c r="AZ895" i="45"/>
  <c r="A895" i="45" s="1"/>
  <c r="AV895" i="45"/>
  <c r="AA895" i="45"/>
  <c r="R895" i="45"/>
  <c r="CE896" i="45"/>
  <c r="AZ896" i="45"/>
  <c r="A896" i="45" s="1"/>
  <c r="AV896" i="45"/>
  <c r="AA896" i="45"/>
  <c r="R896" i="45"/>
  <c r="CE897" i="45"/>
  <c r="AZ897" i="45"/>
  <c r="A897" i="45" s="1"/>
  <c r="AV897" i="45"/>
  <c r="AA897" i="45"/>
  <c r="R897" i="45"/>
  <c r="CE898" i="45"/>
  <c r="AZ898" i="45"/>
  <c r="A898" i="45" s="1"/>
  <c r="AV898" i="45"/>
  <c r="AA898" i="45"/>
  <c r="R898" i="45"/>
  <c r="CE899" i="45"/>
  <c r="AZ899" i="45"/>
  <c r="AV899" i="45"/>
  <c r="AA899" i="45"/>
  <c r="R899" i="45"/>
  <c r="A899" i="45"/>
  <c r="CE900" i="45"/>
  <c r="AZ900" i="45"/>
  <c r="A900" i="45" s="1"/>
  <c r="AV900" i="45"/>
  <c r="AA900" i="45"/>
  <c r="R900" i="45"/>
  <c r="CE901" i="45"/>
  <c r="AZ901" i="45"/>
  <c r="A901" i="45" s="1"/>
  <c r="AV901" i="45"/>
  <c r="AA901" i="45"/>
  <c r="R901" i="45"/>
  <c r="CE902" i="45"/>
  <c r="AZ902" i="45"/>
  <c r="A902" i="45" s="1"/>
  <c r="AV902" i="45"/>
  <c r="AA902" i="45"/>
  <c r="R902" i="45"/>
  <c r="CE903" i="45"/>
  <c r="AZ903" i="45"/>
  <c r="A903" i="45" s="1"/>
  <c r="AV903" i="45"/>
  <c r="AA903" i="45"/>
  <c r="R903" i="45"/>
  <c r="CE904" i="45"/>
  <c r="AZ904" i="45"/>
  <c r="A904" i="45" s="1"/>
  <c r="AV904" i="45"/>
  <c r="AA904" i="45"/>
  <c r="R904" i="45"/>
  <c r="CE905" i="45"/>
  <c r="AZ905" i="45"/>
  <c r="A905" i="45" s="1"/>
  <c r="AV905" i="45"/>
  <c r="AA905" i="45"/>
  <c r="R905" i="45"/>
  <c r="CE906" i="45"/>
  <c r="AZ906" i="45"/>
  <c r="AV906" i="45"/>
  <c r="AA906" i="45"/>
  <c r="R906" i="45"/>
  <c r="A906" i="45"/>
  <c r="CE907" i="45"/>
  <c r="AZ907" i="45"/>
  <c r="A907" i="45" s="1"/>
  <c r="AV907" i="45"/>
  <c r="AA907" i="45"/>
  <c r="R907" i="45"/>
  <c r="CE908" i="45"/>
  <c r="AZ908" i="45"/>
  <c r="A908" i="45" s="1"/>
  <c r="AV908" i="45"/>
  <c r="AA908" i="45"/>
  <c r="R908" i="45"/>
  <c r="CE909" i="45"/>
  <c r="AZ909" i="45"/>
  <c r="A909" i="45" s="1"/>
  <c r="AV909" i="45"/>
  <c r="AA909" i="45"/>
  <c r="R909" i="45"/>
  <c r="CE910" i="45"/>
  <c r="AZ910" i="45"/>
  <c r="AV910" i="45"/>
  <c r="AA910" i="45"/>
  <c r="R910" i="45"/>
  <c r="A910" i="45"/>
  <c r="CE911" i="45"/>
  <c r="AZ911" i="45"/>
  <c r="A911" i="45" s="1"/>
  <c r="AV911" i="45"/>
  <c r="AA911" i="45"/>
  <c r="R911" i="45"/>
  <c r="CE912" i="45"/>
  <c r="AZ912" i="45"/>
  <c r="A912" i="45" s="1"/>
  <c r="AV912" i="45"/>
  <c r="AA912" i="45"/>
  <c r="R912" i="45"/>
  <c r="CE913" i="45"/>
  <c r="AZ913" i="45"/>
  <c r="AV913" i="45"/>
  <c r="AA913" i="45"/>
  <c r="R913" i="45"/>
  <c r="A913" i="45"/>
  <c r="CE914" i="45"/>
  <c r="AZ914" i="45"/>
  <c r="A914" i="45" s="1"/>
  <c r="AV914" i="45"/>
  <c r="AA914" i="45"/>
  <c r="R914" i="45"/>
  <c r="CE915" i="45"/>
  <c r="AZ915" i="45"/>
  <c r="A915" i="45" s="1"/>
  <c r="AV915" i="45"/>
  <c r="AA915" i="45"/>
  <c r="R915" i="45"/>
  <c r="CE916" i="45"/>
  <c r="AZ916" i="45"/>
  <c r="A916" i="45" s="1"/>
  <c r="AV916" i="45"/>
  <c r="AA916" i="45"/>
  <c r="R916" i="45"/>
  <c r="CE917" i="45"/>
  <c r="AZ917" i="45"/>
  <c r="A917" i="45" s="1"/>
  <c r="AV917" i="45"/>
  <c r="AA917" i="45"/>
  <c r="R917" i="45"/>
  <c r="CE918" i="45"/>
  <c r="AZ918" i="45"/>
  <c r="A918" i="45" s="1"/>
  <c r="AV918" i="45"/>
  <c r="AA918" i="45"/>
  <c r="R918" i="45"/>
  <c r="CE919" i="45"/>
  <c r="AZ919" i="45"/>
  <c r="A919" i="45" s="1"/>
  <c r="AV919" i="45"/>
  <c r="AA919" i="45"/>
  <c r="R919" i="45"/>
  <c r="CE920" i="45"/>
  <c r="AZ920" i="45"/>
  <c r="A920" i="45" s="1"/>
  <c r="AV920" i="45"/>
  <c r="AA920" i="45"/>
  <c r="R920" i="45"/>
  <c r="CE921" i="45"/>
  <c r="AZ921" i="45"/>
  <c r="A921" i="45" s="1"/>
  <c r="AV921" i="45"/>
  <c r="AA921" i="45"/>
  <c r="R921" i="45"/>
  <c r="CE922" i="45"/>
  <c r="AZ922" i="45"/>
  <c r="A922" i="45" s="1"/>
  <c r="AV922" i="45"/>
  <c r="AA922" i="45"/>
  <c r="R922" i="45"/>
  <c r="CE923" i="45"/>
  <c r="AZ923" i="45"/>
  <c r="A923" i="45" s="1"/>
  <c r="AV923" i="45"/>
  <c r="AA923" i="45"/>
  <c r="R923" i="45"/>
  <c r="CE924" i="45"/>
  <c r="AZ924" i="45"/>
  <c r="AV924" i="45"/>
  <c r="AA924" i="45"/>
  <c r="R924" i="45"/>
  <c r="A924" i="45"/>
  <c r="CE925" i="45"/>
  <c r="AZ925" i="45"/>
  <c r="A925" i="45" s="1"/>
  <c r="AV925" i="45"/>
  <c r="AA925" i="45"/>
  <c r="R925" i="45"/>
  <c r="CE926" i="45"/>
  <c r="AZ926" i="45"/>
  <c r="A926" i="45" s="1"/>
  <c r="AV926" i="45"/>
  <c r="AA926" i="45"/>
  <c r="R926" i="45"/>
  <c r="CE927" i="45"/>
  <c r="AZ927" i="45"/>
  <c r="A927" i="45" s="1"/>
  <c r="AV927" i="45"/>
  <c r="AA927" i="45"/>
  <c r="R927" i="45"/>
  <c r="CE928" i="45"/>
  <c r="AZ928" i="45"/>
  <c r="A928" i="45" s="1"/>
  <c r="AV928" i="45"/>
  <c r="AA928" i="45"/>
  <c r="R928" i="45"/>
  <c r="CE929" i="45"/>
  <c r="AZ929" i="45"/>
  <c r="AV929" i="45"/>
  <c r="AA929" i="45"/>
  <c r="R929" i="45"/>
  <c r="A929" i="45"/>
  <c r="CE930" i="45"/>
  <c r="AZ930" i="45"/>
  <c r="AV930" i="45"/>
  <c r="AA930" i="45"/>
  <c r="R930" i="45"/>
  <c r="A930" i="45"/>
  <c r="CE931" i="45"/>
  <c r="AZ931" i="45"/>
  <c r="A931" i="45" s="1"/>
  <c r="AV931" i="45"/>
  <c r="AA931" i="45"/>
  <c r="R931" i="45"/>
  <c r="CE932" i="45"/>
  <c r="AZ932" i="45"/>
  <c r="A932" i="45" s="1"/>
  <c r="AV932" i="45"/>
  <c r="AA932" i="45"/>
  <c r="R932" i="45"/>
  <c r="CE933" i="45"/>
  <c r="AZ933" i="45"/>
  <c r="A933" i="45" s="1"/>
  <c r="AV933" i="45"/>
  <c r="AA933" i="45"/>
  <c r="R933" i="45"/>
  <c r="CE934" i="45"/>
  <c r="AZ934" i="45"/>
  <c r="A934" i="45" s="1"/>
  <c r="AV934" i="45"/>
  <c r="AA934" i="45"/>
  <c r="R934" i="45"/>
  <c r="CE935" i="45"/>
  <c r="AZ935" i="45"/>
  <c r="AV935" i="45"/>
  <c r="AA935" i="45"/>
  <c r="R935" i="45"/>
  <c r="A935" i="45"/>
  <c r="CE936" i="45"/>
  <c r="AZ936" i="45"/>
  <c r="AV936" i="45"/>
  <c r="AA936" i="45"/>
  <c r="R936" i="45"/>
  <c r="A936" i="45"/>
  <c r="CE937" i="45"/>
  <c r="AZ937" i="45"/>
  <c r="AV937" i="45"/>
  <c r="AA937" i="45"/>
  <c r="R937" i="45"/>
  <c r="A937" i="45"/>
  <c r="CE938" i="45"/>
  <c r="AZ938" i="45"/>
  <c r="AV938" i="45"/>
  <c r="AA938" i="45"/>
  <c r="R938" i="45"/>
  <c r="A938" i="45"/>
  <c r="CE939" i="45"/>
  <c r="AZ939" i="45"/>
  <c r="A939" i="45" s="1"/>
  <c r="AV939" i="45"/>
  <c r="AA939" i="45"/>
  <c r="R939" i="45"/>
  <c r="CE940" i="45"/>
  <c r="AZ940" i="45"/>
  <c r="A940" i="45" s="1"/>
  <c r="AV940" i="45"/>
  <c r="AA940" i="45"/>
  <c r="R940" i="45"/>
  <c r="CE941" i="45"/>
  <c r="AZ941" i="45"/>
  <c r="A941" i="45" s="1"/>
  <c r="AV941" i="45"/>
  <c r="AA941" i="45"/>
  <c r="R941" i="45"/>
  <c r="CE942" i="45"/>
  <c r="AZ942" i="45"/>
  <c r="AV942" i="45"/>
  <c r="AA942" i="45"/>
  <c r="R942" i="45"/>
  <c r="A942" i="45"/>
  <c r="CE943" i="45"/>
  <c r="AZ943" i="45"/>
  <c r="AV943" i="45"/>
  <c r="AA943" i="45"/>
  <c r="R943" i="45"/>
  <c r="A943" i="45"/>
  <c r="CE944" i="45"/>
  <c r="AZ944" i="45"/>
  <c r="AV944" i="45"/>
  <c r="AA944" i="45"/>
  <c r="R944" i="45"/>
  <c r="A944" i="45"/>
  <c r="CE945" i="45"/>
  <c r="AZ945" i="45"/>
  <c r="A945" i="45" s="1"/>
  <c r="AV945" i="45"/>
  <c r="AA945" i="45"/>
  <c r="R945" i="45"/>
  <c r="CE946" i="45"/>
  <c r="AZ946" i="45"/>
  <c r="AV946" i="45"/>
  <c r="AA946" i="45"/>
  <c r="R946" i="45"/>
  <c r="A946" i="45"/>
  <c r="CE947" i="45"/>
  <c r="AZ947" i="45"/>
  <c r="AV947" i="45"/>
  <c r="AA947" i="45"/>
  <c r="R947" i="45"/>
  <c r="A947" i="45"/>
  <c r="CE948" i="45"/>
  <c r="AZ948" i="45"/>
  <c r="AV948" i="45"/>
  <c r="AA948" i="45"/>
  <c r="R948" i="45"/>
  <c r="A948" i="45"/>
  <c r="CE949" i="45"/>
  <c r="AZ949" i="45"/>
  <c r="A949" i="45" s="1"/>
  <c r="AV949" i="45"/>
  <c r="AA949" i="45"/>
  <c r="R949" i="45"/>
  <c r="CE950" i="45"/>
  <c r="AZ950" i="45"/>
  <c r="AV950" i="45"/>
  <c r="AA950" i="45"/>
  <c r="R950" i="45"/>
  <c r="A950" i="45"/>
  <c r="CE952" i="45"/>
  <c r="AZ952" i="45"/>
  <c r="AV952" i="45"/>
  <c r="AA952" i="45"/>
  <c r="R952" i="45"/>
  <c r="A952" i="45"/>
  <c r="CE953" i="45"/>
  <c r="AZ953" i="45"/>
  <c r="A953" i="45" s="1"/>
  <c r="AV953" i="45"/>
  <c r="AA953" i="45"/>
  <c r="R953" i="45"/>
  <c r="CE954" i="45"/>
  <c r="AZ954" i="45"/>
  <c r="A954" i="45" s="1"/>
  <c r="AV954" i="45"/>
  <c r="AA954" i="45"/>
  <c r="R954" i="45"/>
  <c r="CE955" i="45"/>
  <c r="AZ955" i="45"/>
  <c r="AV955" i="45"/>
  <c r="AA955" i="45"/>
  <c r="R955" i="45"/>
  <c r="A955" i="45"/>
  <c r="CE956" i="45"/>
  <c r="AZ956" i="45"/>
  <c r="A956" i="45" s="1"/>
  <c r="AV956" i="45"/>
  <c r="AA956" i="45"/>
  <c r="R956" i="45"/>
  <c r="CE957" i="45"/>
  <c r="AZ957" i="45"/>
  <c r="A957" i="45" s="1"/>
  <c r="AV957" i="45"/>
  <c r="AA957" i="45"/>
  <c r="R957" i="45"/>
  <c r="CE958" i="45"/>
  <c r="AZ958" i="45"/>
  <c r="AV958" i="45"/>
  <c r="AA958" i="45"/>
  <c r="R958" i="45"/>
  <c r="A958" i="45"/>
  <c r="CE959" i="45"/>
  <c r="AZ959" i="45"/>
  <c r="AV959" i="45"/>
  <c r="AA959" i="45"/>
  <c r="R959" i="45"/>
  <c r="A959" i="45"/>
  <c r="CE960" i="45"/>
  <c r="AZ960" i="45"/>
  <c r="AV960" i="45"/>
  <c r="AA960" i="45"/>
  <c r="R960" i="45"/>
  <c r="A960" i="45"/>
  <c r="CE961" i="45"/>
  <c r="AZ961" i="45"/>
  <c r="AV961" i="45"/>
  <c r="AA961" i="45"/>
  <c r="R961" i="45"/>
  <c r="A961" i="45"/>
  <c r="CE962" i="45"/>
  <c r="AZ962" i="45"/>
  <c r="AV962" i="45"/>
  <c r="AA962" i="45"/>
  <c r="R962" i="45"/>
  <c r="A962" i="45"/>
  <c r="CE963" i="45"/>
  <c r="AZ963" i="45"/>
  <c r="AV963" i="45"/>
  <c r="AA963" i="45"/>
  <c r="R963" i="45"/>
  <c r="A963" i="45"/>
  <c r="CE964" i="45"/>
  <c r="AZ964" i="45"/>
  <c r="AV964" i="45"/>
  <c r="AA964" i="45"/>
  <c r="R964" i="45"/>
  <c r="A964" i="45"/>
  <c r="CE965" i="45"/>
  <c r="AZ965" i="45"/>
  <c r="AV965" i="45"/>
  <c r="AA965" i="45"/>
  <c r="R965" i="45"/>
  <c r="A965" i="45"/>
  <c r="CE966" i="45"/>
  <c r="AZ966" i="45"/>
  <c r="AV966" i="45"/>
  <c r="AA966" i="45"/>
  <c r="R966" i="45"/>
  <c r="A966" i="45"/>
  <c r="CE967" i="45"/>
  <c r="AZ967" i="45"/>
  <c r="AV967" i="45"/>
  <c r="AA967" i="45"/>
  <c r="R967" i="45"/>
  <c r="CE968" i="45"/>
  <c r="AZ968" i="45"/>
  <c r="A968" i="45" s="1"/>
  <c r="AV968" i="45"/>
  <c r="AA968" i="45"/>
  <c r="R968" i="45"/>
  <c r="CE969" i="45"/>
  <c r="AZ969" i="45"/>
  <c r="A969" i="45" s="1"/>
  <c r="AV969" i="45"/>
  <c r="AA969" i="45"/>
  <c r="R969" i="45"/>
  <c r="CE970" i="45"/>
  <c r="AZ970" i="45"/>
  <c r="AV970" i="45"/>
  <c r="AA970" i="45"/>
  <c r="R970" i="45"/>
  <c r="A970" i="45"/>
  <c r="CE971" i="45"/>
  <c r="AZ971" i="45"/>
  <c r="AV971" i="45"/>
  <c r="AA971" i="45"/>
  <c r="R971" i="45"/>
  <c r="A971" i="45"/>
  <c r="CE972" i="45"/>
  <c r="AZ972" i="45"/>
  <c r="AV972" i="45"/>
  <c r="AA972" i="45"/>
  <c r="R972" i="45"/>
  <c r="A972" i="45"/>
  <c r="CE973" i="45"/>
  <c r="AZ973" i="45"/>
  <c r="A973" i="45" s="1"/>
  <c r="AV973" i="45"/>
  <c r="AA973" i="45"/>
  <c r="R973" i="45"/>
  <c r="CE974" i="45"/>
  <c r="AZ974" i="45"/>
  <c r="A974" i="45" s="1"/>
  <c r="AV974" i="45"/>
  <c r="CE975" i="45"/>
  <c r="AZ975" i="45"/>
  <c r="AV975" i="45"/>
  <c r="AA975" i="45"/>
  <c r="R975" i="45"/>
  <c r="CE976" i="45"/>
  <c r="AZ976" i="45"/>
  <c r="AV976" i="45"/>
  <c r="AA976" i="45"/>
  <c r="R976" i="45"/>
  <c r="CE977" i="45"/>
  <c r="AZ977" i="45"/>
  <c r="AV977" i="45"/>
  <c r="AA977" i="45"/>
  <c r="R977" i="45"/>
  <c r="A977" i="45"/>
  <c r="CE978" i="45"/>
  <c r="AZ978" i="45"/>
  <c r="A978" i="45" s="1"/>
  <c r="AV978" i="45"/>
  <c r="CE979" i="45"/>
  <c r="AZ979" i="45"/>
  <c r="AV979" i="45"/>
  <c r="AA979" i="45"/>
  <c r="R979" i="45"/>
  <c r="A979" i="45"/>
  <c r="CE980" i="45"/>
  <c r="AZ980" i="45"/>
  <c r="AV980" i="45"/>
  <c r="AA980" i="45"/>
  <c r="R980" i="45"/>
  <c r="A980" i="45"/>
  <c r="CE981" i="45"/>
  <c r="AZ981" i="45"/>
  <c r="AV981" i="45"/>
  <c r="AA981" i="45"/>
  <c r="R981" i="45"/>
  <c r="A981" i="45"/>
  <c r="CE982" i="45"/>
  <c r="AV982" i="45"/>
  <c r="AA982" i="45"/>
  <c r="R982" i="45"/>
  <c r="CE983" i="45"/>
  <c r="AV983" i="45"/>
  <c r="AA983" i="45"/>
  <c r="R983" i="45"/>
  <c r="A983" i="45"/>
  <c r="CE984" i="45"/>
  <c r="AZ984" i="45"/>
  <c r="AV984" i="45"/>
  <c r="AA984" i="45"/>
  <c r="R984" i="45"/>
  <c r="A984" i="45"/>
  <c r="CE985" i="45"/>
  <c r="AZ985" i="45"/>
  <c r="AV985" i="45"/>
  <c r="AA985" i="45"/>
  <c r="R985" i="45"/>
  <c r="A985" i="45"/>
  <c r="CE986" i="45"/>
  <c r="AZ986" i="45"/>
  <c r="AV986" i="45"/>
  <c r="AA986" i="45"/>
  <c r="R986" i="45"/>
  <c r="A986" i="45"/>
  <c r="CE987" i="45"/>
  <c r="AZ987" i="45"/>
  <c r="AV987" i="45"/>
  <c r="AA987" i="45"/>
  <c r="R987" i="45"/>
  <c r="A987" i="45"/>
  <c r="CE988" i="45"/>
  <c r="AZ988" i="45"/>
  <c r="AA988" i="45"/>
  <c r="R988" i="45"/>
  <c r="CE989" i="45"/>
  <c r="AZ989" i="45"/>
  <c r="AV989" i="45"/>
  <c r="AA989" i="45"/>
  <c r="R989" i="45"/>
  <c r="A989" i="45"/>
  <c r="CE990" i="45"/>
  <c r="AZ990" i="45"/>
  <c r="AV990" i="45"/>
  <c r="AA990" i="45"/>
  <c r="R990" i="45"/>
  <c r="A990" i="45"/>
  <c r="CE991" i="45"/>
  <c r="AZ991" i="45"/>
  <c r="A991" i="45" s="1"/>
  <c r="AV991" i="45"/>
  <c r="AA991" i="45"/>
  <c r="R991" i="45"/>
  <c r="CE992" i="45"/>
  <c r="AZ992" i="45"/>
  <c r="AV992" i="45"/>
  <c r="AA992" i="45"/>
  <c r="R992" i="45"/>
  <c r="A992" i="45"/>
  <c r="CE993" i="45"/>
  <c r="AZ993" i="45"/>
  <c r="AV993" i="45"/>
  <c r="AA993" i="45"/>
  <c r="R993" i="45"/>
  <c r="A993" i="45"/>
  <c r="CE994" i="45"/>
  <c r="AZ994" i="45"/>
  <c r="AV994" i="45"/>
  <c r="AA994" i="45"/>
  <c r="R994" i="45"/>
  <c r="A994" i="45"/>
  <c r="CE995" i="45"/>
  <c r="AZ995" i="45"/>
  <c r="AV995" i="45"/>
  <c r="AA995" i="45"/>
  <c r="R995" i="45"/>
  <c r="A995" i="45"/>
  <c r="CE996" i="45"/>
  <c r="AZ996" i="45"/>
  <c r="AV996" i="45"/>
  <c r="AA996" i="45"/>
  <c r="R996" i="45"/>
  <c r="A996" i="45"/>
  <c r="CE997" i="45"/>
  <c r="AZ997" i="45"/>
  <c r="AV997" i="45"/>
  <c r="AA997" i="45"/>
  <c r="R997" i="45"/>
  <c r="A997" i="45"/>
  <c r="CE998" i="45"/>
  <c r="AZ998" i="45"/>
  <c r="AV998" i="45"/>
  <c r="AA998" i="45"/>
  <c r="R998" i="45"/>
  <c r="A998" i="45"/>
  <c r="CE999" i="45"/>
  <c r="AZ999" i="45"/>
  <c r="AA999" i="45"/>
  <c r="R999" i="45"/>
  <c r="CE1000" i="45"/>
  <c r="AZ1000" i="45"/>
  <c r="AA1000" i="45"/>
  <c r="R1000" i="45"/>
  <c r="CE1001" i="45"/>
  <c r="AZ1001" i="45"/>
  <c r="AA1001" i="45"/>
  <c r="R1001" i="45"/>
  <c r="CE1002" i="45"/>
  <c r="AZ1002" i="45"/>
  <c r="AA1002" i="45"/>
  <c r="R1002" i="45"/>
  <c r="CE1003" i="45"/>
  <c r="AZ1003" i="45"/>
  <c r="AV1003" i="45"/>
  <c r="AA1003" i="45"/>
  <c r="R1003" i="45"/>
  <c r="A1003" i="45"/>
  <c r="CE1004" i="45"/>
  <c r="AZ1004" i="45"/>
  <c r="AV1004" i="45"/>
  <c r="AA1004" i="45"/>
  <c r="R1004" i="45"/>
  <c r="A1004" i="45"/>
  <c r="CE1005" i="45"/>
  <c r="AZ1005" i="45"/>
  <c r="AV1005" i="45"/>
  <c r="AA1005" i="45"/>
  <c r="R1005" i="45"/>
  <c r="A1005" i="45"/>
  <c r="CE1006" i="45"/>
  <c r="AZ1006" i="45"/>
  <c r="AV1006" i="45"/>
  <c r="AA1006" i="45"/>
  <c r="R1006" i="45"/>
  <c r="A1006" i="45"/>
  <c r="CE1007" i="45"/>
  <c r="AZ1007" i="45"/>
  <c r="A1007" i="45" s="1"/>
  <c r="AV1007" i="45"/>
  <c r="AA1007" i="45"/>
  <c r="R1007" i="45"/>
  <c r="CE1008" i="45"/>
  <c r="AZ1008" i="45"/>
  <c r="AV1008" i="45"/>
  <c r="AA1008" i="45"/>
  <c r="R1008" i="45"/>
  <c r="A1008" i="45"/>
  <c r="CE1009" i="45"/>
  <c r="AZ1009" i="45"/>
  <c r="AV1009" i="45"/>
  <c r="AA1009" i="45"/>
  <c r="R1009" i="45"/>
  <c r="A1009" i="45"/>
  <c r="CE1010" i="45"/>
  <c r="AZ1010" i="45"/>
  <c r="AV1010" i="45"/>
  <c r="AA1010" i="45"/>
  <c r="R1010" i="45"/>
  <c r="A1010" i="45"/>
  <c r="CE1011" i="45"/>
  <c r="AZ1011" i="45"/>
  <c r="AV1011" i="45"/>
  <c r="AA1011" i="45"/>
  <c r="R1011" i="45"/>
  <c r="A1011" i="45"/>
  <c r="CE1012" i="45"/>
  <c r="AZ1012" i="45"/>
  <c r="A1012" i="45" s="1"/>
  <c r="AV1012" i="45"/>
  <c r="AA1012" i="45"/>
  <c r="R1012" i="45"/>
  <c r="CE1013" i="45"/>
  <c r="AZ1013" i="45"/>
  <c r="AV1013" i="45"/>
  <c r="AA1013" i="45"/>
  <c r="R1013" i="45"/>
  <c r="A1013" i="45"/>
  <c r="CE1014" i="45"/>
  <c r="AZ1014" i="45"/>
  <c r="AV1014" i="45"/>
  <c r="AA1014" i="45"/>
  <c r="R1014" i="45"/>
  <c r="A1014" i="45"/>
  <c r="CE1015" i="45"/>
  <c r="AZ1015" i="45"/>
  <c r="AV1015" i="45"/>
  <c r="AA1015" i="45"/>
  <c r="R1015" i="45"/>
  <c r="A1015" i="45"/>
  <c r="CE1016" i="45"/>
  <c r="AZ1016" i="45"/>
  <c r="AV1016" i="45"/>
  <c r="AA1016" i="45"/>
  <c r="R1016" i="45"/>
  <c r="A1016" i="45"/>
  <c r="CE1017" i="45"/>
  <c r="AZ1017" i="45"/>
  <c r="AV1017" i="45"/>
  <c r="AA1017" i="45"/>
  <c r="R1017" i="45"/>
  <c r="A1017" i="45"/>
  <c r="CE1018" i="45"/>
  <c r="AZ1018" i="45"/>
  <c r="AV1018" i="45"/>
  <c r="AA1018" i="45"/>
  <c r="R1018" i="45"/>
  <c r="A1018" i="45"/>
  <c r="CE1019" i="45"/>
  <c r="AZ1019" i="45"/>
  <c r="AV1019" i="45"/>
  <c r="AA1019" i="45"/>
  <c r="R1019" i="45"/>
  <c r="A1019" i="45"/>
  <c r="CE1020" i="45"/>
  <c r="AZ1020" i="45"/>
  <c r="AV1020" i="45"/>
  <c r="AA1020" i="45"/>
  <c r="R1020" i="45"/>
  <c r="A1020" i="45"/>
  <c r="CE1021" i="45"/>
  <c r="AZ1021" i="45"/>
  <c r="AV1021" i="45"/>
  <c r="AA1021" i="45"/>
  <c r="R1021" i="45"/>
  <c r="A1021" i="45"/>
  <c r="CE1022" i="45"/>
  <c r="AZ1022" i="45"/>
  <c r="AV1022" i="45"/>
  <c r="AA1022" i="45"/>
  <c r="R1022" i="45"/>
  <c r="A1022" i="45"/>
  <c r="CE1023" i="45"/>
  <c r="AZ1023" i="45"/>
  <c r="A1023" i="45" s="1"/>
  <c r="AV1023" i="45"/>
  <c r="AA1023" i="45"/>
  <c r="R1023" i="45"/>
  <c r="CE1024" i="45"/>
  <c r="AZ1024" i="45"/>
  <c r="AV1024" i="45"/>
  <c r="AA1024" i="45"/>
  <c r="R1024" i="45"/>
  <c r="A1024" i="45"/>
  <c r="CE1025" i="45"/>
  <c r="AZ1025" i="45"/>
  <c r="AV1025" i="45"/>
  <c r="AA1025" i="45"/>
  <c r="R1025" i="45"/>
  <c r="A1025" i="45"/>
  <c r="CE1026" i="45"/>
  <c r="AZ1026" i="45"/>
  <c r="AV1026" i="45"/>
  <c r="AA1026" i="45"/>
  <c r="R1026" i="45"/>
  <c r="A1026" i="45"/>
  <c r="CE1027" i="45"/>
  <c r="AZ1027" i="45"/>
  <c r="AV1027" i="45"/>
  <c r="AA1027" i="45"/>
  <c r="R1027" i="45"/>
  <c r="A1027" i="45"/>
  <c r="CE1028" i="45"/>
  <c r="AZ1028" i="45"/>
  <c r="AV1028" i="45"/>
  <c r="AA1028" i="45"/>
  <c r="R1028" i="45"/>
  <c r="A1028" i="45"/>
  <c r="CE1029" i="45"/>
  <c r="AZ1029" i="45"/>
  <c r="AV1029" i="45"/>
  <c r="AA1029" i="45"/>
  <c r="R1029" i="45"/>
  <c r="A1029" i="45"/>
  <c r="CE1030" i="45"/>
  <c r="AZ1030" i="45"/>
  <c r="AV1030" i="45"/>
  <c r="AA1030" i="45"/>
  <c r="R1030" i="45"/>
  <c r="A1030" i="45"/>
  <c r="CE1031" i="45"/>
  <c r="AZ1031" i="45"/>
  <c r="AV1031" i="45"/>
  <c r="AA1031" i="45"/>
  <c r="R1031" i="45"/>
  <c r="A1031" i="45"/>
  <c r="CE1032" i="45"/>
  <c r="AZ1032" i="45"/>
  <c r="AV1032" i="45"/>
  <c r="AA1032" i="45"/>
  <c r="R1032" i="45"/>
  <c r="A1032" i="45"/>
  <c r="CE1033" i="45"/>
  <c r="AZ1033" i="45"/>
  <c r="AV1033" i="45"/>
  <c r="AA1033" i="45"/>
  <c r="R1033" i="45"/>
  <c r="A1033" i="45"/>
  <c r="CE1034" i="45"/>
  <c r="AZ1034" i="45"/>
  <c r="AV1034" i="45"/>
  <c r="AA1034" i="45"/>
  <c r="R1034" i="45"/>
  <c r="A1034" i="45"/>
  <c r="CE1035" i="45"/>
  <c r="AZ1035" i="45"/>
  <c r="AV1035" i="45"/>
  <c r="AA1035" i="45"/>
  <c r="R1035" i="45"/>
  <c r="A1035" i="45"/>
  <c r="CE1036" i="45"/>
  <c r="AZ1036" i="45"/>
  <c r="A1036" i="45" s="1"/>
  <c r="AV1036" i="45"/>
  <c r="AA1036" i="45"/>
  <c r="R1036" i="45"/>
  <c r="CE1037" i="45"/>
  <c r="AZ1037" i="45"/>
  <c r="AV1037" i="45"/>
  <c r="AA1037" i="45"/>
  <c r="R1037" i="45"/>
  <c r="A1037" i="45"/>
  <c r="CE1038" i="45"/>
  <c r="AZ1038" i="45"/>
  <c r="AV1038" i="45"/>
  <c r="AA1038" i="45"/>
  <c r="R1038" i="45"/>
  <c r="A1038" i="45"/>
  <c r="CE1039" i="45"/>
  <c r="AZ1039" i="45"/>
  <c r="A1039" i="45" s="1"/>
  <c r="AV1039" i="45"/>
  <c r="AA1039" i="45"/>
  <c r="R1039" i="45"/>
  <c r="CE1040" i="45"/>
  <c r="AZ1040" i="45"/>
  <c r="AV1040" i="45"/>
  <c r="AA1040" i="45"/>
  <c r="R1040" i="45"/>
  <c r="A1040" i="45"/>
  <c r="CE1041" i="45"/>
  <c r="AZ1041" i="45"/>
  <c r="AV1041" i="45"/>
  <c r="AA1041" i="45"/>
  <c r="R1041" i="45"/>
  <c r="A1041" i="45"/>
  <c r="CE1042" i="45"/>
  <c r="AZ1042" i="45"/>
  <c r="AV1042" i="45"/>
  <c r="AA1042" i="45"/>
  <c r="R1042" i="45"/>
  <c r="A1042" i="45"/>
  <c r="CE1043" i="45"/>
  <c r="AZ1043" i="45"/>
  <c r="AV1043" i="45"/>
  <c r="AA1043" i="45"/>
  <c r="R1043" i="45"/>
  <c r="A1043" i="45"/>
  <c r="CE1044" i="45"/>
  <c r="AZ1044" i="45"/>
  <c r="AV1044" i="45"/>
  <c r="AA1044" i="45"/>
  <c r="R1044" i="45"/>
  <c r="A1044" i="45"/>
  <c r="CE1045" i="45"/>
  <c r="AZ1045" i="45"/>
  <c r="AV1045" i="45"/>
  <c r="AA1045" i="45"/>
  <c r="R1045" i="45"/>
  <c r="A1045" i="45"/>
  <c r="CE1046" i="45"/>
  <c r="AZ1046" i="45"/>
  <c r="AV1046" i="45"/>
  <c r="AA1046" i="45"/>
  <c r="R1046" i="45"/>
  <c r="A1046" i="45"/>
  <c r="CE1047" i="45"/>
  <c r="AZ1047" i="45"/>
  <c r="AV1047" i="45"/>
  <c r="AA1047" i="45"/>
  <c r="R1047" i="45"/>
  <c r="A1047" i="45"/>
  <c r="CE1048" i="45"/>
  <c r="AZ1048" i="45"/>
  <c r="AV1048" i="45"/>
  <c r="AA1048" i="45"/>
  <c r="R1048" i="45"/>
  <c r="A1048" i="45"/>
  <c r="CE1049" i="45"/>
  <c r="AZ1049" i="45"/>
  <c r="AV1049" i="45"/>
  <c r="AA1049" i="45"/>
  <c r="R1049" i="45"/>
  <c r="A1049" i="45"/>
  <c r="CE1050" i="45"/>
  <c r="AZ1050" i="45"/>
  <c r="AV1050" i="45"/>
  <c r="AA1050" i="45"/>
  <c r="R1050" i="45"/>
  <c r="A1050" i="45"/>
  <c r="CE1051" i="45"/>
  <c r="AZ1051" i="45"/>
  <c r="AV1051" i="45"/>
  <c r="AA1051" i="45"/>
  <c r="R1051" i="45"/>
  <c r="A1051" i="45"/>
  <c r="CE1052" i="45"/>
  <c r="AZ1052" i="45"/>
  <c r="AV1052" i="45"/>
  <c r="AA1052" i="45"/>
  <c r="R1052" i="45"/>
  <c r="A1052" i="45"/>
  <c r="CE1053" i="45"/>
  <c r="AZ1053" i="45"/>
  <c r="AV1053" i="45"/>
  <c r="AA1053" i="45"/>
  <c r="R1053" i="45"/>
  <c r="A1053" i="45"/>
  <c r="CE1054" i="45"/>
  <c r="AZ1054" i="45"/>
  <c r="AV1054" i="45"/>
  <c r="AA1054" i="45"/>
  <c r="R1054" i="45"/>
  <c r="A1054" i="45"/>
  <c r="CE1055" i="45"/>
  <c r="AZ1055" i="45"/>
  <c r="AV1055" i="45"/>
  <c r="AA1055" i="45"/>
  <c r="R1055" i="45"/>
  <c r="A1055" i="45"/>
  <c r="CE1056" i="45"/>
  <c r="AZ1056" i="45"/>
  <c r="AV1056" i="45"/>
  <c r="AA1056" i="45"/>
  <c r="R1056" i="45"/>
  <c r="A1056" i="45"/>
  <c r="CE1057" i="45"/>
  <c r="AZ1057" i="45"/>
  <c r="AV1057" i="45"/>
  <c r="AA1057" i="45"/>
  <c r="R1057" i="45"/>
  <c r="A1057" i="45"/>
  <c r="CE1058" i="45"/>
  <c r="AZ1058" i="45"/>
  <c r="AV1058" i="45"/>
  <c r="AA1058" i="45"/>
  <c r="R1058" i="45"/>
  <c r="A1058" i="45"/>
  <c r="CE1059" i="45"/>
  <c r="AZ1059" i="45"/>
  <c r="A1059" i="45" s="1"/>
  <c r="AV1059" i="45"/>
  <c r="AA1059" i="45"/>
  <c r="R1059" i="45"/>
  <c r="CE1060" i="45"/>
  <c r="AZ1060" i="45"/>
  <c r="A1060" i="45" s="1"/>
  <c r="AV1060" i="45"/>
  <c r="AA1060" i="45"/>
  <c r="R1060" i="45"/>
  <c r="CE1061" i="45"/>
  <c r="AZ1061" i="45"/>
  <c r="A1061" i="45" s="1"/>
  <c r="AV1061" i="45"/>
  <c r="AA1061" i="45"/>
  <c r="R1061" i="45"/>
  <c r="CE1062" i="45"/>
  <c r="AZ1062" i="45"/>
  <c r="A1062" i="45" s="1"/>
  <c r="AV1062" i="45"/>
  <c r="AA1062" i="45"/>
  <c r="R1062" i="45"/>
  <c r="CE1063" i="45"/>
  <c r="AZ1063" i="45"/>
  <c r="AV1063" i="45"/>
  <c r="AA1063" i="45"/>
  <c r="R1063" i="45"/>
  <c r="A1063" i="45"/>
  <c r="CE1064" i="45"/>
  <c r="AZ1064" i="45"/>
  <c r="AV1064" i="45"/>
  <c r="AA1064" i="45"/>
  <c r="R1064" i="45"/>
  <c r="A1064" i="45"/>
  <c r="CE1065" i="45"/>
  <c r="AZ1065" i="45"/>
  <c r="AV1065" i="45"/>
  <c r="AA1065" i="45"/>
  <c r="R1065" i="45"/>
  <c r="A1065" i="45"/>
  <c r="CE1066" i="45"/>
  <c r="AZ1066" i="45"/>
  <c r="AV1066" i="45"/>
  <c r="AA1066" i="45"/>
  <c r="R1066" i="45"/>
  <c r="A1066" i="45"/>
  <c r="CE1067" i="45"/>
  <c r="AZ1067" i="45"/>
  <c r="AV1067" i="45"/>
  <c r="AA1067" i="45"/>
  <c r="R1067" i="45"/>
  <c r="A1067" i="45"/>
  <c r="CE1068" i="45"/>
  <c r="AZ1068" i="45"/>
  <c r="AV1068" i="45"/>
  <c r="AA1068" i="45"/>
  <c r="R1068" i="45"/>
  <c r="A1068" i="45"/>
  <c r="CE1069" i="45"/>
  <c r="AZ1069" i="45"/>
  <c r="AV1069" i="45"/>
  <c r="AA1069" i="45"/>
  <c r="R1069" i="45"/>
  <c r="A1069" i="45"/>
  <c r="CE1070" i="45"/>
  <c r="AZ1070" i="45"/>
  <c r="AV1070" i="45"/>
  <c r="AA1070" i="45"/>
  <c r="R1070" i="45"/>
  <c r="A1070" i="45"/>
  <c r="CE1071" i="45"/>
  <c r="AZ1071" i="45"/>
  <c r="AV1071" i="45"/>
  <c r="AA1071" i="45"/>
  <c r="R1071" i="45"/>
  <c r="A1071" i="45"/>
  <c r="CE1072" i="45"/>
  <c r="AZ1072" i="45"/>
  <c r="AV1072" i="45"/>
  <c r="AA1072" i="45"/>
  <c r="R1072" i="45"/>
  <c r="A1072" i="45"/>
  <c r="CE1073" i="45"/>
  <c r="AZ1073" i="45"/>
  <c r="AV1073" i="45"/>
  <c r="AA1073" i="45"/>
  <c r="R1073" i="45"/>
  <c r="A1073" i="45"/>
  <c r="CE1074" i="45"/>
  <c r="AZ1074" i="45"/>
  <c r="A1074" i="45" s="1"/>
  <c r="AV1074" i="45"/>
  <c r="AA1074" i="45"/>
  <c r="R1074" i="45"/>
  <c r="CE1075" i="45"/>
  <c r="AZ1075" i="45"/>
  <c r="A1075" i="45" s="1"/>
  <c r="AV1075" i="45"/>
  <c r="AA1075" i="45"/>
  <c r="R1075" i="45"/>
  <c r="CE1076" i="45"/>
  <c r="AZ1076" i="45"/>
  <c r="AV1076" i="45"/>
  <c r="AA1076" i="45"/>
  <c r="R1076" i="45"/>
  <c r="A1076" i="45"/>
  <c r="CE1077" i="45"/>
  <c r="AZ1077" i="45"/>
  <c r="AV1077" i="45"/>
  <c r="AA1077" i="45"/>
  <c r="R1077" i="45"/>
  <c r="A1077" i="45"/>
  <c r="CE1078" i="45"/>
  <c r="AZ1078" i="45"/>
  <c r="AA1078" i="45"/>
  <c r="R1078" i="45"/>
  <c r="CE1079" i="45"/>
  <c r="AZ1079" i="45"/>
  <c r="AV1079" i="45"/>
  <c r="AA1079" i="45"/>
  <c r="R1079" i="45"/>
  <c r="A1079" i="45"/>
  <c r="CE1080" i="45"/>
  <c r="AZ1080" i="45"/>
  <c r="A1080" i="45" s="1"/>
  <c r="AV1080" i="45"/>
  <c r="AA1080" i="45"/>
  <c r="R1080" i="45"/>
  <c r="CE1081" i="45"/>
  <c r="AZ1081" i="45"/>
  <c r="AV1081" i="45"/>
  <c r="AA1081" i="45"/>
  <c r="R1081" i="45"/>
  <c r="A1081" i="45"/>
  <c r="CE1082" i="45"/>
  <c r="AZ1082" i="45"/>
  <c r="AV1082" i="45"/>
  <c r="AA1082" i="45"/>
  <c r="R1082" i="45"/>
  <c r="A1082" i="45"/>
  <c r="CE1083" i="45"/>
  <c r="AZ1083" i="45"/>
  <c r="A1083" i="45" s="1"/>
  <c r="AV1083" i="45"/>
  <c r="AA1083" i="45"/>
  <c r="R1083" i="45"/>
  <c r="CE1084" i="45"/>
  <c r="AZ1084" i="45"/>
  <c r="A1084" i="45" s="1"/>
  <c r="AV1084" i="45"/>
  <c r="AA1084" i="45"/>
  <c r="R1084" i="45"/>
  <c r="CE1085" i="45"/>
  <c r="AZ1085" i="45"/>
  <c r="A1085" i="45" s="1"/>
  <c r="AV1085" i="45"/>
  <c r="AA1085" i="45"/>
  <c r="R1085" i="45"/>
  <c r="CE1086" i="45"/>
  <c r="AZ1086" i="45"/>
  <c r="A1086" i="45" s="1"/>
  <c r="AV1086" i="45"/>
  <c r="AA1086" i="45"/>
  <c r="R1086" i="45"/>
  <c r="CE1087" i="45"/>
  <c r="AZ1087" i="45"/>
  <c r="A1087" i="45" s="1"/>
  <c r="AV1087" i="45"/>
  <c r="AA1087" i="45"/>
  <c r="R1087" i="45"/>
  <c r="CE1088" i="45"/>
  <c r="AZ1088" i="45"/>
  <c r="AV1088" i="45"/>
  <c r="AA1088" i="45"/>
  <c r="R1088" i="45"/>
  <c r="A1088" i="45"/>
  <c r="CE1089" i="45"/>
  <c r="AZ1089" i="45"/>
  <c r="AV1089" i="45"/>
  <c r="AA1089" i="45"/>
  <c r="R1089" i="45"/>
  <c r="A1089" i="45"/>
  <c r="CE1090" i="45"/>
  <c r="AZ1090" i="45"/>
  <c r="AV1090" i="45"/>
  <c r="AA1090" i="45"/>
  <c r="R1090" i="45"/>
  <c r="A1090" i="45"/>
  <c r="CE1091" i="45"/>
  <c r="AZ1091" i="45"/>
  <c r="A1091" i="45" s="1"/>
  <c r="AV1091" i="45"/>
  <c r="AA1091" i="45"/>
  <c r="R1091" i="45"/>
  <c r="CE1092" i="45"/>
  <c r="AZ1092" i="45"/>
  <c r="A1092" i="45" s="1"/>
  <c r="AV1092" i="45"/>
  <c r="AA1092" i="45"/>
  <c r="R1092" i="45"/>
  <c r="CE1093" i="45"/>
  <c r="AZ1093" i="45"/>
  <c r="AV1093" i="45"/>
  <c r="AA1093" i="45"/>
  <c r="R1093" i="45"/>
  <c r="A1093" i="45"/>
  <c r="CE1094" i="45"/>
  <c r="AZ1094" i="45"/>
  <c r="A1094" i="45" s="1"/>
  <c r="AV1094" i="45"/>
  <c r="AA1094" i="45"/>
  <c r="R1094" i="45"/>
  <c r="CE1095" i="45"/>
  <c r="AZ1095" i="45"/>
  <c r="AV1095" i="45"/>
  <c r="AA1095" i="45"/>
  <c r="R1095" i="45"/>
  <c r="A1095" i="45"/>
  <c r="CE1096" i="45"/>
  <c r="AZ1096" i="45"/>
  <c r="AV1096" i="45"/>
  <c r="AA1096" i="45"/>
  <c r="R1096" i="45"/>
  <c r="A1096" i="45"/>
  <c r="CE1097" i="45"/>
  <c r="AZ1097" i="45"/>
  <c r="A1097" i="45" s="1"/>
  <c r="AV1097" i="45"/>
  <c r="AA1097" i="45"/>
  <c r="R1097" i="45"/>
  <c r="CE1098" i="45"/>
  <c r="AZ1098" i="45"/>
  <c r="AV1098" i="45"/>
  <c r="AA1098" i="45"/>
  <c r="R1098" i="45"/>
  <c r="A1098" i="45"/>
  <c r="CE1099" i="45"/>
  <c r="AZ1099" i="45"/>
  <c r="AV1099" i="45"/>
  <c r="AA1099" i="45"/>
  <c r="R1099" i="45"/>
  <c r="A1099" i="45"/>
  <c r="CE1100" i="45"/>
  <c r="AZ1100" i="45"/>
  <c r="AV1100" i="45"/>
  <c r="AA1100" i="45"/>
  <c r="R1100" i="45"/>
  <c r="A1100" i="45"/>
  <c r="CE1101" i="45"/>
  <c r="AZ1101" i="45"/>
  <c r="AV1101" i="45"/>
  <c r="AA1101" i="45"/>
  <c r="R1101" i="45"/>
  <c r="A1101" i="45"/>
  <c r="CE1102" i="45"/>
  <c r="AZ1102" i="45"/>
  <c r="AV1102" i="45"/>
  <c r="AA1102" i="45"/>
  <c r="R1102" i="45"/>
  <c r="A1102" i="45"/>
  <c r="CE1103" i="45"/>
  <c r="AZ1103" i="45"/>
  <c r="AV1103" i="45"/>
  <c r="AA1103" i="45"/>
  <c r="R1103" i="45"/>
  <c r="A1103" i="45"/>
  <c r="CE1104" i="45"/>
  <c r="AZ1104" i="45"/>
  <c r="AV1104" i="45"/>
  <c r="AA1104" i="45"/>
  <c r="R1104" i="45"/>
  <c r="A1104" i="45"/>
  <c r="CE1105" i="45"/>
  <c r="AZ1105" i="45"/>
  <c r="AV1105" i="45"/>
  <c r="AA1105" i="45"/>
  <c r="R1105" i="45"/>
  <c r="A1105" i="45"/>
  <c r="CE1106" i="45"/>
  <c r="AZ1106" i="45"/>
  <c r="AV1106" i="45"/>
  <c r="AA1106" i="45"/>
  <c r="R1106" i="45"/>
  <c r="A1106" i="45"/>
  <c r="CE1107" i="45"/>
  <c r="AZ1107" i="45"/>
  <c r="AV1107" i="45"/>
  <c r="AA1107" i="45"/>
  <c r="R1107" i="45"/>
  <c r="A1107" i="45"/>
  <c r="CE1108" i="45"/>
  <c r="AZ1108" i="45"/>
  <c r="A1108" i="45" s="1"/>
  <c r="AV1108" i="45"/>
  <c r="AA1108" i="45"/>
  <c r="R1108" i="45"/>
  <c r="CE1109" i="45"/>
  <c r="AZ1109" i="45"/>
  <c r="AV1109" i="45"/>
  <c r="AA1109" i="45"/>
  <c r="R1109" i="45"/>
  <c r="A1109" i="45"/>
  <c r="CE1110" i="45"/>
  <c r="AZ1110" i="45"/>
  <c r="AV1110" i="45"/>
  <c r="AA1110" i="45"/>
  <c r="R1110" i="45"/>
  <c r="A1110" i="45"/>
  <c r="CE1111" i="45"/>
  <c r="AZ1111" i="45"/>
  <c r="AV1111" i="45"/>
  <c r="AA1111" i="45"/>
  <c r="R1111" i="45"/>
  <c r="A1111" i="45"/>
  <c r="CE1112" i="45"/>
  <c r="AZ1112" i="45"/>
  <c r="AV1112" i="45"/>
  <c r="AA1112" i="45"/>
  <c r="R1112" i="45"/>
  <c r="A1112" i="45"/>
  <c r="CE1113" i="45"/>
  <c r="AZ1113" i="45"/>
  <c r="AV1113" i="45"/>
  <c r="AA1113" i="45"/>
  <c r="R1113" i="45"/>
  <c r="A1113" i="45"/>
  <c r="CE1114" i="45"/>
  <c r="AZ1114" i="45"/>
  <c r="AV1114" i="45"/>
  <c r="AA1114" i="45"/>
  <c r="R1114" i="45"/>
  <c r="A1114" i="45"/>
  <c r="CE1115" i="45"/>
  <c r="AZ1115" i="45"/>
  <c r="AV1115" i="45"/>
  <c r="AA1115" i="45"/>
  <c r="R1115" i="45"/>
  <c r="A1115" i="45"/>
  <c r="CE1116" i="45"/>
  <c r="AZ1116" i="45"/>
  <c r="AV1116" i="45"/>
  <c r="AA1116" i="45"/>
  <c r="R1116" i="45"/>
  <c r="A1116" i="45"/>
  <c r="CE1117" i="45"/>
  <c r="AZ1117" i="45"/>
  <c r="AV1117" i="45"/>
  <c r="AA1117" i="45"/>
  <c r="R1117" i="45"/>
  <c r="A1117" i="45"/>
  <c r="CE1118" i="45"/>
  <c r="AZ1118" i="45"/>
  <c r="A1118" i="45" s="1"/>
  <c r="AV1118" i="45"/>
  <c r="AA1118" i="45"/>
  <c r="R1118" i="45"/>
  <c r="CE1119" i="45"/>
  <c r="AZ1119" i="45"/>
  <c r="AV1119" i="45"/>
  <c r="AA1119" i="45"/>
  <c r="R1119" i="45"/>
  <c r="A1119" i="45"/>
  <c r="CE1120" i="45"/>
  <c r="AZ1120" i="45"/>
  <c r="AV1120" i="45"/>
  <c r="AA1120" i="45"/>
  <c r="R1120" i="45"/>
  <c r="A1120" i="45"/>
  <c r="CE1121" i="45"/>
  <c r="AZ1121" i="45"/>
  <c r="AV1121" i="45"/>
  <c r="AA1121" i="45"/>
  <c r="R1121" i="45"/>
  <c r="A1121" i="45"/>
  <c r="CE1122" i="45"/>
  <c r="AZ1122" i="45"/>
  <c r="A1122" i="45" s="1"/>
  <c r="AV1122" i="45"/>
  <c r="AA1122" i="45"/>
  <c r="R1122" i="45"/>
  <c r="CE1123" i="45"/>
  <c r="AZ1123" i="45"/>
  <c r="A1123" i="45" s="1"/>
  <c r="AV1123" i="45"/>
  <c r="AA1123" i="45"/>
  <c r="R1123" i="45"/>
  <c r="CE1124" i="45"/>
  <c r="AZ1124" i="45"/>
  <c r="AV1124" i="45"/>
  <c r="AA1124" i="45"/>
  <c r="R1124" i="45"/>
  <c r="A1124" i="45"/>
  <c r="CE1125" i="45"/>
  <c r="AZ1125" i="45"/>
  <c r="A1125" i="45" s="1"/>
  <c r="AV1125" i="45"/>
  <c r="AA1125" i="45"/>
  <c r="R1125" i="45"/>
  <c r="CE1126" i="45"/>
  <c r="AZ1126" i="45"/>
  <c r="AV1126" i="45"/>
  <c r="AA1126" i="45"/>
  <c r="R1126" i="45"/>
  <c r="A1126" i="45"/>
  <c r="CE1127" i="45"/>
  <c r="AZ1127" i="45"/>
  <c r="AV1127" i="45"/>
  <c r="AA1127" i="45"/>
  <c r="R1127" i="45"/>
  <c r="A1127" i="45"/>
  <c r="CE1128" i="45"/>
  <c r="AZ1128" i="45"/>
  <c r="AV1128" i="45"/>
  <c r="AA1128" i="45"/>
  <c r="R1128" i="45"/>
  <c r="A1128" i="45"/>
  <c r="CE1129" i="45"/>
  <c r="AZ1129" i="45"/>
  <c r="AV1129" i="45"/>
  <c r="AA1129" i="45"/>
  <c r="R1129" i="45"/>
  <c r="A1129" i="45"/>
  <c r="CE1130" i="45"/>
  <c r="AZ1130" i="45"/>
  <c r="AV1130" i="45"/>
  <c r="AA1130" i="45"/>
  <c r="R1130" i="45"/>
  <c r="A1130" i="45"/>
  <c r="CE1131" i="45"/>
  <c r="AZ1131" i="45"/>
  <c r="AV1131" i="45"/>
  <c r="AA1131" i="45"/>
  <c r="R1131" i="45"/>
  <c r="A1131" i="45"/>
  <c r="CE1132" i="45"/>
  <c r="AZ1132" i="45"/>
  <c r="A1132" i="45" s="1"/>
  <c r="AV1132" i="45"/>
  <c r="AA1132" i="45"/>
  <c r="R1132" i="45"/>
  <c r="CE1133" i="45"/>
  <c r="AZ1133" i="45"/>
  <c r="AV1133" i="45"/>
  <c r="AA1133" i="45"/>
  <c r="R1133" i="45"/>
  <c r="A1133" i="45"/>
  <c r="CE1134" i="45"/>
  <c r="AZ1134" i="45"/>
  <c r="AV1134" i="45"/>
  <c r="AA1134" i="45"/>
  <c r="R1134" i="45"/>
  <c r="A1134" i="45"/>
  <c r="CE1135" i="45"/>
  <c r="AZ1135" i="45"/>
  <c r="AV1135" i="45"/>
  <c r="AA1135" i="45"/>
  <c r="R1135" i="45"/>
  <c r="A1135" i="45"/>
  <c r="CE1136" i="45"/>
  <c r="AZ1136" i="45"/>
  <c r="A1136" i="45" s="1"/>
  <c r="AV1136" i="45"/>
  <c r="AA1136" i="45"/>
  <c r="R1136" i="45"/>
  <c r="CE1137" i="45"/>
  <c r="AZ1137" i="45"/>
  <c r="A1137" i="45" s="1"/>
  <c r="AV1137" i="45"/>
  <c r="AA1137" i="45"/>
  <c r="R1137" i="45"/>
  <c r="CE1138" i="45"/>
  <c r="AZ1138" i="45"/>
  <c r="AV1138" i="45"/>
  <c r="AA1138" i="45"/>
  <c r="R1138" i="45"/>
  <c r="A1138" i="45"/>
  <c r="CE1139" i="45"/>
  <c r="AZ1139" i="45"/>
  <c r="AV1139" i="45"/>
  <c r="AA1139" i="45"/>
  <c r="R1139" i="45"/>
  <c r="A1139" i="45"/>
  <c r="CE1140" i="45"/>
  <c r="AZ1140" i="45"/>
  <c r="AV1140" i="45"/>
  <c r="AA1140" i="45"/>
  <c r="R1140" i="45"/>
  <c r="A1140" i="45"/>
  <c r="CE1141" i="45"/>
  <c r="AZ1141" i="45"/>
  <c r="A1141" i="45" s="1"/>
  <c r="AV1141" i="45"/>
  <c r="AA1141" i="45"/>
  <c r="R1141" i="45"/>
  <c r="CE1142" i="45"/>
  <c r="AZ1142" i="45"/>
  <c r="A1142" i="45" s="1"/>
  <c r="AV1142" i="45"/>
  <c r="AA1142" i="45"/>
  <c r="R1142" i="45"/>
  <c r="CE1143" i="45"/>
  <c r="AZ1143" i="45"/>
  <c r="AV1143" i="45"/>
  <c r="AA1143" i="45"/>
  <c r="R1143" i="45"/>
  <c r="A1143" i="45"/>
  <c r="CE1144" i="45"/>
  <c r="AZ1144" i="45"/>
  <c r="AV1144" i="45"/>
  <c r="AA1144" i="45"/>
  <c r="R1144" i="45"/>
  <c r="A1144" i="45"/>
  <c r="CE1145" i="45"/>
  <c r="AZ1145" i="45"/>
  <c r="AV1145" i="45"/>
  <c r="AA1145" i="45"/>
  <c r="R1145" i="45"/>
  <c r="A1145" i="45"/>
  <c r="CE1146" i="45"/>
  <c r="AZ1146" i="45"/>
  <c r="AV1146" i="45"/>
  <c r="AA1146" i="45"/>
  <c r="R1146" i="45"/>
  <c r="A1146" i="45"/>
  <c r="CE1147" i="45"/>
  <c r="AZ1147" i="45"/>
  <c r="AV1147" i="45"/>
  <c r="AA1147" i="45"/>
  <c r="R1147" i="45"/>
  <c r="A1147" i="45"/>
  <c r="CE1148" i="45"/>
  <c r="AZ1148" i="45"/>
  <c r="AV1148" i="45"/>
  <c r="AA1148" i="45"/>
  <c r="R1148" i="45"/>
  <c r="A1148" i="45"/>
  <c r="CE1149" i="45"/>
  <c r="AZ1149" i="45"/>
  <c r="AV1149" i="45"/>
  <c r="AA1149" i="45"/>
  <c r="R1149" i="45"/>
  <c r="A1149" i="45"/>
  <c r="CE1150" i="45"/>
  <c r="AZ1150" i="45"/>
  <c r="AV1150" i="45"/>
  <c r="AA1150" i="45"/>
  <c r="R1150" i="45"/>
  <c r="A1150" i="45"/>
  <c r="CE1151" i="45"/>
  <c r="AZ1151" i="45"/>
  <c r="AV1151" i="45"/>
  <c r="AA1151" i="45"/>
  <c r="R1151" i="45"/>
  <c r="A1151" i="45"/>
  <c r="CE1152" i="45"/>
  <c r="AZ1152" i="45"/>
  <c r="AV1152" i="45"/>
  <c r="AA1152" i="45"/>
  <c r="R1152" i="45"/>
  <c r="A1152" i="45"/>
  <c r="CE1153" i="45"/>
  <c r="AZ1153" i="45"/>
  <c r="AV1153" i="45"/>
  <c r="AA1153" i="45"/>
  <c r="R1153" i="45"/>
  <c r="A1153" i="45"/>
  <c r="CE1154" i="45"/>
  <c r="AZ1154" i="45"/>
  <c r="AV1154" i="45"/>
  <c r="AA1154" i="45"/>
  <c r="R1154" i="45"/>
  <c r="A1154" i="45"/>
  <c r="CE1155" i="45"/>
  <c r="AZ1155" i="45"/>
  <c r="AV1155" i="45"/>
  <c r="AA1155" i="45"/>
  <c r="R1155" i="45"/>
  <c r="A1155" i="45"/>
  <c r="CE1156" i="45"/>
  <c r="AZ1156" i="45"/>
  <c r="AV1156" i="45"/>
  <c r="AA1156" i="45"/>
  <c r="R1156" i="45"/>
  <c r="A1156" i="45"/>
  <c r="CE1157" i="45"/>
  <c r="AZ1157" i="45"/>
  <c r="AV1157" i="45"/>
  <c r="AA1157" i="45"/>
  <c r="R1157" i="45"/>
  <c r="A1157" i="45"/>
  <c r="CE1158" i="45"/>
  <c r="AZ1158" i="45"/>
  <c r="AV1158" i="45"/>
  <c r="AA1158" i="45"/>
  <c r="R1158" i="45"/>
  <c r="A1158" i="45"/>
  <c r="CE1159" i="45"/>
  <c r="AZ1159" i="45"/>
  <c r="AV1159" i="45"/>
  <c r="AA1159" i="45"/>
  <c r="R1159" i="45"/>
  <c r="A1159" i="45"/>
  <c r="CE1160" i="45"/>
  <c r="AZ1160" i="45"/>
  <c r="A1160" i="45" s="1"/>
  <c r="AV1160" i="45"/>
  <c r="AA1160" i="45"/>
  <c r="R1160" i="45"/>
  <c r="CE1161" i="45"/>
  <c r="AZ1161" i="45"/>
  <c r="A1161" i="45" s="1"/>
  <c r="AV1161" i="45"/>
  <c r="AA1161" i="45"/>
  <c r="R1161" i="45"/>
  <c r="CE1162" i="45"/>
  <c r="AZ1162" i="45"/>
  <c r="A1162" i="45" s="1"/>
  <c r="AV1162" i="45"/>
  <c r="AA1162" i="45"/>
  <c r="R1162" i="45"/>
  <c r="CE1163" i="45"/>
  <c r="AZ1163" i="45"/>
  <c r="A1163" i="45" s="1"/>
  <c r="AV1163" i="45"/>
  <c r="AA1163" i="45"/>
  <c r="R1163" i="45"/>
  <c r="CE1164" i="45"/>
  <c r="AZ1164" i="45"/>
  <c r="A1164" i="45" s="1"/>
  <c r="AV1164" i="45"/>
  <c r="AA1164" i="45"/>
  <c r="R1164" i="45"/>
  <c r="CE1165" i="45"/>
  <c r="AZ1165" i="45"/>
  <c r="A1165" i="45" s="1"/>
  <c r="AV1165" i="45"/>
  <c r="AA1165" i="45"/>
  <c r="R1165" i="45"/>
  <c r="CE1166" i="45"/>
  <c r="AZ1166" i="45"/>
  <c r="A1166" i="45" s="1"/>
  <c r="AV1166" i="45"/>
  <c r="AA1166" i="45"/>
  <c r="R1166" i="45"/>
  <c r="CE1167" i="45"/>
  <c r="AZ1167" i="45"/>
  <c r="A1167" i="45" s="1"/>
  <c r="AV1167" i="45"/>
  <c r="AA1167" i="45"/>
  <c r="R1167" i="45"/>
  <c r="CE1168" i="45"/>
  <c r="AZ1168" i="45"/>
  <c r="A1168" i="45" s="1"/>
  <c r="AV1168" i="45"/>
  <c r="AA1168" i="45"/>
  <c r="R1168" i="45"/>
  <c r="CE1169" i="45"/>
  <c r="AZ1169" i="45"/>
  <c r="A1169" i="45" s="1"/>
  <c r="AV1169" i="45"/>
  <c r="AA1169" i="45"/>
  <c r="R1169" i="45"/>
  <c r="CE1170" i="45"/>
  <c r="AZ1170" i="45"/>
  <c r="A1170" i="45" s="1"/>
  <c r="AV1170" i="45"/>
  <c r="AA1170" i="45"/>
  <c r="R1170" i="45"/>
  <c r="CE1171" i="45"/>
  <c r="AZ1171" i="45"/>
  <c r="A1171" i="45" s="1"/>
  <c r="AV1171" i="45"/>
  <c r="AA1171" i="45"/>
  <c r="R1171" i="45"/>
  <c r="CE1172" i="45"/>
  <c r="AZ1172" i="45"/>
  <c r="A1172" i="45" s="1"/>
  <c r="AV1172" i="45"/>
  <c r="AA1172" i="45"/>
  <c r="R1172" i="45"/>
  <c r="CE1173" i="45"/>
  <c r="AZ1173" i="45"/>
  <c r="A1173" i="45" s="1"/>
  <c r="AV1173" i="45"/>
  <c r="AA1173" i="45"/>
  <c r="R1173" i="45"/>
  <c r="CE1174" i="45"/>
  <c r="AZ1174" i="45"/>
  <c r="A1174" i="45" s="1"/>
  <c r="AV1174" i="45"/>
  <c r="AA1174" i="45"/>
  <c r="R1174" i="45"/>
  <c r="CE1175" i="45"/>
  <c r="AZ1175" i="45"/>
  <c r="AV1175" i="45"/>
  <c r="AA1175" i="45"/>
  <c r="R1175" i="45"/>
  <c r="A1175" i="45"/>
  <c r="CE1176" i="45"/>
  <c r="AZ1176" i="45"/>
  <c r="A1176" i="45" s="1"/>
  <c r="AV1176" i="45"/>
  <c r="AA1176" i="45"/>
  <c r="R1176" i="45"/>
  <c r="CE1177" i="45"/>
  <c r="AZ1177" i="45"/>
  <c r="A1177" i="45" s="1"/>
  <c r="AV1177" i="45"/>
  <c r="AA1177" i="45"/>
  <c r="R1177" i="45"/>
  <c r="CE1178" i="45"/>
  <c r="AZ1178" i="45"/>
  <c r="A1178" i="45" s="1"/>
  <c r="AV1178" i="45"/>
  <c r="AA1178" i="45"/>
  <c r="R1178" i="45"/>
  <c r="CE1179" i="45"/>
  <c r="AZ1179" i="45"/>
  <c r="A1179" i="45" s="1"/>
  <c r="AV1179" i="45"/>
  <c r="AA1179" i="45"/>
  <c r="R1179" i="45"/>
  <c r="CE1180" i="45"/>
  <c r="AZ1180" i="45"/>
  <c r="A1180" i="45" s="1"/>
  <c r="AV1180" i="45"/>
  <c r="AA1180" i="45"/>
  <c r="R1180" i="45"/>
  <c r="CE1181" i="45"/>
  <c r="AZ1181" i="45"/>
  <c r="A1181" i="45" s="1"/>
  <c r="AV1181" i="45"/>
  <c r="AA1181" i="45"/>
  <c r="R1181" i="45"/>
  <c r="CE1182" i="45"/>
  <c r="AZ1182" i="45"/>
  <c r="AA1182" i="45"/>
  <c r="R1182" i="45"/>
  <c r="CE1183" i="45"/>
  <c r="AZ1183" i="45"/>
  <c r="AA1183" i="45"/>
  <c r="R1183" i="45"/>
  <c r="CE1184" i="45"/>
  <c r="AZ1184" i="45"/>
  <c r="A1184" i="45" s="1"/>
  <c r="AV1184" i="45"/>
  <c r="AA1184" i="45"/>
  <c r="R1184" i="45"/>
  <c r="CE1185" i="45"/>
  <c r="AZ1185" i="45"/>
  <c r="AA1185" i="45"/>
  <c r="R1185" i="45"/>
  <c r="CE1186" i="45"/>
  <c r="AZ1186" i="45"/>
  <c r="A1186" i="45" s="1"/>
  <c r="AV1186" i="45"/>
  <c r="AA1186" i="45"/>
  <c r="R1186" i="45"/>
  <c r="CE1187" i="45"/>
  <c r="AZ1187" i="45"/>
  <c r="A1187" i="45" s="1"/>
  <c r="AV1187" i="45"/>
  <c r="AA1187" i="45"/>
  <c r="R1187" i="45"/>
  <c r="CE1188" i="45"/>
  <c r="AZ1188" i="45"/>
  <c r="A1188" i="45" s="1"/>
  <c r="AV1188" i="45"/>
  <c r="AA1188" i="45"/>
  <c r="R1188" i="45"/>
  <c r="CE1189" i="45"/>
  <c r="AZ1189" i="45"/>
  <c r="A1189" i="45" s="1"/>
  <c r="AV1189" i="45"/>
  <c r="AA1189" i="45"/>
  <c r="R1189" i="45"/>
  <c r="CE1190" i="45"/>
  <c r="AZ1190" i="45"/>
  <c r="A1190" i="45" s="1"/>
  <c r="AV1190" i="45"/>
  <c r="AA1190" i="45"/>
  <c r="R1190" i="45"/>
  <c r="CE1191" i="45"/>
  <c r="AZ1191" i="45"/>
  <c r="A1191" i="45" s="1"/>
  <c r="AV1191" i="45"/>
  <c r="AA1191" i="45"/>
  <c r="R1191" i="45"/>
  <c r="CE1192" i="45"/>
  <c r="AZ1192" i="45"/>
  <c r="AV1192" i="45"/>
  <c r="AA1192" i="45"/>
  <c r="R1192" i="45"/>
  <c r="A1192" i="45"/>
  <c r="CE1193" i="45"/>
  <c r="AZ1193" i="45"/>
  <c r="A1193" i="45" s="1"/>
  <c r="AV1193" i="45"/>
  <c r="AA1193" i="45"/>
  <c r="R1193" i="45"/>
  <c r="CE1194" i="45"/>
  <c r="AZ1194" i="45"/>
  <c r="A1194" i="45" s="1"/>
  <c r="AV1194" i="45"/>
  <c r="AA1194" i="45"/>
  <c r="R1194" i="45"/>
  <c r="CE1195" i="45"/>
  <c r="AZ1195" i="45"/>
  <c r="A1195" i="45" s="1"/>
  <c r="AV1195" i="45"/>
  <c r="AA1195" i="45"/>
  <c r="R1195" i="45"/>
  <c r="CE1196" i="45"/>
  <c r="AZ1196" i="45"/>
  <c r="A1196" i="45" s="1"/>
  <c r="AV1196" i="45"/>
  <c r="AA1196" i="45"/>
  <c r="R1196" i="45"/>
  <c r="CE1197" i="45"/>
  <c r="AZ1197" i="45"/>
  <c r="A1197" i="45" s="1"/>
  <c r="AV1197" i="45"/>
  <c r="AA1197" i="45"/>
  <c r="R1197" i="45"/>
  <c r="CE1198" i="45"/>
  <c r="AZ1198" i="45"/>
  <c r="A1198" i="45" s="1"/>
  <c r="AV1198" i="45"/>
  <c r="AA1198" i="45"/>
  <c r="R1198" i="45"/>
  <c r="CE1199" i="45"/>
  <c r="AV1199" i="45"/>
  <c r="AA1199" i="45"/>
  <c r="R1199" i="45"/>
  <c r="A1199" i="45"/>
  <c r="CE1200" i="45"/>
  <c r="AZ1200" i="45"/>
  <c r="A1200" i="45" s="1"/>
  <c r="AV1200" i="45"/>
  <c r="AA1200" i="45"/>
  <c r="R1200" i="45"/>
  <c r="CE1201" i="45"/>
  <c r="AV1201" i="45"/>
  <c r="AA1201" i="45"/>
  <c r="R1201" i="45"/>
  <c r="A1201" i="45"/>
  <c r="CE1202" i="45"/>
  <c r="AZ1202" i="45"/>
  <c r="AV1202" i="45"/>
  <c r="AA1202" i="45"/>
  <c r="R1202" i="45"/>
  <c r="A1202" i="45"/>
  <c r="CE1203" i="45"/>
  <c r="AZ1203" i="45"/>
  <c r="A1203" i="45" s="1"/>
  <c r="AV1203" i="45"/>
  <c r="AA1203" i="45"/>
  <c r="R1203" i="45"/>
  <c r="CE1204" i="45"/>
  <c r="AZ1204" i="45"/>
  <c r="AA1204" i="45"/>
  <c r="R1204" i="45"/>
  <c r="CE1205" i="45"/>
  <c r="AZ1205" i="45"/>
  <c r="AV1205" i="45"/>
  <c r="AA1205" i="45"/>
  <c r="R1205" i="45"/>
  <c r="A1205" i="45"/>
  <c r="CE1206" i="45"/>
  <c r="AZ1206" i="45"/>
  <c r="AV1206" i="45"/>
  <c r="AA1206" i="45"/>
  <c r="R1206" i="45"/>
  <c r="A1206" i="45"/>
  <c r="CE1207" i="45"/>
  <c r="AZ1207" i="45"/>
  <c r="AV1207" i="45"/>
  <c r="AA1207" i="45"/>
  <c r="R1207" i="45"/>
  <c r="A1207" i="45"/>
  <c r="CE1208" i="45"/>
  <c r="AZ1208" i="45"/>
  <c r="AV1208" i="45"/>
  <c r="AA1208" i="45"/>
  <c r="R1208" i="45"/>
  <c r="A1208" i="45"/>
  <c r="CE1209" i="45"/>
  <c r="AZ1209" i="45"/>
  <c r="A1209" i="45" s="1"/>
  <c r="AV1209" i="45"/>
  <c r="AA1209" i="45"/>
  <c r="R1209" i="45"/>
  <c r="CE1210" i="45"/>
  <c r="AZ1210" i="45"/>
  <c r="AV1210" i="45"/>
  <c r="AA1210" i="45"/>
  <c r="R1210" i="45"/>
  <c r="A1210" i="45"/>
  <c r="CE1211" i="45"/>
  <c r="AZ1211" i="45"/>
  <c r="AV1211" i="45"/>
  <c r="AA1211" i="45"/>
  <c r="R1211" i="45"/>
  <c r="A1211" i="45"/>
  <c r="CE1212" i="45"/>
  <c r="AZ1212" i="45"/>
  <c r="A1212" i="45" s="1"/>
  <c r="AV1212" i="45"/>
  <c r="AA1212" i="45"/>
  <c r="R1212" i="45"/>
  <c r="CE1213" i="45"/>
  <c r="AZ1213" i="45"/>
  <c r="AV1213" i="45"/>
  <c r="AA1213" i="45"/>
  <c r="R1213" i="45"/>
  <c r="A1213" i="45"/>
  <c r="CE1214" i="45"/>
  <c r="AZ1214" i="45"/>
  <c r="AV1214" i="45"/>
  <c r="AA1214" i="45"/>
  <c r="R1214" i="45"/>
  <c r="A1214" i="45"/>
  <c r="CE1215" i="45"/>
  <c r="AZ1215" i="45"/>
  <c r="AV1215" i="45"/>
  <c r="AA1215" i="45"/>
  <c r="R1215" i="45"/>
  <c r="A1215" i="45"/>
  <c r="CE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CE1223" i="45"/>
  <c r="AZ1223" i="45"/>
  <c r="AV1223" i="45"/>
  <c r="AA1223" i="45"/>
  <c r="R1223" i="45"/>
  <c r="A1223" i="45"/>
  <c r="CE1224" i="45"/>
  <c r="AZ1224" i="45"/>
  <c r="AV1224" i="45"/>
  <c r="AA1224" i="45"/>
  <c r="R1224" i="45"/>
  <c r="A1224" i="45"/>
  <c r="CE1225" i="45"/>
  <c r="AZ1225" i="45"/>
  <c r="AV1225" i="45"/>
  <c r="AA1225" i="45"/>
  <c r="R1225" i="45"/>
  <c r="A1225" i="45"/>
  <c r="CE1226" i="45"/>
  <c r="AZ1226" i="45"/>
  <c r="AV1226" i="45"/>
  <c r="AA1226" i="45"/>
  <c r="R1226" i="45"/>
  <c r="A1226" i="45"/>
  <c r="R1227" i="45"/>
  <c r="CE1228" i="45"/>
  <c r="AZ1228" i="45"/>
  <c r="A1228" i="45" s="1"/>
  <c r="AV1228" i="45"/>
  <c r="AA1228" i="45"/>
  <c r="R1228" i="45"/>
  <c r="CE1229" i="45"/>
  <c r="AZ1229" i="45"/>
  <c r="A1229" i="45" s="1"/>
  <c r="AV1229" i="45"/>
  <c r="AA1229" i="45"/>
  <c r="R1229" i="45"/>
  <c r="CE1230" i="45"/>
  <c r="AZ1230" i="45"/>
  <c r="A1230" i="45" s="1"/>
  <c r="AV1230" i="45"/>
  <c r="R1230" i="45"/>
  <c r="M1230" i="45"/>
  <c r="K1230" i="45" s="1"/>
  <c r="CE1231" i="45"/>
  <c r="AZ1231" i="45"/>
  <c r="A1231" i="45" s="1"/>
  <c r="AV1231" i="45"/>
  <c r="R1231" i="45"/>
  <c r="CE1232" i="45"/>
  <c r="AZ1232" i="45"/>
  <c r="A1232" i="45" s="1"/>
  <c r="AV1232" i="45"/>
  <c r="R1232" i="45"/>
  <c r="CE1233" i="45"/>
  <c r="AZ1233" i="45"/>
  <c r="A1233" i="45" s="1"/>
  <c r="AV1233" i="45"/>
  <c r="R1233" i="45"/>
  <c r="CE1234" i="45"/>
  <c r="AZ1234" i="45"/>
  <c r="AV1234" i="45"/>
  <c r="R1234" i="45"/>
  <c r="M1234" i="45"/>
  <c r="K1234" i="45" s="1"/>
  <c r="CE1235" i="45"/>
  <c r="AZ1235" i="45"/>
  <c r="R1235" i="45"/>
  <c r="H1235" i="45"/>
  <c r="K1235" i="45" s="1"/>
  <c r="CE1236" i="45"/>
  <c r="AZ1236" i="45"/>
  <c r="R1236" i="45"/>
  <c r="H1236" i="45"/>
  <c r="CE1237" i="45"/>
  <c r="AZ1237" i="45"/>
  <c r="R1237" i="45"/>
  <c r="H1237" i="45"/>
  <c r="K1237" i="45" s="1"/>
  <c r="CE1238" i="45"/>
  <c r="AZ1238" i="45"/>
  <c r="AA1238" i="45"/>
  <c r="R1238" i="45"/>
  <c r="H1238" i="45"/>
  <c r="K1238" i="45" s="1"/>
  <c r="CE1239" i="45"/>
  <c r="AZ1239" i="45"/>
  <c r="AV1239" i="45"/>
  <c r="AA1239" i="45"/>
  <c r="R1239" i="45"/>
  <c r="H1239" i="45"/>
  <c r="K1239" i="45" s="1"/>
  <c r="CE1240" i="45"/>
  <c r="AZ1240" i="45"/>
  <c r="AA1240" i="45"/>
  <c r="R1240" i="45"/>
  <c r="H1240" i="45"/>
  <c r="K1240" i="45" s="1"/>
  <c r="CE1241" i="45"/>
  <c r="AZ1241" i="45"/>
  <c r="AA1241" i="45"/>
  <c r="R1241" i="45"/>
  <c r="H1241" i="45"/>
  <c r="K1241" i="45" s="1"/>
  <c r="CE1242" i="45"/>
  <c r="AZ1242" i="45"/>
  <c r="AA1242" i="45"/>
  <c r="R1242" i="45"/>
  <c r="H1242" i="45"/>
  <c r="K1242" i="45" s="1"/>
  <c r="CE1243" i="45"/>
  <c r="AZ1243" i="45"/>
  <c r="AA1243" i="45"/>
  <c r="R1243" i="45"/>
  <c r="H1243" i="45"/>
  <c r="K1243" i="45" s="1"/>
  <c r="CE1244" i="45"/>
  <c r="AZ1244" i="45"/>
  <c r="AA1244" i="45"/>
  <c r="R1244" i="45"/>
  <c r="H1244" i="45"/>
  <c r="K1244" i="45" s="1"/>
  <c r="CE1245" i="45"/>
  <c r="AZ1245" i="45"/>
  <c r="AA1245" i="45"/>
  <c r="R1245" i="45"/>
  <c r="H1245" i="45"/>
  <c r="K1245" i="45" s="1"/>
  <c r="CE1246" i="45"/>
  <c r="AZ1246" i="45"/>
  <c r="AA1246" i="45"/>
  <c r="R1246" i="45"/>
  <c r="H1246" i="45"/>
  <c r="K1246" i="45" s="1"/>
  <c r="CE1247" i="45"/>
  <c r="AZ1247" i="45"/>
  <c r="AA1247" i="45"/>
  <c r="R1247" i="45"/>
  <c r="H1247" i="45"/>
  <c r="K1247" i="45" s="1"/>
  <c r="CE1248" i="45"/>
  <c r="AZ1248" i="45"/>
  <c r="AA1248" i="45"/>
  <c r="R1248" i="45"/>
  <c r="H1248" i="45"/>
  <c r="K1248" i="45" s="1"/>
  <c r="CE1249" i="45"/>
  <c r="AZ1249" i="45"/>
  <c r="AA1249" i="45"/>
  <c r="R1249" i="45"/>
  <c r="H1249" i="45"/>
  <c r="K1249" i="45" s="1"/>
  <c r="CE1250" i="45"/>
  <c r="AZ1250" i="45"/>
  <c r="AA1250" i="45"/>
  <c r="R1250" i="45"/>
  <c r="H1250" i="45"/>
  <c r="K1250" i="45" s="1"/>
  <c r="CE1251" i="45"/>
  <c r="AZ1251" i="45"/>
  <c r="AA1251" i="45"/>
  <c r="R1251" i="45"/>
  <c r="H1251" i="45"/>
  <c r="K1251" i="45" s="1"/>
  <c r="CE1252" i="45"/>
  <c r="AZ1252" i="45"/>
  <c r="AA1252" i="45"/>
  <c r="R1252" i="45"/>
  <c r="H1252" i="45"/>
  <c r="K1252" i="45" s="1"/>
  <c r="CE1253" i="45"/>
  <c r="AZ1253" i="45"/>
  <c r="AA1253" i="45"/>
  <c r="R1253" i="45"/>
  <c r="H1253" i="45"/>
  <c r="K1253" i="45" s="1"/>
  <c r="CE1254" i="45"/>
  <c r="AZ1254" i="45"/>
  <c r="AA1254" i="45"/>
  <c r="R1254" i="45"/>
  <c r="H1254" i="45"/>
  <c r="K1254" i="45" s="1"/>
  <c r="CE1255" i="45"/>
  <c r="AZ1255" i="45"/>
  <c r="AA1255" i="45"/>
  <c r="R1255" i="45"/>
  <c r="H1255" i="45"/>
  <c r="K1255" i="45" s="1"/>
  <c r="CE1256" i="45"/>
  <c r="AZ1256" i="45"/>
  <c r="AA1256" i="45"/>
  <c r="R1256" i="45"/>
  <c r="H1256" i="45"/>
  <c r="K1256" i="45" s="1"/>
  <c r="CE1257" i="45"/>
  <c r="AZ1257" i="45"/>
  <c r="AA1257" i="45"/>
  <c r="R1257" i="45"/>
  <c r="H1257" i="45"/>
  <c r="K1257" i="45" s="1"/>
  <c r="CE1258" i="45"/>
  <c r="AZ1258" i="45"/>
  <c r="AA1258" i="45"/>
  <c r="R1258" i="45"/>
  <c r="H1258" i="45"/>
  <c r="K1258" i="45" s="1"/>
  <c r="CE1259" i="45"/>
  <c r="AZ1259" i="45"/>
  <c r="AA1259" i="45"/>
  <c r="R1259" i="45"/>
  <c r="H1259" i="45"/>
  <c r="K1259" i="45" s="1"/>
  <c r="CE1260" i="45"/>
  <c r="AZ1260" i="45"/>
  <c r="AA1260" i="45"/>
  <c r="R1260" i="45"/>
  <c r="H1260" i="45"/>
  <c r="K1260" i="45" s="1"/>
  <c r="CE1261" i="45"/>
  <c r="AZ1261" i="45"/>
  <c r="AA1261" i="45"/>
  <c r="R1261" i="45"/>
  <c r="H1261" i="45"/>
  <c r="K1261" i="45" s="1"/>
  <c r="CE1262" i="45"/>
  <c r="AZ1262" i="45"/>
  <c r="AA1262" i="45"/>
  <c r="R1262" i="45"/>
  <c r="H1262" i="45"/>
  <c r="K1262" i="45" s="1"/>
  <c r="CE1263" i="45"/>
  <c r="AZ1263" i="45"/>
  <c r="AA1263" i="45"/>
  <c r="R1263" i="45"/>
  <c r="H1263" i="45"/>
  <c r="K1263" i="45" s="1"/>
  <c r="CE1264" i="45"/>
  <c r="AZ1264" i="45"/>
  <c r="AA1264" i="45"/>
  <c r="R1264" i="45"/>
  <c r="H1264" i="45"/>
  <c r="K1264" i="45" s="1"/>
  <c r="CE1265" i="45"/>
  <c r="AZ1265" i="45"/>
  <c r="AA1265" i="45"/>
  <c r="R1265" i="45"/>
  <c r="H1265" i="45"/>
  <c r="K1265" i="45" s="1"/>
  <c r="CE1266" i="45"/>
  <c r="AZ1266" i="45"/>
  <c r="AA1266" i="45"/>
  <c r="R1266" i="45"/>
  <c r="H1266" i="45"/>
  <c r="K1266" i="45" s="1"/>
  <c r="CE1267" i="45"/>
  <c r="AZ1267" i="45"/>
  <c r="AV1267" i="45"/>
  <c r="AA1267" i="45"/>
  <c r="R1267" i="45"/>
  <c r="CE1268" i="45"/>
  <c r="AZ1268" i="45"/>
  <c r="AV1268" i="45"/>
  <c r="AA1268" i="45"/>
  <c r="R1268" i="45"/>
  <c r="CE1269" i="45"/>
  <c r="AZ1269" i="45"/>
  <c r="A1269" i="45" s="1"/>
  <c r="AV1269" i="45"/>
  <c r="AA1269" i="45"/>
  <c r="R1269" i="45"/>
  <c r="CE1270" i="45"/>
  <c r="AZ1270" i="45"/>
  <c r="A1270" i="45" s="1"/>
  <c r="AV1270" i="45"/>
  <c r="AA1270" i="45"/>
  <c r="R1270" i="45"/>
  <c r="CE1271" i="45"/>
  <c r="AZ1271" i="45"/>
  <c r="AV1271" i="45"/>
  <c r="AA1271" i="45"/>
  <c r="R1271" i="45"/>
  <c r="A1271" i="45"/>
  <c r="CE1272" i="45"/>
  <c r="AZ1272" i="45"/>
  <c r="AV1272" i="45"/>
  <c r="AA1272" i="45"/>
  <c r="R1272" i="45"/>
  <c r="A1272" i="45"/>
  <c r="CE1273" i="45"/>
  <c r="AZ1273" i="45"/>
  <c r="A1273" i="45" s="1"/>
  <c r="AV1273" i="45"/>
  <c r="AA1273" i="45"/>
  <c r="R1273" i="45"/>
  <c r="CE1274" i="45"/>
  <c r="AZ1274" i="45"/>
  <c r="AV1274" i="45"/>
  <c r="AA1274" i="45"/>
  <c r="R1274" i="45"/>
  <c r="A1274" i="45"/>
  <c r="CE1275" i="45"/>
  <c r="AZ1275" i="45"/>
  <c r="AV1275" i="45"/>
  <c r="AA1275" i="45"/>
  <c r="R1275" i="45"/>
  <c r="A1275" i="45"/>
  <c r="CE1276" i="45"/>
  <c r="AZ1276" i="45"/>
  <c r="AV1276" i="45"/>
  <c r="AA1276" i="45"/>
  <c r="R1276" i="45"/>
  <c r="A1276" i="45"/>
  <c r="CE1277" i="45"/>
  <c r="AZ1277" i="45"/>
  <c r="AV1277" i="45"/>
  <c r="AA1277" i="45"/>
  <c r="R1277" i="45"/>
  <c r="A1277" i="45"/>
  <c r="CE1278" i="45"/>
  <c r="AZ1278" i="45"/>
  <c r="AV1278" i="45"/>
  <c r="AA1278" i="45"/>
  <c r="R1278" i="45"/>
  <c r="A1278" i="45"/>
  <c r="CE1279" i="45"/>
  <c r="AZ1279" i="45"/>
  <c r="A1279" i="45" s="1"/>
  <c r="AV1279" i="45"/>
  <c r="AA1279" i="45"/>
  <c r="R1279" i="45"/>
  <c r="CE1280" i="45"/>
  <c r="AZ1280" i="45"/>
  <c r="A1280" i="45" s="1"/>
  <c r="AV1280" i="45"/>
  <c r="AA1280" i="45"/>
  <c r="R1280" i="45"/>
  <c r="CE1281" i="45"/>
  <c r="AZ1281" i="45"/>
  <c r="AV1281" i="45"/>
  <c r="AA1281" i="45"/>
  <c r="R1281" i="45"/>
  <c r="CE1282" i="45"/>
  <c r="AZ1282" i="45"/>
  <c r="A1282" i="45" s="1"/>
  <c r="AV1282" i="45"/>
  <c r="AA1282" i="45"/>
  <c r="R1282" i="45"/>
  <c r="CE1283" i="45"/>
  <c r="AZ1283" i="45"/>
  <c r="A1283" i="45" s="1"/>
  <c r="AV1283" i="45"/>
  <c r="AA1283" i="45"/>
  <c r="R1283" i="45"/>
  <c r="CE1284" i="45"/>
  <c r="AZ1284" i="45"/>
  <c r="AV1284" i="45"/>
  <c r="AA1284" i="45"/>
  <c r="R1284" i="45"/>
  <c r="A1284" i="45"/>
  <c r="CE1285" i="45"/>
  <c r="AZ1285" i="45"/>
  <c r="AV1285" i="45"/>
  <c r="AA1285" i="45"/>
  <c r="R1285" i="45"/>
  <c r="A1285" i="45"/>
  <c r="CE1286" i="45"/>
  <c r="AZ1286" i="45"/>
  <c r="AV1286" i="45"/>
  <c r="AA1286" i="45"/>
  <c r="R1286" i="45"/>
  <c r="A1286" i="45"/>
  <c r="CE1287" i="45"/>
  <c r="AZ1287" i="45"/>
  <c r="AV1287" i="45"/>
  <c r="AA1287" i="45"/>
  <c r="R1287" i="45"/>
  <c r="A1287" i="45"/>
  <c r="CE1288" i="45"/>
  <c r="AZ1288" i="45"/>
  <c r="AV1288" i="45"/>
  <c r="AA1288" i="45"/>
  <c r="R1288" i="45"/>
  <c r="A1288" i="45"/>
  <c r="CE1289" i="45"/>
  <c r="AZ1289" i="45"/>
  <c r="AV1289" i="45"/>
  <c r="CE1290" i="45"/>
  <c r="AZ1290" i="45"/>
  <c r="AV1290" i="45"/>
  <c r="AA1290" i="45"/>
  <c r="R1290" i="45"/>
  <c r="A1290" i="45"/>
  <c r="CE1291" i="45"/>
  <c r="AZ1291" i="45"/>
  <c r="AV1291" i="45"/>
  <c r="AA1291" i="45"/>
  <c r="R1291" i="45"/>
  <c r="A1291" i="45"/>
  <c r="CE1292" i="45"/>
  <c r="AZ1292" i="45"/>
  <c r="AV1292" i="45"/>
  <c r="AA1292" i="45"/>
  <c r="R1292" i="45"/>
  <c r="A1292" i="45"/>
  <c r="CE1293" i="45"/>
  <c r="AZ1293" i="45"/>
  <c r="A1293" i="45" s="1"/>
  <c r="AV1293" i="45"/>
  <c r="AA1293" i="45"/>
  <c r="R1293" i="45"/>
  <c r="CE1294" i="45"/>
  <c r="AZ1294" i="45"/>
  <c r="AV1294" i="45"/>
  <c r="R1294" i="45"/>
  <c r="CE1295" i="45"/>
  <c r="AZ1295" i="45"/>
  <c r="AV1295" i="45"/>
  <c r="AA1295" i="45"/>
  <c r="R1295" i="45"/>
  <c r="A1295" i="45"/>
  <c r="CE1296" i="45"/>
  <c r="AZ1296" i="45"/>
  <c r="AV1296" i="45"/>
  <c r="AA1296" i="45"/>
  <c r="R1296" i="45"/>
  <c r="A1296" i="45"/>
  <c r="CE1297" i="45"/>
  <c r="AZ1297" i="45"/>
  <c r="AV1297" i="45"/>
  <c r="AA1297" i="45"/>
  <c r="R1297" i="45"/>
  <c r="A1297" i="45"/>
  <c r="CE1298" i="45"/>
  <c r="AZ1298" i="45"/>
  <c r="AV1298" i="45"/>
  <c r="AA1298" i="45"/>
  <c r="R1298" i="45"/>
  <c r="A1298" i="45"/>
  <c r="CE1299" i="45"/>
  <c r="AZ1299" i="45"/>
  <c r="AV1299" i="45"/>
  <c r="AA1299" i="45"/>
  <c r="R1299" i="45"/>
  <c r="A1299" i="45"/>
  <c r="CE1300" i="45"/>
  <c r="AZ1300" i="45"/>
  <c r="AV1300" i="45"/>
  <c r="AA1300" i="45"/>
  <c r="R1300" i="45"/>
  <c r="A1300" i="45"/>
  <c r="CE1301" i="45"/>
  <c r="AZ1301" i="45"/>
  <c r="AV1301" i="45"/>
  <c r="AA1301" i="45"/>
  <c r="R1301" i="45"/>
  <c r="A1301" i="45"/>
  <c r="CE1302" i="45"/>
  <c r="AZ1302" i="45"/>
  <c r="AV1302" i="45"/>
  <c r="AA1302" i="45"/>
  <c r="R1302" i="45"/>
  <c r="A1302" i="45"/>
  <c r="CE1303" i="45"/>
  <c r="AZ1303" i="45"/>
  <c r="AV1303" i="45"/>
  <c r="AA1303" i="45"/>
  <c r="R1303" i="45"/>
  <c r="CE1304" i="45"/>
  <c r="AZ1304" i="45"/>
  <c r="AV1304" i="45"/>
  <c r="AA1304" i="45"/>
  <c r="R1304" i="45"/>
  <c r="A1304" i="45"/>
  <c r="CE1305" i="45"/>
  <c r="AZ1305" i="45"/>
  <c r="AV1305" i="45"/>
  <c r="AA1305" i="45"/>
  <c r="R1305" i="45"/>
  <c r="A1305" i="45"/>
  <c r="CE1306" i="45"/>
  <c r="AZ1306" i="45"/>
  <c r="AV1306" i="45"/>
  <c r="AA1306" i="45"/>
  <c r="R1306" i="45"/>
  <c r="A1306" i="45"/>
  <c r="CE1307" i="45"/>
  <c r="AZ1307" i="45"/>
  <c r="AV1307" i="45"/>
  <c r="AA1307" i="45"/>
  <c r="R1307" i="45"/>
  <c r="A1307" i="45"/>
  <c r="CE1308" i="45"/>
  <c r="AZ1308" i="45"/>
  <c r="AV1308" i="45"/>
  <c r="AA1308" i="45"/>
  <c r="R1308" i="45"/>
  <c r="A1308" i="45"/>
  <c r="CE1309" i="45"/>
  <c r="AZ1309" i="45"/>
  <c r="A1309" i="45" s="1"/>
  <c r="AV1309" i="45"/>
  <c r="AA1309" i="45"/>
  <c r="R1309" i="45"/>
  <c r="CE1310" i="45"/>
  <c r="AV1310" i="45"/>
  <c r="AA1310" i="45"/>
  <c r="A1310" i="45"/>
  <c r="CE1311" i="45"/>
  <c r="AZ1311" i="45"/>
  <c r="R1311" i="45"/>
  <c r="M1311" i="45"/>
  <c r="CE1312" i="45"/>
  <c r="AZ1312" i="45"/>
  <c r="A1312" i="45" s="1"/>
  <c r="AV1312" i="45"/>
  <c r="AA1312" i="45"/>
  <c r="CE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CE1316" i="45"/>
  <c r="AZ1316" i="45"/>
  <c r="A1316" i="45" s="1"/>
  <c r="AV1316" i="45"/>
  <c r="AA1316" i="45"/>
  <c r="R1316" i="45"/>
  <c r="AZ1317" i="45"/>
  <c r="A1317" i="45" s="1"/>
  <c r="AV1317" i="45"/>
  <c r="CE1318" i="45"/>
  <c r="AV1318" i="45"/>
  <c r="AA1318" i="45"/>
  <c r="R1318" i="45"/>
  <c r="CE1319" i="45"/>
  <c r="AA1319" i="45"/>
  <c r="R1319" i="45"/>
  <c r="V1320" i="45"/>
  <c r="CE1320" i="45" s="1"/>
  <c r="N1320" i="45"/>
  <c r="R1320" i="45" s="1"/>
  <c r="M1320" i="45"/>
  <c r="K1320" i="45" s="1"/>
  <c r="CE1321" i="45"/>
  <c r="AA1321" i="45"/>
  <c r="R1321" i="45"/>
  <c r="M1321" i="45"/>
  <c r="K1321" i="45" s="1"/>
  <c r="V1322" i="45"/>
  <c r="CE1322" i="45" s="1"/>
  <c r="N1322" i="45"/>
  <c r="R1322" i="45" s="1"/>
  <c r="M1322" i="45"/>
  <c r="K1322" i="45" s="1"/>
  <c r="V1323" i="45"/>
  <c r="CE1323" i="45" s="1"/>
  <c r="R1323" i="45"/>
  <c r="M1323" i="45"/>
  <c r="V1324" i="45"/>
  <c r="CE1324" i="45" s="1"/>
  <c r="R1324" i="45"/>
  <c r="M1324" i="45"/>
  <c r="K1324" i="45" s="1"/>
  <c r="AA1311" i="45" l="1"/>
  <c r="K1311" i="45"/>
  <c r="AA1323" i="45"/>
  <c r="K1323" i="45"/>
  <c r="CC1236" i="45"/>
  <c r="K1236" i="45"/>
  <c r="CC1253" i="45"/>
  <c r="AV1248" i="45"/>
  <c r="CC1248" i="45"/>
  <c r="AV1254" i="45"/>
  <c r="CC1254" i="45"/>
  <c r="CC1244" i="45"/>
  <c r="CC1239" i="45"/>
  <c r="AV1258" i="45"/>
  <c r="CC1258" i="45"/>
  <c r="CC1261" i="45"/>
  <c r="AV1256" i="45"/>
  <c r="CC1256" i="45"/>
  <c r="CC1237" i="45"/>
  <c r="AV1263" i="45"/>
  <c r="CC1263" i="45"/>
  <c r="AV1246" i="45"/>
  <c r="CC1246" i="45"/>
  <c r="AV1247" i="45"/>
  <c r="CC1247" i="45"/>
  <c r="CC1265" i="45"/>
  <c r="AV1241" i="45"/>
  <c r="CC1241" i="45"/>
  <c r="AV1242" i="45"/>
  <c r="CC1242" i="45"/>
  <c r="AV1251" i="45"/>
  <c r="CC1251" i="45"/>
  <c r="AV1260" i="45"/>
  <c r="CC1260" i="45"/>
  <c r="CC1249" i="45"/>
  <c r="AV1257" i="45"/>
  <c r="CC1257" i="45"/>
  <c r="AV1238" i="45"/>
  <c r="CC1238" i="45"/>
  <c r="AV1252" i="45"/>
  <c r="CC1252" i="45"/>
  <c r="AV1266" i="45"/>
  <c r="CC1266" i="45"/>
  <c r="AV1250" i="45"/>
  <c r="CC1250" i="45"/>
  <c r="AV1255" i="45"/>
  <c r="CC1255" i="45"/>
  <c r="AV1245" i="45"/>
  <c r="CC1245" i="45"/>
  <c r="CC1243" i="45"/>
  <c r="AV1262" i="45"/>
  <c r="CC1262" i="45"/>
  <c r="AV1264" i="45"/>
  <c r="CC1264" i="45"/>
  <c r="AV1240" i="45"/>
  <c r="CC1240" i="45"/>
  <c r="AV1235" i="45"/>
  <c r="CC1235" i="45"/>
  <c r="CC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<sst xmlns="http://schemas.openxmlformats.org/spreadsheetml/2006/main" count="21965" uniqueCount="4422">
  <si>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</si>
  <si>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</si>
  <si>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</si>
  <si>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</si>
  <si>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</si>
  <si>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</si>
  <si>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</si>
  <si>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</si>
  <si>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</si>
  <si>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</si>
  <si>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</si>
  <si>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</si>
  <si>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</si>
  <si>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</si>
  <si>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</si>
  <si>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</si>
  <si>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</si>
  <si>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</si>
  <si>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</si>
  <si>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</si>
  <si>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</si>
  <si>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</si>
  <si>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</si>
  <si>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</si>
  <si>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</si>
  <si>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</si>
  <si>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</si>
  <si>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</si>
  <si>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</si>
  <si>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</si>
  <si>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</si>
  <si>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</si>
  <si>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</si>
  <si>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</si>
  <si>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</si>
  <si>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</si>
  <si>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</si>
  <si>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</si>
  <si>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</si>
  <si>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</si>
  <si>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</si>
  <si>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</si>
  <si>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</si>
  <si>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</si>
  <si>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</si>
  <si>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</si>
  <si>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</si>
  <si>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</si>
  <si>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</si>
  <si>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</si>
  <si>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</si>
  <si>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</si>
  <si>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</si>
  <si>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</si>
  <si>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</si>
  <si>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</si>
  <si>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</si>
  <si>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</si>
  <si>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</si>
  <si>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</si>
  <si>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</si>
  <si>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</si>
  <si>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</si>
  <si>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</si>
  <si>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</si>
  <si>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</si>
  <si>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</si>
  <si>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</si>
  <si>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</si>
  <si>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</si>
  <si>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</si>
  <si>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</si>
  <si>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</si>
  <si>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</si>
  <si>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</si>
  <si>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</si>
  <si>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</si>
  <si>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</si>
  <si>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</si>
  <si>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</si>
  <si>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</si>
  <si>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</si>
  <si>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</si>
  <si>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</si>
  <si>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</si>
  <si>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</si>
  <si>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</si>
  <si>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</si>
  <si>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</si>
  <si>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</si>
  <si>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</si>
  <si>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</si>
  <si>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</si>
  <si>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</si>
  <si>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</si>
  <si>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</si>
  <si>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</si>
  <si>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</si>
  <si>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</si>
  <si>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</si>
  <si>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</si>
  <si>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</si>
  <si>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</si>
  <si>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</si>
  <si>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</si>
  <si>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</si>
  <si>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</si>
  <si>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</si>
  <si>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</si>
  <si>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</si>
  <si>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</si>
  <si>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</si>
  <si>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</si>
  <si>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</si>
  <si>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</si>
  <si>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</si>
  <si>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</si>
  <si>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</si>
  <si>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</si>
  <si>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</si>
  <si>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</si>
  <si>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</si>
  <si>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</si>
  <si>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</si>
  <si>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</si>
  <si>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</si>
  <si>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</si>
  <si>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</si>
  <si>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</si>
  <si>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</si>
  <si>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</si>
  <si>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</si>
  <si>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</si>
  <si>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</si>
  <si>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</si>
  <si>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</si>
  <si>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</si>
  <si>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</si>
  <si>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</si>
  <si>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</si>
  <si>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</si>
  <si>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</si>
  <si>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</si>
  <si>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</si>
  <si>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</si>
  <si>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</si>
  <si>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</si>
  <si>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</si>
  <si>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</si>
  <si>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</si>
  <si>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</si>
  <si>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</si>
  <si>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</si>
  <si>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</si>
  <si>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</si>
  <si>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</si>
  <si>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</si>
  <si>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</si>
  <si>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</si>
  <si>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</si>
  <si>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</si>
  <si>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</si>
  <si>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</si>
  <si>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</si>
  <si>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</si>
  <si>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</si>
  <si>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</si>
  <si>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</si>
  <si>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</si>
  <si>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</si>
  <si>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</si>
  <si>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</si>
  <si>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</si>
  <si>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</si>
  <si>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</si>
  <si>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</si>
  <si>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</si>
  <si>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</si>
  <si>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</si>
  <si>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</si>
  <si>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</si>
  <si>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</si>
  <si>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</si>
  <si>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</si>
  <si>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</si>
  <si>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</si>
  <si>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</si>
  <si>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</si>
  <si>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</si>
  <si>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</si>
  <si>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</si>
  <si>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</si>
  <si>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</si>
  <si>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</si>
  <si>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</si>
  <si>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</si>
  <si>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</si>
  <si>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</si>
  <si>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</si>
  <si>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</si>
  <si>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</si>
  <si>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</si>
  <si>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</si>
  <si>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</si>
  <si>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</si>
  <si>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</si>
  <si>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</si>
  <si>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</si>
  <si>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</si>
  <si>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</si>
  <si>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</si>
  <si>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</si>
  <si>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</si>
  <si>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</si>
  <si>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</si>
  <si>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</si>
  <si>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</si>
  <si>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</si>
  <si>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</si>
  <si>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</si>
  <si>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</si>
  <si>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</si>
  <si>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</si>
  <si>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</si>
  <si>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</si>
  <si>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</si>
  <si>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</si>
  <si>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</si>
  <si>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</si>
  <si>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</si>
  <si>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</si>
  <si>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</si>
  <si>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</si>
  <si>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</si>
  <si>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</si>
  <si>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</si>
  <si>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</si>
  <si>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</si>
  <si>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</si>
  <si>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</si>
  <si>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</si>
  <si>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</si>
  <si>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</si>
  <si>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</si>
  <si>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</si>
  <si>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</si>
  <si>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</si>
  <si>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</si>
  <si>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</si>
  <si>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</si>
  <si>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</si>
  <si>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</si>
  <si>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</si>
  <si>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</si>
  <si>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</si>
  <si>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</si>
  <si>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</si>
  <si>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</si>
  <si>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</si>
  <si>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</si>
  <si>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</si>
  <si>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</si>
  <si>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</si>
  <si>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</si>
  <si>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</si>
  <si>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</si>
  <si>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</si>
  <si>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</si>
  <si>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</si>
  <si>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</si>
  <si>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</si>
  <si>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</si>
  <si>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</si>
  <si>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</si>
  <si>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</si>
  <si>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</si>
  <si>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</si>
  <si>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</si>
  <si>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</si>
  <si>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</si>
  <si>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</si>
  <si>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</si>
  <si>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</si>
  <si>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</si>
  <si>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</si>
  <si>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</si>
  <si>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</si>
  <si>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</si>
  <si>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</si>
  <si>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</si>
  <si>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</si>
  <si>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</si>
  <si>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</si>
  <si>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</si>
  <si>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</si>
  <si>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</si>
  <si>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</si>
  <si>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</si>
  <si>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</si>
  <si>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</si>
  <si>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</si>
  <si>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</si>
  <si>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</si>
  <si>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</si>
  <si>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</si>
  <si>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</si>
  <si>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</si>
  <si>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</si>
  <si>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</si>
  <si>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</si>
  <si>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</si>
  <si>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</si>
  <si>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</si>
  <si>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</si>
  <si>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</si>
  <si>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</si>
  <si>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</si>
  <si>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</si>
  <si>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</si>
  <si>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</si>
  <si>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</si>
  <si>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</si>
  <si>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</si>
  <si>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</si>
  <si>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</si>
  <si>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</si>
  <si>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</si>
  <si>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</si>
  <si>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</si>
  <si>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</si>
  <si>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</si>
  <si>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</si>
  <si>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</si>
  <si>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</si>
  <si>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</si>
  <si>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</si>
  <si>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</si>
  <si>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</si>
  <si>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</si>
  <si>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</si>
  <si>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</si>
  <si>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</si>
  <si>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</si>
  <si>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</si>
  <si>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</si>
  <si>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</si>
  <si>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</si>
  <si>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</si>
  <si>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</si>
  <si>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</si>
  <si>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</si>
  <si>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</si>
  <si>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</si>
  <si>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</si>
  <si>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</si>
  <si>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</si>
  <si>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</si>
  <si>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</si>
  <si>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</si>
  <si>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</si>
  <si>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</si>
  <si>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</si>
  <si>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</si>
  <si>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</si>
  <si>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</si>
  <si>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</si>
  <si>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</si>
  <si>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</si>
  <si>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</si>
  <si>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</si>
  <si>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</si>
  <si>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</si>
  <si>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</si>
  <si>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</si>
  <si>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</si>
  <si>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</si>
  <si>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</si>
  <si>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</si>
  <si>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</si>
  <si>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</si>
  <si>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</si>
  <si>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</si>
  <si>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</si>
  <si>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</si>
  <si>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</si>
  <si>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</si>
  <si>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</si>
  <si>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</si>
  <si>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</si>
  <si>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</si>
  <si>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</si>
  <si>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</si>
  <si>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</si>
  <si>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</si>
  <si>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</si>
  <si>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</si>
  <si>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</si>
  <si>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</si>
  <si>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</si>
  <si>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</si>
  <si>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</si>
  <si>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</si>
  <si>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</si>
  <si>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</si>
  <si>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</si>
  <si>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</si>
  <si>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</si>
  <si>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</si>
  <si>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</si>
  <si>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</si>
  <si>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</si>
  <si>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</si>
  <si>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</si>
  <si>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</si>
  <si>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</si>
  <si>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</si>
  <si>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</si>
  <si>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</si>
  <si>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</si>
  <si>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</si>
  <si>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</si>
  <si>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</si>
  <si>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</si>
  <si>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</si>
  <si>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</si>
  <si>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</si>
  <si>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</si>
  <si>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</si>
  <si>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</si>
  <si>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</si>
  <si>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</si>
  <si>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</si>
  <si>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</si>
  <si>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</si>
  <si>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</si>
  <si>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</si>
  <si>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</si>
  <si>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</si>
  <si>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</si>
  <si>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</si>
  <si>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</si>
  <si>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</si>
  <si>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</si>
  <si>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</si>
  <si>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</si>
  <si>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</si>
  <si>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</si>
  <si>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</si>
  <si>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</si>
  <si>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</si>
  <si>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</si>
  <si>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</si>
  <si>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</si>
  <si>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</si>
  <si>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</si>
  <si>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</si>
  <si>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</si>
  <si>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</si>
  <si>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</si>
  <si>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</si>
  <si>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</si>
  <si>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</si>
  <si>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</si>
  <si>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</si>
  <si>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</si>
  <si>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</si>
  <si>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</si>
  <si>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</si>
  <si>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</si>
  <si>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</si>
  <si>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</si>
  <si>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</si>
  <si>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</si>
  <si>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</si>
  <si>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</si>
  <si>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</si>
  <si>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</si>
  <si>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</si>
  <si>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</si>
  <si>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</si>
  <si>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</si>
  <si>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</si>
  <si>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</si>
  <si>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</si>
  <si>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</si>
  <si>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</si>
  <si>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</si>
  <si>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</si>
  <si>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</si>
  <si>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</si>
  <si>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</si>
  <si>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</si>
  <si>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</si>
  <si>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</si>
  <si>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</si>
  <si>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</si>
  <si>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</si>
  <si>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</si>
  <si>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</si>
  <si>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</si>
  <si>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</si>
  <si>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</si>
  <si>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</si>
  <si>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</si>
  <si>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</si>
  <si>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</si>
  <si>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</si>
  <si>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</si>
  <si>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</si>
  <si>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</si>
  <si>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</si>
  <si>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</si>
  <si>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</si>
  <si>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</si>
  <si>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</si>
  <si>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</si>
  <si>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</si>
  <si>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</si>
  <si>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</si>
  <si>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</si>
  <si>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</si>
  <si>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</si>
  <si>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</si>
  <si>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</si>
  <si>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</si>
  <si>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</si>
  <si>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</si>
  <si>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</si>
  <si>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</si>
  <si>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</si>
  <si>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</si>
  <si>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</si>
  <si>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</si>
  <si>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</si>
  <si>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</si>
  <si>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</si>
  <si>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</si>
  <si>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</si>
  <si>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</si>
  <si>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</si>
  <si>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</si>
  <si>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</si>
  <si>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</si>
  <si>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</si>
  <si>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</si>
  <si>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</si>
  <si>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</si>
  <si>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</si>
  <si>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</si>
  <si>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</si>
  <si>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</si>
  <si>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</si>
  <si>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</si>
  <si>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</si>
  <si>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</si>
  <si>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</si>
  <si>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</si>
  <si>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</si>
  <si>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</si>
  <si>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</si>
  <si>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</si>
  <si>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</si>
  <si>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</si>
  <si>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</si>
  <si>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</si>
  <si>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</si>
  <si>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</si>
  <si>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</si>
  <si>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</si>
  <si>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</si>
  <si>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</si>
  <si>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</si>
  <si>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</si>
  <si>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</si>
  <si>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</si>
  <si>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</si>
  <si>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</si>
  <si>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</si>
  <si>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</si>
  <si>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</si>
  <si>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</si>
  <si>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</si>
  <si>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</si>
  <si>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</si>
  <si>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</si>
  <si>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</si>
  <si>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</si>
  <si>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</si>
  <si>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</si>
  <si>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</si>
  <si>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</si>
  <si>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</si>
  <si>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</si>
  <si>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</si>
  <si>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</si>
  <si>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</si>
  <si>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</si>
  <si>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</si>
  <si>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</si>
  <si>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</si>
  <si>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</si>
  <si>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</si>
  <si>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</si>
  <si>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</si>
  <si>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</si>
  <si>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</si>
  <si>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</si>
  <si>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</si>
  <si>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</si>
  <si>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</si>
  <si>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</si>
  <si>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</si>
  <si>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</si>
  <si>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</si>
  <si>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</si>
  <si>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</si>
  <si>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</si>
  <si>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</si>
  <si>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</si>
  <si>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</si>
  <si>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</si>
  <si>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</si>
  <si>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</si>
  <si>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</si>
  <si>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</si>
  <si>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</si>
  <si>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</si>
  <si>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</si>
  <si>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</si>
  <si>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</si>
  <si>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</si>
  <si>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</si>
  <si>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</si>
  <si>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</si>
  <si>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</si>
  <si>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</si>
  <si>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</si>
  <si>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</si>
  <si>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</si>
  <si>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</si>
  <si>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</si>
  <si>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</si>
  <si>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</si>
  <si>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</si>
  <si>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</si>
  <si>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</si>
  <si>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</si>
  <si>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</si>
  <si>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</si>
  <si>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</si>
  <si>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</si>
  <si>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</si>
  <si>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</si>
  <si>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</si>
  <si>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</si>
  <si>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</si>
  <si>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</si>
  <si>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</si>
  <si>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</si>
  <si>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</si>
  <si>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</si>
  <si>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</si>
  <si>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</si>
  <si>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</si>
  <si>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</si>
  <si>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</si>
  <si>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</si>
  <si>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</si>
  <si>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</si>
  <si>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</si>
  <si>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</si>
  <si>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</si>
  <si>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</si>
  <si>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</si>
  <si>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</si>
  <si>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</si>
  <si>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</si>
  <si>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</si>
  <si>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</si>
  <si>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</si>
  <si>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</si>
  <si>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</si>
  <si>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</si>
  <si>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</si>
  <si>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</si>
  <si>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</si>
  <si>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</si>
  <si>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</si>
  <si>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</si>
  <si>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</si>
  <si>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</si>
  <si>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</si>
  <si>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</si>
  <si>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</si>
  <si>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</si>
  <si>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</si>
  <si>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</si>
  <si>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</si>
  <si>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</si>
  <si>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</si>
  <si>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</si>
  <si>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</si>
  <si>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</si>
  <si>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</si>
  <si>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</si>
  <si>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</si>
  <si>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</si>
  <si>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</si>
  <si>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</si>
  <si>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</si>
  <si>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</si>
  <si>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</si>
  <si>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</si>
  <si>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</si>
  <si>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</si>
  <si>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</si>
  <si>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</si>
  <si>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</si>
  <si>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</si>
  <si>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</si>
  <si>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</si>
  <si>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</si>
  <si>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</si>
  <si>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</si>
  <si>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</si>
  <si>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</si>
  <si>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</si>
  <si>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</si>
  <si>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</si>
  <si>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</si>
  <si>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</si>
  <si>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</si>
  <si>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</si>
  <si>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</si>
  <si>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</si>
  <si>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</si>
  <si>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</si>
  <si>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</si>
  <si>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</si>
  <si>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</si>
  <si>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</si>
  <si>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</si>
  <si>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</si>
  <si>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</si>
  <si>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</si>
  <si>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</si>
  <si>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</si>
  <si>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</si>
  <si>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</si>
  <si>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</si>
  <si>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</si>
  <si>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</si>
  <si>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</si>
  <si>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</si>
  <si>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</si>
  <si>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</si>
  <si>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</si>
  <si>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</si>
  <si>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</si>
  <si>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</si>
  <si>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</si>
  <si>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</si>
  <si>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</si>
  <si>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</si>
  <si>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</si>
  <si>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</si>
  <si>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</si>
  <si>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</si>
  <si>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</si>
  <si>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</si>
  <si>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</si>
  <si>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</si>
  <si>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</si>
  <si>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</si>
  <si>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</si>
  <si>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</si>
  <si>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</si>
  <si>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</si>
  <si>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</si>
  <si>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</si>
  <si>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</si>
  <si>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</si>
  <si>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</si>
  <si>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</si>
  <si>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</si>
  <si>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</si>
  <si>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</si>
  <si>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</si>
  <si>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</si>
  <si>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</si>
  <si>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</si>
  <si>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</si>
  <si>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</si>
  <si>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</si>
  <si>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</si>
  <si>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</si>
  <si>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</si>
  <si>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</si>
  <si>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</si>
  <si>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</si>
  <si>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</si>
  <si>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</si>
  <si>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</si>
  <si>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</si>
  <si>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</si>
  <si>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</si>
  <si>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</si>
  <si>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</si>
  <si>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</si>
  <si>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</si>
  <si>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</si>
  <si>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</si>
  <si>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</si>
  <si>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</si>
  <si>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</si>
  <si>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</si>
  <si>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</si>
  <si>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</si>
  <si>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</si>
  <si>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</si>
  <si>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</si>
  <si>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</si>
  <si>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</si>
  <si>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</si>
  <si>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</si>
  <si>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</si>
  <si>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</si>
  <si>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</si>
  <si>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</si>
  <si>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</si>
  <si>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</si>
  <si>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</si>
  <si>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</si>
  <si>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</si>
  <si>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</si>
  <si>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</si>
  <si>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</si>
  <si>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</si>
  <si>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</si>
  <si>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</si>
  <si>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</si>
  <si>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</si>
  <si>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</si>
  <si>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</si>
  <si>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</si>
  <si>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</si>
  <si>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</si>
  <si>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</si>
  <si>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</si>
  <si>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</si>
  <si>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</si>
  <si>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</si>
  <si>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</si>
  <si>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</si>
  <si>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</si>
  <si>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</si>
  <si>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</si>
  <si>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</si>
  <si>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</si>
  <si>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</si>
  <si>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</si>
  <si>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</si>
  <si>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</si>
  <si>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</si>
  <si>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</si>
  <si>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</si>
  <si>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</si>
  <si>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</si>
  <si>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</si>
  <si>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</si>
  <si>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</si>
  <si>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</si>
  <si>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</si>
  <si>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</si>
  <si>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</si>
  <si>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</si>
  <si>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</si>
  <si>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</si>
  <si>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</si>
  <si>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</si>
  <si>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</si>
  <si>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</si>
  <si>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</si>
  <si>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</si>
  <si>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</si>
  <si>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</si>
  <si>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</si>
  <si>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</si>
  <si>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</si>
  <si>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</si>
  <si>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</si>
  <si>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</si>
  <si>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</si>
  <si>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</si>
  <si>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</si>
  <si>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</si>
  <si>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</si>
  <si>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</si>
  <si>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</si>
  <si>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</si>
  <si>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</si>
  <si>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</si>
  <si>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</si>
  <si>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</si>
  <si>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</si>
  <si>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</si>
  <si>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</si>
  <si>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</si>
  <si>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</si>
  <si>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</si>
  <si>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</si>
  <si>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</si>
  <si>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</si>
  <si>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</si>
  <si>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</si>
  <si>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</si>
  <si>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</si>
  <si>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</si>
  <si>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</si>
  <si>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</si>
  <si>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</si>
  <si>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</si>
  <si>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</si>
  <si>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</si>
  <si>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</si>
  <si>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</si>
  <si>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</si>
  <si>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</si>
  <si>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</si>
  <si>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</si>
  <si>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</si>
  <si>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</si>
  <si>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</si>
  <si>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</si>
  <si>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</si>
  <si>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</si>
  <si>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</si>
  <si>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</si>
  <si>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</si>
  <si>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</si>
  <si>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</si>
  <si>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</si>
  <si>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</si>
  <si>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</si>
  <si>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</si>
  <si>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</si>
  <si>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</si>
  <si>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</si>
  <si>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</si>
  <si>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</si>
  <si>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</si>
  <si>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</si>
  <si>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</si>
  <si>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</si>
  <si>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</si>
  <si>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</si>
  <si>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</si>
  <si>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</si>
  <si>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</si>
  <si>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</si>
  <si>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</si>
  <si>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</si>
  <si>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</si>
  <si>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</si>
  <si>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</si>
  <si>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</si>
  <si>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</si>
  <si>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</si>
  <si>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</si>
  <si>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</si>
  <si>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</si>
  <si>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</si>
  <si>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</si>
  <si>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</si>
  <si>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</si>
  <si>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</si>
  <si>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</si>
  <si>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</si>
  <si>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</si>
  <si>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</si>
  <si>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</si>
  <si>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</si>
  <si>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</si>
  <si>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</si>
  <si>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</si>
  <si>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</si>
  <si>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</si>
  <si>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</si>
  <si>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</si>
  <si>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</si>
  <si>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</si>
  <si>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</si>
  <si>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</si>
  <si>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</si>
  <si>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</si>
  <si>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</si>
  <si>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</si>
  <si>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</si>
  <si>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</si>
  <si>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</si>
  <si>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</si>
  <si>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</si>
  <si>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</si>
  <si>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</si>
  <si>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</si>
  <si>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</si>
  <si>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</si>
  <si>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</si>
  <si>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</si>
  <si>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</si>
  <si>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</si>
  <si>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</si>
  <si>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</si>
  <si>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</si>
  <si>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</si>
  <si>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</si>
  <si>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</si>
  <si>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</si>
  <si>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</si>
  <si>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</si>
  <si>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</si>
  <si>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</si>
  <si>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</si>
  <si>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</si>
  <si>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</si>
  <si>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</si>
  <si>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</si>
  <si>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</si>
  <si>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</si>
  <si>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</si>
  <si>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</si>
  <si>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</si>
  <si>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</si>
  <si>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</si>
  <si>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</si>
  <si>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</si>
  <si>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</si>
  <si>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</si>
  <si>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</si>
  <si>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</si>
  <si>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</si>
  <si>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</si>
  <si>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</si>
  <si>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</si>
  <si>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</si>
  <si>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</si>
  <si>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</si>
  <si>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</si>
  <si>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</si>
  <si>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</si>
  <si>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</si>
  <si>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</si>
  <si>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</si>
  <si>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</si>
  <si>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</si>
  <si>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</si>
  <si>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</si>
  <si>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</si>
  <si>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</si>
  <si>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</si>
  <si>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</si>
  <si>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</si>
  <si>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</si>
  <si>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</si>
  <si>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</si>
  <si>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</si>
  <si>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</si>
  <si>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</si>
  <si>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</si>
  <si>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</si>
  <si>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</si>
  <si>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</si>
  <si>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</si>
  <si>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</si>
  <si>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</si>
  <si>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</si>
  <si>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</si>
  <si>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</si>
  <si>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</si>
  <si>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</si>
  <si>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</si>
  <si>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</si>
  <si>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</si>
  <si>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</si>
  <si>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</si>
  <si>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</si>
  <si>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</si>
  <si>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</si>
  <si>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</si>
  <si>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</si>
  <si>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</si>
  <si>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</si>
  <si>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</si>
  <si>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</si>
  <si>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</si>
  <si>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</si>
  <si>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</si>
  <si>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</si>
  <si>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</si>
  <si>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</si>
  <si>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</si>
  <si>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</si>
  <si>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</si>
  <si>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</si>
  <si>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</si>
  <si>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</si>
  <si>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</si>
  <si>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</si>
  <si>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</si>
  <si>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</si>
  <si>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</si>
  <si>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</si>
  <si>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</si>
  <si>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</si>
  <si>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</si>
  <si>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</si>
  <si>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</si>
  <si>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</si>
  <si>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</si>
  <si>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</si>
  <si>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</si>
  <si>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</si>
  <si>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</si>
  <si>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</si>
  <si>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</si>
  <si>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</si>
  <si>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</si>
  <si>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</si>
  <si>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</si>
  <si>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</si>
  <si>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</si>
  <si>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</si>
  <si>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</si>
  <si>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</si>
  <si>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</si>
  <si>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</si>
  <si>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</si>
  <si>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</si>
  <si>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</si>
  <si>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</si>
  <si>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</si>
  <si>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</si>
  <si>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</si>
  <si>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</si>
  <si>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</si>
  <si>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</si>
  <si>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</si>
  <si>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</si>
  <si>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</si>
  <si>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</si>
  <si>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</si>
  <si>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</si>
  <si>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</si>
  <si>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</si>
  <si>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</si>
  <si>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</si>
  <si>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</si>
  <si>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</si>
  <si>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</si>
  <si>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</si>
  <si>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</si>
  <si>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</si>
  <si>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</si>
  <si>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</si>
  <si>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</si>
  <si>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</si>
  <si>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</si>
  <si>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</si>
  <si>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</si>
  <si>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</si>
  <si>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</si>
  <si>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</si>
  <si>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</si>
  <si>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</si>
  <si>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</si>
  <si>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</si>
  <si>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</si>
  <si>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</si>
  <si>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</si>
  <si>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</si>
  <si>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</si>
  <si>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</si>
  <si>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</si>
  <si>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</si>
  <si>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</si>
  <si>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</si>
  <si>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</si>
  <si>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</si>
  <si>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</si>
  <si>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</si>
  <si>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</si>
  <si>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</si>
  <si>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</si>
  <si>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</si>
  <si>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</si>
  <si>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</si>
  <si>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</si>
  <si>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</si>
  <si>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</si>
  <si>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</si>
  <si>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</si>
  <si>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</si>
  <si>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</si>
  <si>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</si>
  <si>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</si>
  <si>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</si>
  <si>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</si>
  <si>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</si>
  <si>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</si>
  <si>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</si>
  <si>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</si>
  <si>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</si>
  <si>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</si>
  <si>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</si>
  <si>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</si>
  <si>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</si>
  <si>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</si>
  <si>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</si>
  <si>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</si>
  <si>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</si>
  <si>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</si>
  <si>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</si>
  <si>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</si>
  <si>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</si>
  <si>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</si>
  <si>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</si>
  <si>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</si>
  <si>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</si>
  <si>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</si>
  <si>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</si>
  <si>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</si>
  <si>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</si>
  <si>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</si>
  <si>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</si>
  <si>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</si>
  <si>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</si>
  <si>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</si>
  <si>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</si>
  <si>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</si>
  <si>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</si>
  <si>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</si>
  <si>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</si>
  <si>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</si>
  <si>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</si>
  <si>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</si>
  <si>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</si>
  <si>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</si>
  <si>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</si>
  <si>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</si>
  <si>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</si>
  <si>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</si>
  <si>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</si>
  <si>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</si>
  <si>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</si>
  <si>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</si>
  <si>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</si>
  <si>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</si>
  <si>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</si>
  <si>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</si>
  <si>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</si>
  <si>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</si>
  <si>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</si>
  <si>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</si>
  <si>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</si>
  <si>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</si>
  <si>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</si>
  <si>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</si>
  <si>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</si>
  <si>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</si>
  <si>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</si>
  <si>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</si>
  <si>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</si>
  <si>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</si>
  <si>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</si>
  <si>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</si>
  <si>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</si>
  <si>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</si>
  <si>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</si>
  <si>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</si>
  <si>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</si>
  <si>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</si>
  <si>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</si>
  <si>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</si>
  <si>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</si>
  <si>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</si>
  <si>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</si>
  <si>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</si>
  <si>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</si>
  <si>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</si>
  <si>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</si>
  <si>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</si>
  <si>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</si>
  <si>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</si>
  <si>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</si>
  <si>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</si>
  <si>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</si>
  <si>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</si>
  <si>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</si>
  <si>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</si>
  <si>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</si>
  <si>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</si>
  <si>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</si>
  <si>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</si>
  <si>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</si>
  <si>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</si>
  <si>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</si>
  <si>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</si>
  <si>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</si>
  <si>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</si>
  <si>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</si>
  <si>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</si>
  <si>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</si>
  <si>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</si>
  <si>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</si>
  <si>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</si>
  <si>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</si>
  <si>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</si>
  <si>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</si>
  <si>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</si>
  <si>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</si>
  <si>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</si>
  <si>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</si>
  <si>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</si>
  <si>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</si>
  <si>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</si>
  <si>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</si>
  <si>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</si>
  <si>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</si>
  <si>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</si>
  <si>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</si>
  <si>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</si>
  <si>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</si>
  <si>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</si>
  <si>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</si>
  <si>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</si>
  <si>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</si>
  <si>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</si>
  <si>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</si>
  <si>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</si>
  <si>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</si>
  <si>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</si>
  <si>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</si>
  <si>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</si>
  <si>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</si>
  <si>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</si>
  <si>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</si>
  <si>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</si>
  <si>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</si>
  <si>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</si>
  <si>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</si>
  <si>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</si>
  <si>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</si>
  <si>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</si>
  <si>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</si>
  <si>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</si>
  <si>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</si>
  <si>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</si>
  <si>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</si>
  <si>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</si>
  <si>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</si>
  <si>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</si>
  <si>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</si>
  <si>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</si>
  <si>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</si>
  <si>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</si>
  <si>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</si>
  <si>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</si>
  <si>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</si>
  <si>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</si>
  <si>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</si>
  <si>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</si>
  <si>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</si>
  <si>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</si>
  <si>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</si>
  <si>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</si>
  <si>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</si>
  <si>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</si>
  <si>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</si>
  <si>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</si>
  <si>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</si>
  <si>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</si>
  <si>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</si>
  <si>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</si>
  <si>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</si>
  <si>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</si>
  <si>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</si>
  <si>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</si>
  <si>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</si>
  <si>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</si>
  <si>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</si>
  <si>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</si>
  <si>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</si>
  <si>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</si>
  <si>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</si>
  <si>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</si>
  <si>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</si>
  <si>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</si>
  <si>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</si>
  <si>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</si>
  <si>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</si>
  <si>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</si>
  <si>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</si>
  <si>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</si>
  <si>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</si>
  <si>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</si>
  <si>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</si>
  <si>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</si>
  <si>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</si>
  <si>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</si>
  <si>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</si>
  <si>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</si>
  <si>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</si>
  <si>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</si>
  <si>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</si>
  <si>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</si>
  <si>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</si>
  <si>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</si>
  <si>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</si>
  <si>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</si>
  <si>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</si>
  <si>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</si>
  <si>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</si>
  <si>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</si>
  <si>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</si>
  <si>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</si>
  <si>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</si>
  <si>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</si>
  <si>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</si>
  <si>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</si>
  <si>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</si>
  <si>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</si>
  <si>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</si>
  <si>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</si>
  <si>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</si>
  <si>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</si>
  <si>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</si>
  <si>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</si>
  <si>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</si>
  <si>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</si>
  <si>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</si>
  <si>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</si>
  <si>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</si>
  <si>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</si>
  <si>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</si>
  <si>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</si>
  <si>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</si>
  <si>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</si>
  <si>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</si>
  <si>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</si>
  <si>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</si>
  <si>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</si>
  <si>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</si>
  <si>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</si>
  <si>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</si>
  <si>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</si>
  <si>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</si>
  <si>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</si>
  <si>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</si>
  <si>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</si>
  <si>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</si>
  <si>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</si>
  <si>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</si>
  <si>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</si>
  <si>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</si>
  <si>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</si>
  <si>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</si>
  <si>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</si>
  <si>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</si>
  <si>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</si>
  <si>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</si>
  <si>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</si>
  <si>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</si>
  <si>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</si>
  <si>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</si>
  <si>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</si>
  <si>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</si>
  <si>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</si>
  <si>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</si>
  <si>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</si>
  <si>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</si>
  <si>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</si>
  <si>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</si>
  <si>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</si>
  <si>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</si>
  <si>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</si>
  <si>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</si>
  <si>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</si>
  <si>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</si>
  <si>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</si>
  <si>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</si>
  <si>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</si>
  <si>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</si>
  <si>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</si>
  <si>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</si>
  <si>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</si>
  <si>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</si>
  <si>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</si>
  <si>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</si>
  <si>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</si>
  <si>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</si>
  <si>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</si>
  <si>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</si>
  <si>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</si>
  <si>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</si>
  <si>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</si>
  <si>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</si>
  <si>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</si>
  <si>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</si>
  <si>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</si>
  <si>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</si>
  <si>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</si>
  <si>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</si>
  <si>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</si>
  <si>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</si>
  <si>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</si>
  <si>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</si>
  <si>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</si>
  <si>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</si>
  <si>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</si>
  <si>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</si>
  <si>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</si>
  <si>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</si>
  <si>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</si>
  <si>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</si>
  <si>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</si>
  <si>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</si>
  <si>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</si>
  <si>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</si>
  <si>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</si>
  <si>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</si>
  <si>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</si>
  <si>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</si>
  <si>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</si>
  <si>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</si>
  <si>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</si>
  <si>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</si>
  <si>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</si>
  <si>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</si>
  <si>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</si>
  <si>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</si>
  <si>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</si>
  <si>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</si>
  <si>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</si>
  <si>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</si>
  <si>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</si>
  <si>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</si>
  <si>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</si>
  <si>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</si>
  <si>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</si>
  <si>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</si>
  <si>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</si>
  <si>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</si>
  <si>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</si>
  <si>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</si>
  <si>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</si>
  <si>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</si>
  <si>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</si>
  <si>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</si>
  <si>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</si>
  <si>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</si>
  <si>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</si>
  <si>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</si>
  <si>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</si>
  <si>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</si>
  <si>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</si>
  <si>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</si>
  <si>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</si>
  <si>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</si>
  <si>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</si>
  <si>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</si>
  <si>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</si>
  <si>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</si>
  <si>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</si>
  <si>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</si>
  <si>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</si>
  <si>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</si>
  <si>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</si>
  <si>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</si>
  <si>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</si>
  <si>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</si>
  <si>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</si>
  <si>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</si>
  <si>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</si>
  <si>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</si>
  <si>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</si>
  <si>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</si>
  <si>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</si>
  <si>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</si>
  <si>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</si>
  <si>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</si>
  <si>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</si>
  <si>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</si>
  <si>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</si>
  <si>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</si>
  <si>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</si>
  <si>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</si>
  <si>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</si>
  <si>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</si>
  <si>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</si>
  <si>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</si>
  <si>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</si>
  <si>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</si>
  <si>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</si>
  <si>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</si>
  <si>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</si>
  <si>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</si>
  <si>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</si>
  <si>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</si>
  <si>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</si>
  <si>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</si>
  <si>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</si>
  <si>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</si>
  <si>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</si>
  <si>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</si>
  <si>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</si>
  <si>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</si>
  <si>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</si>
  <si>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</si>
  <si>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</si>
  <si>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</si>
  <si>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</si>
  <si>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</si>
  <si>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</si>
  <si>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</si>
  <si>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</si>
  <si>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</si>
  <si>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</si>
  <si>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</si>
  <si>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</si>
  <si>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</si>
  <si>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</si>
  <si>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</si>
  <si>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</si>
  <si>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</si>
  <si>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</si>
  <si>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</si>
  <si>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</si>
  <si>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</si>
  <si>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</si>
  <si>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</si>
  <si>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</si>
  <si>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</si>
  <si>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</si>
  <si>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</si>
  <si>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</si>
  <si>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</si>
  <si>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</si>
  <si>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</si>
  <si>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</si>
  <si>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</si>
  <si>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</si>
  <si>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</si>
  <si>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</si>
  <si>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</si>
  <si>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</si>
  <si>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</si>
  <si>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</si>
  <si>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</si>
  <si>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</si>
  <si>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</si>
  <si>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</si>
  <si>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</si>
  <si>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</si>
  <si>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</si>
  <si>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</si>
  <si>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</si>
  <si>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</si>
  <si>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</si>
  <si>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</si>
  <si>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</si>
  <si>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</si>
  <si>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</si>
  <si>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</si>
  <si>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</si>
  <si>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</si>
  <si>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</si>
  <si>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</si>
  <si>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</si>
  <si>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</si>
  <si>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</si>
  <si>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</si>
  <si>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</si>
  <si>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</si>
  <si>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</si>
  <si>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</si>
  <si>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</si>
  <si>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</si>
  <si>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</si>
  <si>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</si>
  <si>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</si>
  <si>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</si>
  <si>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</si>
  <si>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</si>
  <si>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</si>
  <si>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</si>
  <si>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</si>
  <si>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</si>
  <si>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</si>
  <si>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</si>
  <si>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</si>
  <si>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</si>
  <si>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</si>
  <si>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</si>
  <si>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</si>
  <si>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</si>
  <si>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</si>
  <si>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</si>
  <si>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</si>
  <si>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</si>
  <si>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</si>
  <si>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</si>
  <si>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</si>
  <si>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</si>
  <si>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</si>
  <si>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</si>
  <si>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</si>
  <si>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</si>
  <si>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</si>
  <si>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</si>
  <si>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</si>
  <si>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</si>
  <si>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</si>
  <si>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</si>
  <si>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</si>
  <si>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</si>
  <si>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</si>
  <si>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</si>
  <si>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</si>
  <si>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</si>
  <si>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</si>
  <si>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</si>
  <si>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</si>
  <si>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</si>
  <si>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</si>
  <si>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</si>
  <si>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</si>
  <si>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</si>
  <si>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</si>
  <si>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</si>
  <si>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</si>
  <si>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</si>
  <si>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</si>
  <si>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</si>
  <si>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</si>
  <si>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</si>
  <si>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</si>
  <si>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</si>
  <si>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</si>
  <si>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</si>
  <si>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</si>
  <si>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</si>
  <si>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</si>
  <si>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</si>
  <si>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</si>
  <si>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</si>
  <si>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</si>
  <si>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</si>
  <si>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</si>
  <si>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</si>
  <si>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</si>
  <si>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</si>
  <si>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</si>
  <si>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</si>
  <si>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</si>
  <si>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</si>
  <si>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</si>
  <si>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</si>
  <si>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</si>
  <si>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</si>
  <si>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</si>
  <si>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</si>
  <si>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</si>
  <si>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</si>
  <si>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</si>
  <si>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</si>
  <si>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</si>
  <si>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</si>
  <si>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</si>
  <si>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</si>
  <si>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</si>
  <si>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</si>
  <si>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</si>
  <si>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</si>
  <si>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</si>
  <si>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</si>
  <si>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</si>
  <si>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</si>
  <si>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</si>
  <si>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</si>
  <si>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</si>
  <si>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</si>
  <si>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</si>
  <si>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</si>
  <si>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</si>
  <si>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</si>
  <si>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</si>
  <si>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</si>
  <si>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</si>
  <si>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</si>
  <si>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</si>
  <si>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</si>
  <si>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</si>
  <si>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</si>
  <si>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</si>
  <si>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</si>
  <si>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</si>
  <si>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</si>
  <si>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</si>
  <si>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</si>
  <si>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</si>
  <si>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</si>
  <si>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</si>
  <si>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</si>
  <si>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</si>
  <si>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</si>
  <si>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</si>
  <si>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</si>
  <si>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</si>
  <si>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</si>
  <si>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</si>
  <si>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</si>
  <si>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</si>
  <si>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</si>
  <si>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</si>
  <si>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</si>
  <si>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</si>
  <si>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</si>
  <si>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</si>
  <si>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</si>
  <si>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</si>
  <si>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</si>
  <si>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</si>
  <si>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</si>
  <si>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</si>
  <si>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</si>
  <si>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</si>
  <si>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</si>
  <si>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</si>
  <si>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</si>
  <si>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</si>
  <si>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</si>
  <si>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</si>
  <si>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</si>
  <si>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</si>
  <si>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</si>
  <si>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</si>
  <si>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</si>
  <si>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</si>
  <si>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</si>
  <si>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</si>
  <si>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</si>
  <si>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</si>
  <si>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</si>
  <si>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</si>
  <si>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</si>
  <si>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</si>
  <si>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</si>
  <si>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</si>
  <si>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</si>
  <si>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</si>
  <si>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</si>
  <si>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</si>
  <si>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</si>
  <si>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</si>
  <si>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</si>
  <si>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</si>
  <si>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</si>
  <si>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</si>
  <si>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</si>
  <si>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</si>
  <si>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</si>
  <si>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</si>
  <si>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</si>
  <si>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</si>
  <si>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</si>
  <si>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</si>
  <si>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</si>
  <si>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</si>
  <si>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</si>
  <si>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</si>
  <si>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</si>
  <si>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</si>
  <si>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</si>
  <si>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</si>
  <si>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</si>
  <si>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</si>
  <si>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</si>
  <si>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</si>
  <si>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</si>
  <si>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</si>
  <si>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</si>
  <si>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</si>
  <si>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</si>
  <si>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</si>
  <si>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</si>
  <si>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</si>
  <si>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</si>
  <si>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</si>
  <si>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</si>
  <si>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</si>
  <si>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</si>
  <si>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</si>
  <si>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</si>
  <si>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</si>
  <si>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</si>
  <si>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</si>
  <si>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</si>
  <si>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</si>
  <si>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</si>
  <si>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</si>
  <si>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</si>
  <si>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</si>
  <si>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</si>
  <si>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</si>
  <si>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</si>
  <si>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</si>
  <si>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</si>
  <si>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</si>
  <si>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</si>
  <si>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</si>
  <si>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</si>
  <si>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</si>
  <si>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</si>
  <si>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</si>
  <si>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</si>
  <si>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</si>
  <si>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</si>
  <si>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</si>
  <si>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</si>
  <si>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</si>
  <si>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</si>
  <si>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</si>
  <si>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</si>
  <si>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</si>
  <si>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</si>
  <si>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</si>
  <si>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</si>
  <si>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</si>
  <si>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</si>
  <si>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</si>
  <si>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</si>
  <si>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</si>
  <si>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</si>
  <si>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</si>
  <si>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</si>
  <si>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</si>
  <si>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</si>
  <si>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</si>
  <si>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</si>
  <si>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</si>
  <si>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</si>
  <si>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</si>
  <si>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</si>
  <si>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</si>
  <si>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</si>
  <si>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</si>
  <si>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</si>
  <si>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</si>
  <si>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</si>
  <si>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</si>
  <si>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</si>
  <si>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</si>
  <si>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</si>
  <si>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</si>
  <si>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</si>
  <si>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</si>
  <si>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</si>
  <si>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</si>
  <si>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</si>
  <si>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</si>
  <si>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</si>
  <si>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</si>
  <si>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</si>
  <si>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</si>
  <si>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</si>
  <si>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</si>
  <si>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</si>
  <si>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</si>
  <si>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</si>
  <si>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</si>
  <si>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</si>
  <si>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</si>
  <si>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</si>
  <si>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</si>
  <si>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</si>
  <si>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</si>
  <si>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</si>
  <si>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</si>
  <si>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</si>
  <si>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</si>
  <si>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</si>
  <si>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</si>
  <si>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</si>
  <si>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</si>
  <si>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</si>
  <si>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</si>
  <si>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</si>
  <si>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</si>
  <si>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</si>
  <si>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</si>
  <si>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</si>
  <si>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</si>
  <si>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</si>
  <si>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</si>
  <si>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</si>
  <si>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</si>
  <si>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</si>
  <si>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</si>
  <si>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</si>
  <si>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</si>
  <si>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</si>
  <si>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</si>
  <si>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</si>
  <si>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</si>
  <si>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</si>
  <si>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</si>
  <si>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</si>
  <si>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</si>
  <si>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</si>
  <si>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</si>
  <si>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</si>
  <si>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</si>
  <si>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</si>
  <si>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</si>
  <si>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</si>
  <si>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</si>
  <si>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</si>
  <si>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</si>
  <si>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</si>
  <si>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</si>
  <si>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</si>
  <si>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</si>
  <si>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</si>
  <si>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</si>
  <si>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</si>
  <si>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</si>
  <si>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</si>
  <si>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</si>
  <si>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</si>
  <si>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</si>
  <si>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</si>
  <si>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</si>
  <si>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</si>
  <si>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</si>
  <si>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</si>
  <si>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</si>
  <si>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</si>
  <si>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</si>
  <si>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</si>
  <si>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</si>
  <si>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</si>
  <si>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</si>
  <si>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</si>
  <si>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</si>
  <si>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</si>
  <si>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</si>
  <si>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</si>
  <si>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</si>
  <si>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</si>
  <si>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</si>
  <si>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</si>
  <si>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</si>
  <si>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</si>
  <si>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</si>
  <si>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</si>
  <si>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</si>
  <si>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</si>
  <si>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</si>
  <si>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</si>
  <si>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</si>
  <si>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</si>
  <si>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</si>
  <si>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</si>
  <si>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</si>
  <si>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</si>
  <si>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</si>
  <si>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</si>
  <si>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</si>
  <si>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</si>
  <si>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</si>
  <si>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</si>
  <si>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</si>
  <si>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</si>
  <si>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</si>
  <si>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</si>
  <si>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</si>
  <si>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</si>
  <si>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</si>
  <si>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</si>
  <si>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</si>
  <si>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</si>
  <si>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</si>
  <si>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</si>
  <si>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</si>
  <si>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</si>
  <si>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</si>
  <si>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</si>
  <si>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</si>
  <si>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</si>
  <si>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</si>
  <si>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</si>
  <si>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</si>
  <si>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</si>
  <si>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</si>
  <si>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</si>
  <si>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</si>
  <si>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</si>
  <si>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</si>
  <si>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</si>
  <si>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</si>
  <si>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</si>
  <si>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</si>
  <si>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</si>
  <si>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</si>
  <si>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</si>
  <si>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</si>
  <si>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</si>
  <si>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</si>
  <si>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</si>
  <si>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</si>
  <si>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</si>
  <si>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</si>
  <si>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</si>
  <si>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</si>
  <si>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</si>
  <si>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</si>
  <si>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</si>
  <si>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</si>
  <si>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</si>
  <si>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</si>
  <si>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</si>
  <si>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</si>
  <si>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</si>
  <si>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</si>
  <si>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</si>
  <si>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</si>
  <si>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</si>
  <si>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</si>
  <si>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</si>
  <si>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</si>
  <si>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</si>
  <si>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</si>
  <si>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</si>
  <si>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</si>
  <si>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</si>
  <si>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</si>
  <si>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</si>
  <si>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</si>
  <si>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</si>
  <si>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</si>
  <si>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</si>
  <si>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</si>
  <si>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</si>
  <si>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</si>
  <si>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</si>
  <si>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</si>
  <si>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</si>
  <si>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</si>
  <si>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</si>
  <si>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</si>
  <si>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</si>
  <si>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</si>
  <si>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</si>
  <si>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</si>
  <si>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</si>
  <si>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</si>
  <si>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</si>
  <si>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</si>
  <si>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</si>
  <si>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</si>
  <si>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</si>
  <si>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</si>
  <si>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</si>
  <si>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</si>
  <si>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</si>
  <si>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</si>
  <si>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</si>
  <si>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</si>
  <si>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</si>
  <si>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</si>
  <si>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</si>
  <si>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</si>
  <si>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</si>
  <si>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</si>
  <si>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</si>
  <si>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</si>
  <si>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</si>
  <si>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</si>
  <si>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</si>
  <si>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</si>
  <si>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</si>
  <si>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</si>
  <si>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</si>
  <si>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</si>
  <si>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</si>
  <si>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</si>
  <si>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</si>
  <si>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</si>
  <si>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</si>
  <si>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</si>
  <si>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</si>
  <si>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</si>
  <si>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</si>
  <si>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</si>
  <si>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</si>
  <si>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</si>
  <si>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</si>
  <si>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</si>
  <si>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</si>
  <si>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</si>
  <si>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</si>
  <si>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</si>
  <si>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</si>
  <si>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</si>
  <si>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</si>
  <si>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</si>
  <si>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</si>
  <si>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</si>
  <si>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</si>
  <si>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</si>
  <si>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</si>
  <si>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</si>
  <si>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</si>
  <si>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</si>
  <si>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</si>
  <si>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</si>
  <si>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</si>
  <si>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</si>
  <si>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</si>
  <si>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</si>
  <si>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</si>
  <si>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</si>
  <si>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</si>
  <si>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</si>
  <si>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</si>
  <si>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</si>
  <si>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</si>
  <si>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</si>
  <si>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</si>
  <si>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</si>
  <si>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</si>
  <si>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</si>
  <si>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</si>
  <si>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</si>
  <si>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</si>
  <si>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</si>
  <si>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</si>
  <si>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</si>
  <si>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</si>
  <si>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</si>
  <si>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</si>
  <si>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</si>
  <si>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</si>
  <si>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</si>
  <si>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</si>
  <si>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</si>
  <si>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</si>
  <si>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</si>
  <si>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</si>
  <si>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</si>
  <si>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</si>
  <si>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</si>
  <si>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</si>
  <si>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</si>
  <si>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</si>
  <si>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</si>
  <si>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</si>
  <si>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</si>
  <si>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</si>
  <si>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</si>
  <si>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</si>
  <si>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</si>
  <si>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</si>
  <si>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</si>
  <si>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</si>
  <si>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</si>
  <si>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</si>
  <si>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</si>
  <si>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</si>
  <si>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</si>
  <si>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</si>
  <si>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</si>
  <si>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</si>
  <si>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</si>
  <si>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</si>
  <si>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</si>
  <si>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</si>
  <si>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</si>
  <si>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</si>
  <si>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</si>
  <si>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</si>
  <si>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</si>
  <si>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</si>
  <si>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</si>
  <si>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</si>
  <si>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</si>
  <si>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</si>
  <si>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</si>
  <si>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</si>
  <si>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</si>
  <si>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</si>
  <si>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</si>
  <si>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</si>
  <si>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</si>
  <si>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</si>
  <si>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</si>
  <si>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</si>
  <si>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</si>
  <si>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</si>
  <si>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</si>
  <si>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</si>
  <si>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</si>
  <si>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</si>
  <si>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</si>
  <si>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</si>
  <si>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</si>
  <si>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</si>
  <si>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</si>
  <si>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</si>
  <si>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</si>
  <si>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</si>
  <si>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</si>
  <si>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</si>
  <si>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</si>
  <si>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</si>
  <si>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</si>
  <si>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</si>
  <si>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</si>
  <si>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</si>
  <si>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</si>
  <si>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</si>
  <si>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</si>
  <si>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</si>
  <si>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</si>
  <si>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</si>
  <si>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</si>
  <si>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</si>
  <si>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</si>
  <si>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</si>
  <si>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</si>
  <si>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</si>
  <si>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</si>
  <si>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</si>
  <si>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</si>
  <si>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</si>
  <si>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</si>
  <si>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</si>
  <si>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</si>
  <si>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</si>
  <si>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</si>
  <si>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</si>
  <si>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</si>
  <si>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</si>
  <si>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</si>
  <si>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</si>
  <si>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</si>
  <si>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</si>
  <si>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</si>
  <si>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</si>
  <si>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</si>
  <si>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</si>
  <si>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</si>
  <si>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</si>
  <si>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</si>
  <si>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</si>
  <si>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</si>
  <si>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</si>
  <si>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</si>
  <si>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</si>
  <si>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</si>
  <si>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</si>
  <si>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</si>
  <si>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</si>
  <si>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</si>
  <si>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</si>
  <si>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</si>
  <si>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</si>
  <si>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</si>
  <si>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</si>
  <si>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</si>
  <si>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</si>
  <si>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</si>
  <si>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</si>
  <si>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</si>
  <si>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</si>
  <si>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</si>
  <si>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</si>
  <si>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</si>
  <si>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</si>
  <si>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</si>
  <si>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</si>
  <si>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</si>
  <si>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</si>
  <si>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</si>
  <si>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</si>
  <si>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</si>
  <si>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</si>
  <si>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</si>
  <si>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</si>
  <si>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</si>
  <si>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</si>
  <si>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</si>
  <si>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</si>
  <si>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</si>
  <si>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</si>
  <si>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</si>
  <si>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</si>
  <si>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</si>
  <si>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</si>
  <si>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</si>
  <si>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</si>
  <si>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</si>
  <si>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</si>
  <si>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</si>
  <si>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</si>
  <si>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</si>
  <si>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</si>
  <si>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</si>
  <si>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</si>
  <si>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</si>
  <si>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</si>
  <si>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</si>
  <si>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</si>
  <si>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</si>
  <si>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</si>
  <si>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</si>
  <si>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</si>
  <si>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</si>
  <si>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</si>
  <si>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</si>
  <si>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</si>
  <si>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</si>
  <si>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</si>
  <si>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</si>
  <si>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</si>
  <si>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</si>
  <si>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</si>
  <si>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</si>
  <si>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</si>
  <si>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</si>
  <si>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</si>
  <si>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</si>
  <si>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</si>
  <si>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</si>
  <si>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</si>
  <si>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</si>
  <si>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</si>
  <si>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</si>
  <si>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</si>
  <si>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</si>
  <si>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</si>
  <si>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</si>
  <si>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</si>
  <si>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</si>
  <si>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</si>
  <si>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</si>
  <si>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</si>
  <si>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</si>
  <si>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</si>
  <si>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</si>
  <si>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</si>
  <si>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</si>
  <si>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</si>
  <si>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</si>
  <si>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</si>
  <si>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</si>
  <si>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</si>
  <si>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</si>
  <si>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</si>
  <si>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</si>
  <si>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</si>
  <si>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</si>
  <si>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</si>
  <si>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</si>
  <si>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</si>
  <si>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</si>
  <si>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</si>
  <si>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</si>
  <si>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</si>
  <si>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</si>
  <si>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</si>
  <si>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</si>
  <si>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</si>
  <si>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</si>
  <si>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</si>
  <si>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</si>
  <si>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</si>
  <si>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</si>
  <si>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</si>
  <si>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</si>
  <si>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</si>
  <si>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</si>
  <si>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</si>
  <si>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</si>
  <si>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</si>
  <si>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</si>
  <si>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</si>
  <si>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</si>
  <si>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</si>
  <si>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</si>
  <si>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</si>
  <si>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</si>
  <si>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</si>
  <si>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</si>
  <si>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</si>
  <si>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</si>
  <si>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</si>
  <si>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</si>
  <si>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</si>
  <si>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</si>
  <si>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</si>
  <si>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</si>
  <si>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</si>
  <si>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</si>
  <si>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</si>
  <si>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</si>
  <si>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</si>
  <si>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</si>
  <si>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</si>
  <si>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</si>
  <si>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</si>
  <si>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</si>
  <si>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</si>
  <si>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</si>
  <si>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</si>
  <si>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</si>
  <si>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</si>
  <si>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</si>
  <si>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</si>
  <si>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</si>
  <si>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</si>
  <si>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</si>
  <si>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</si>
  <si>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</si>
  <si>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</si>
  <si>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</si>
  <si>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</si>
  <si>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</si>
  <si>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</si>
  <si>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</si>
  <si>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</si>
  <si>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</si>
  <si>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</si>
  <si>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</si>
  <si>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</si>
  <si>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</si>
  <si>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</si>
  <si>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</si>
  <si>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</si>
  <si>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</si>
  <si>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</si>
  <si>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</si>
  <si>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</si>
  <si>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</si>
  <si>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</si>
  <si>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</si>
  <si>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</si>
  <si>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</si>
  <si>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</si>
  <si>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</si>
  <si>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</si>
  <si>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</si>
  <si>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</si>
  <si>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</si>
  <si>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</si>
  <si>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</si>
  <si>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</si>
  <si>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</si>
  <si>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</si>
  <si>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</si>
  <si>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</si>
  <si>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</si>
  <si>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</si>
  <si>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</si>
  <si>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</si>
  <si>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</si>
  <si>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</si>
  <si>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</si>
  <si>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</si>
  <si>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</si>
  <si>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</si>
  <si>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</si>
  <si>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</si>
  <si>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</si>
  <si>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</si>
  <si>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</si>
  <si>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</si>
  <si>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</si>
  <si>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</si>
  <si>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</si>
  <si>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</si>
  <si>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</si>
  <si>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</si>
  <si>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</si>
  <si>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</si>
  <si>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</si>
  <si>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</si>
  <si>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</si>
  <si>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</si>
  <si>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</si>
  <si>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</si>
  <si>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</si>
  <si>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</si>
  <si>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</si>
  <si>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</si>
  <si>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</si>
  <si>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</si>
  <si>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</si>
  <si>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</si>
  <si>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</si>
  <si>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</si>
  <si>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</si>
  <si>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</si>
  <si>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</si>
  <si>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</si>
  <si>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</si>
  <si>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</si>
  <si>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</si>
  <si>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</si>
  <si>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</si>
  <si>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</si>
  <si>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</si>
  <si>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</si>
  <si>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</si>
  <si>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</si>
  <si>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</si>
  <si>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</si>
  <si>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</si>
  <si>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</si>
  <si>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</si>
  <si>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</si>
  <si>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</si>
  <si>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</si>
  <si>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</si>
  <si>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</si>
  <si>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</si>
  <si>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</si>
  <si>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</si>
  <si>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</si>
  <si>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</si>
  <si>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</si>
  <si>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</si>
  <si>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</si>
  <si>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</si>
  <si>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</si>
  <si>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</si>
  <si>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</si>
  <si>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</si>
  <si>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</si>
  <si>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</si>
  <si>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</si>
  <si>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</si>
  <si>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</si>
  <si>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</si>
  <si>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</si>
  <si>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</si>
  <si>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</si>
  <si>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</si>
  <si>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</si>
  <si>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</si>
  <si>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</si>
  <si>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</si>
  <si>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</si>
  <si>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</si>
  <si>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</si>
  <si>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</si>
  <si>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</si>
  <si>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</si>
  <si>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</si>
  <si>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</si>
  <si>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</si>
  <si>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</si>
  <si>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</si>
  <si>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</si>
  <si>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</si>
  <si>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</si>
  <si>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</si>
  <si>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</si>
  <si>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</si>
  <si>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</si>
  <si>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</si>
  <si>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</si>
  <si>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</si>
  <si>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</si>
  <si>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</si>
  <si>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</si>
  <si>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</si>
  <si>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</si>
  <si>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</si>
  <si>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</si>
  <si>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</si>
  <si>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</si>
  <si>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</si>
  <si>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</si>
  <si>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</si>
  <si>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</si>
  <si>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</si>
  <si>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</si>
  <si>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</si>
  <si>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</si>
  <si>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</si>
  <si>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</si>
  <si>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</si>
  <si>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</si>
  <si>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</si>
  <si>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</si>
  <si>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</si>
  <si>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</si>
  <si>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</si>
  <si>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</si>
  <si>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</si>
  <si>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</si>
  <si>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</si>
  <si>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</si>
  <si>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</si>
  <si>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</si>
  <si>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</si>
  <si>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</si>
  <si>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</si>
  <si>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</si>
  <si>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</si>
  <si>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</si>
  <si>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</si>
  <si>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</si>
  <si>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</si>
  <si>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</si>
  <si>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</si>
  <si>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</si>
  <si>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</si>
  <si>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</si>
  <si>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</si>
  <si>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</si>
  <si>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</si>
  <si>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</si>
  <si>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</si>
  <si>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</si>
  <si>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</si>
  <si>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</si>
  <si>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</si>
  <si>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</si>
  <si>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</si>
  <si>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</si>
  <si>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</si>
  <si>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</si>
  <si>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</si>
  <si>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</si>
  <si>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</si>
  <si>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</si>
  <si>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</si>
  <si>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</si>
  <si>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</si>
  <si>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</si>
  <si>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</si>
  <si>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</si>
  <si>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</si>
  <si>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</si>
  <si>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</si>
  <si>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</si>
  <si>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</si>
  <si>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</si>
  <si>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</si>
  <si>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</si>
  <si>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</si>
  <si>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</si>
  <si>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</si>
  <si>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</si>
  <si>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</si>
  <si>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</si>
  <si>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</si>
  <si>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</si>
  <si>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</si>
  <si>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</si>
  <si>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</si>
  <si>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</si>
  <si>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</si>
  <si>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</si>
  <si>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</si>
  <si>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</si>
  <si>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</si>
  <si>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</si>
  <si>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</si>
  <si>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</si>
  <si>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</si>
  <si>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</si>
  <si>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</si>
  <si>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</si>
  <si>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</si>
  <si>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</si>
  <si>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</si>
  <si>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</si>
  <si>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</si>
  <si>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</si>
  <si>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</si>
  <si>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</si>
  <si>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</si>
  <si>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</si>
  <si>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</si>
  <si>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</si>
  <si>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</si>
  <si>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</si>
  <si>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</si>
  <si>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</si>
  <si>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</si>
  <si>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</si>
  <si>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</si>
  <si>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</si>
  <si>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</si>
  <si>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</si>
  <si>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</si>
  <si>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</si>
  <si>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</si>
  <si>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</si>
  <si>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</si>
  <si>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</si>
  <si>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</si>
  <si>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</si>
  <si>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</si>
  <si>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</si>
  <si>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</si>
  <si>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</si>
  <si>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</si>
  <si>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</si>
  <si>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</si>
  <si>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</si>
  <si>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</si>
  <si>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</si>
  <si>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</si>
  <si>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</si>
  <si>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</si>
  <si>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</si>
  <si>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</si>
  <si>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</si>
  <si>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</si>
  <si>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</si>
  <si>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</si>
  <si>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</si>
  <si>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</si>
  <si>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</si>
  <si>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</si>
  <si>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</si>
  <si>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</si>
  <si>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</si>
  <si>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</si>
  <si>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</si>
  <si>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</si>
  <si>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</si>
  <si>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</si>
  <si>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</si>
  <si>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</si>
  <si>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</si>
  <si>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</si>
  <si>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</si>
  <si>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</si>
  <si>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</si>
  <si>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</si>
  <si>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</si>
  <si>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</si>
  <si>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</si>
  <si>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</si>
  <si>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</si>
  <si>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</si>
  <si>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</si>
  <si>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</si>
  <si>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</si>
  <si>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</si>
  <si>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</si>
  <si>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</si>
  <si>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</si>
  <si>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</si>
  <si>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</si>
  <si>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</si>
  <si>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</si>
  <si>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</si>
  <si>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</si>
  <si>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</si>
  <si>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</si>
  <si>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</si>
  <si>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</si>
  <si>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</si>
  <si>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</si>
  <si>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</si>
  <si>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</si>
  <si>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</si>
  <si>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</si>
  <si>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</si>
  <si>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</si>
  <si>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</si>
  <si>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</si>
  <si>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</si>
  <si>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</si>
  <si>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</si>
  <si>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</si>
  <si>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</si>
  <si>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</si>
  <si>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</si>
  <si>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</si>
  <si>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</si>
  <si>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</si>
  <si>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</si>
  <si>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</si>
  <si>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</si>
  <si>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</si>
  <si>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</si>
  <si>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</si>
  <si>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</si>
  <si>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</si>
  <si>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</si>
  <si>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</si>
  <si>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</si>
  <si>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</si>
  <si>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</si>
  <si>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</si>
  <si>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</si>
  <si>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</si>
  <si>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</si>
  <si>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</si>
  <si>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</si>
  <si>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</si>
  <si>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</si>
  <si>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</si>
  <si>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</si>
  <si>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</si>
  <si>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</si>
  <si>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</si>
  <si>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</si>
  <si>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</si>
  <si>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</si>
  <si>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</si>
  <si>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</si>
  <si>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</si>
  <si>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</si>
  <si>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</si>
  <si>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</si>
  <si>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</si>
  <si>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</si>
  <si>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</si>
  <si>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</si>
  <si>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</si>
  <si>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</si>
  <si>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</si>
  <si>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</si>
  <si>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</si>
  <si>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</si>
  <si>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</si>
  <si>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</si>
  <si>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</si>
  <si>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</si>
  <si>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</si>
  <si>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</si>
  <si>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</si>
  <si>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</si>
  <si>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</si>
  <si>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</si>
  <si>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</si>
  <si>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</si>
  <si>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</si>
  <si>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</si>
  <si>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</si>
  <si>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</si>
  <si>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</si>
  <si>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</si>
  <si>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</si>
  <si>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</si>
  <si>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</si>
  <si>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</si>
  <si>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</si>
  <si>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</si>
  <si>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</si>
  <si>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</si>
  <si>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</si>
  <si>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</si>
  <si>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</si>
  <si>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</si>
  <si>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</si>
  <si>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</si>
  <si>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</si>
  <si>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</si>
  <si>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</si>
  <si>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</si>
  <si>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</si>
  <si>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</si>
  <si>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</si>
  <si>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</si>
  <si>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</si>
  <si>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</si>
  <si>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</si>
  <si>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</si>
  <si>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</si>
  <si>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</si>
  <si>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</si>
  <si>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</si>
  <si>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</si>
  <si>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</si>
  <si>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</si>
  <si>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</si>
  <si>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</si>
  <si>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</si>
  <si>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</si>
  <si>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</si>
  <si>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</si>
  <si>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</si>
  <si>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</si>
  <si>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</si>
  <si>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</si>
  <si>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</si>
  <si>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</si>
  <si>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</si>
  <si>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</si>
  <si>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</si>
  <si>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</si>
  <si>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</si>
  <si>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</si>
  <si>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</si>
  <si>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</si>
  <si>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</si>
  <si>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</si>
  <si>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</si>
  <si>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</si>
  <si>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</si>
  <si>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</si>
  <si>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</si>
  <si>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</si>
  <si>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</si>
  <si>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</si>
  <si>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</si>
  <si>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</si>
  <si>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</si>
  <si>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</si>
  <si>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</si>
  <si>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</si>
  <si>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</si>
  <si>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</si>
  <si>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</si>
  <si>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</si>
  <si>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</si>
  <si>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</si>
  <si>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</si>
  <si>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</si>
  <si>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</si>
  <si>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</si>
  <si>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</si>
  <si>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</si>
  <si>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</si>
  <si>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</si>
  <si>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</si>
  <si>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</si>
  <si>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</si>
  <si>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</si>
  <si>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</si>
  <si>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</si>
  <si>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</si>
  <si>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</si>
  <si>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</si>
  <si>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</si>
  <si>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</si>
  <si>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</si>
  <si>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</si>
  <si>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</si>
  <si>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</si>
  <si>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</si>
  <si>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</si>
  <si>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</si>
  <si>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</si>
  <si>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</si>
  <si>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</si>
  <si>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</si>
  <si>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</si>
  <si>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</si>
  <si>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</si>
  <si>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</si>
  <si>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</si>
  <si>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</si>
  <si>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</si>
  <si>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</si>
  <si>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</si>
  <si>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</si>
  <si>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</si>
  <si>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</si>
  <si>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</si>
  <si>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</si>
  <si>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</si>
  <si>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</si>
  <si>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</si>
  <si>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</si>
  <si>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</si>
  <si>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</si>
  <si>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</si>
  <si>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</si>
  <si>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</si>
  <si>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</si>
  <si>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</si>
  <si>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</si>
  <si>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</si>
  <si>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</si>
  <si>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</si>
  <si>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</si>
  <si>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</si>
  <si>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</si>
  <si>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</si>
  <si>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</si>
  <si>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</si>
  <si>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</si>
  <si>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</si>
  <si>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</si>
  <si>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</si>
  <si>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</si>
  <si>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</si>
  <si>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</si>
  <si>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</si>
  <si>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</si>
  <si>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</si>
  <si>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</si>
  <si>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</si>
  <si>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</si>
  <si>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</si>
  <si>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</si>
  <si>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</si>
  <si>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</si>
  <si>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</si>
  <si>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</si>
  <si>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</si>
  <si>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</si>
  <si>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</si>
  <si>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</si>
  <si>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</si>
  <si>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</si>
  <si>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</si>
  <si>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</si>
  <si>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</si>
  <si>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</si>
  <si>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</si>
  <si>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</si>
  <si>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</si>
  <si>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</si>
  <si>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</si>
  <si>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</si>
  <si>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</si>
  <si>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</si>
  <si>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</si>
  <si>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</si>
  <si>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</si>
  <si>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</si>
  <si>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</si>
  <si>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</si>
  <si>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</si>
  <si>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</si>
  <si>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</si>
  <si>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</si>
  <si>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</si>
  <si>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</si>
  <si>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</si>
  <si>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</si>
  <si>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</si>
  <si>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</si>
  <si>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</si>
  <si>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</si>
  <si>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</si>
  <si>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</si>
  <si>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</si>
  <si>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</si>
  <si>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</si>
  <si>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</si>
  <si>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</si>
  <si>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</si>
  <si>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</si>
  <si>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</si>
  <si>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</si>
  <si>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</si>
  <si>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</si>
  <si>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</si>
  <si>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</si>
  <si>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</si>
  <si>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</si>
  <si>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</si>
  <si>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</si>
  <si>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</si>
  <si>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</si>
  <si>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</si>
  <si>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</si>
  <si>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</si>
  <si>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</si>
  <si>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</si>
  <si>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</si>
  <si>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</si>
  <si>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</si>
  <si>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</si>
  <si>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</si>
  <si>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</si>
  <si>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</si>
  <si>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</si>
  <si>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</si>
  <si>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</si>
  <si>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</si>
  <si>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</si>
  <si>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</si>
  <si>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</si>
  <si>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</si>
  <si>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</si>
  <si>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</si>
  <si>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</si>
  <si>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</si>
  <si>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</si>
  <si>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</si>
  <si>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</si>
  <si>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</si>
  <si>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</si>
  <si>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</si>
  <si>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</si>
  <si>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</si>
  <si>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</si>
  <si>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</si>
  <si>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</si>
  <si>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</si>
  <si>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</si>
  <si>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</si>
  <si>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</si>
  <si>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</si>
  <si>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</si>
  <si>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</si>
  <si>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</si>
  <si>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</si>
  <si>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</si>
  <si>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</si>
  <si>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</si>
  <si>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</si>
  <si>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</si>
  <si>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</si>
  <si>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</si>
  <si>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</si>
  <si>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</si>
  <si>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</si>
  <si>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</si>
  <si>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</si>
  <si>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</si>
  <si>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</si>
  <si>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</si>
  <si>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</si>
  <si>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</si>
  <si>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</si>
  <si>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</si>
  <si>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</si>
  <si>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</si>
  <si>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</si>
  <si>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</si>
  <si>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</si>
  <si>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</si>
  <si>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</si>
  <si>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</si>
  <si>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</si>
  <si>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</si>
  <si>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</si>
  <si>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</si>
  <si>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</si>
  <si>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</si>
  <si>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</si>
  <si>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</si>
  <si>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</si>
  <si>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</si>
  <si>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</si>
  <si>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</si>
  <si>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</si>
  <si>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</si>
  <si>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</si>
  <si>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</si>
  <si>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</si>
  <si>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</si>
  <si>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</si>
  <si>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</si>
  <si>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</si>
  <si>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</si>
  <si>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</si>
  <si>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</si>
  <si>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</si>
  <si>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</si>
  <si>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</si>
  <si>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</si>
  <si>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</si>
  <si>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</si>
  <si>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</si>
  <si>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</si>
  <si>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</si>
  <si>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</si>
  <si>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</si>
  <si>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</si>
  <si>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</si>
  <si>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</si>
  <si>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</si>
  <si>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</si>
  <si>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</si>
  <si>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</si>
  <si>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</si>
  <si>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</si>
  <si>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</si>
  <si>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</si>
  <si>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</si>
  <si>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</si>
  <si>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</si>
  <si>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</si>
  <si>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</si>
  <si>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</si>
  <si>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</si>
  <si>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</si>
  <si>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</si>
  <si>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</si>
  <si>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</si>
  <si>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</si>
  <si>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</si>
  <si>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</si>
  <si>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</si>
  <si>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</si>
  <si>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</si>
  <si>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</si>
  <si>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</si>
  <si>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</si>
  <si>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</si>
  <si>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</si>
  <si>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</si>
  <si>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</si>
  <si>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</si>
  <si>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</si>
  <si>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</si>
  <si>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</si>
  <si>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</si>
  <si>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</si>
  <si>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</si>
  <si>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</si>
  <si>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</si>
  <si>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</si>
  <si>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</si>
  <si>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</si>
  <si>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</si>
  <si>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</si>
  <si>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</si>
  <si>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</si>
  <si>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</si>
  <si>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</si>
  <si>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</si>
  <si>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</si>
  <si>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</si>
  <si>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</si>
  <si>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</si>
  <si>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</si>
  <si>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</si>
  <si>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</si>
  <si>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</si>
  <si>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</si>
  <si>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</si>
  <si>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</si>
  <si>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</si>
  <si>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</si>
  <si>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</si>
  <si>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</si>
  <si>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</si>
  <si>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</si>
  <si>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</si>
  <si>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</si>
  <si>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</si>
  <si>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</si>
  <si>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</si>
  <si>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</si>
  <si>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</si>
  <si>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</si>
  <si>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</si>
  <si>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</si>
  <si>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</si>
  <si>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</si>
  <si>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</si>
  <si>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</si>
  <si>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</si>
  <si>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</si>
  <si>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</si>
  <si>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</si>
  <si>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</si>
  <si>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</si>
  <si>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</si>
  <si>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</si>
  <si>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</si>
  <si>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</si>
  <si>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</si>
  <si>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</si>
  <si>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</si>
  <si>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</si>
  <si>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</si>
  <si>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</si>
  <si>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</si>
  <si>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</si>
  <si>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</si>
  <si>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</si>
  <si>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</si>
  <si>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</si>
  <si>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</si>
  <si>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</si>
  <si>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</si>
  <si>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</si>
  <si>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</si>
  <si>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</si>
  <si>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</si>
  <si>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</si>
  <si>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</si>
  <si>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</si>
  <si>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</si>
  <si>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</si>
  <si>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</si>
  <si>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</si>
  <si>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</si>
  <si>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</si>
  <si>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</si>
  <si>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</si>
  <si>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</si>
  <si>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</si>
  <si>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</si>
  <si>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</si>
  <si>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</si>
  <si>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</si>
  <si>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</si>
  <si>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</si>
  <si>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</si>
  <si>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</si>
  <si>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</si>
  <si>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</si>
  <si>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</si>
  <si>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</si>
  <si>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</si>
  <si>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</si>
  <si>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</si>
  <si>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</si>
  <si>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</si>
  <si>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</si>
  <si>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</si>
  <si>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</si>
  <si>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</si>
  <si>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</si>
  <si>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</si>
  <si>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</si>
  <si>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</si>
  <si>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</si>
  <si>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</si>
  <si>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</si>
  <si>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</si>
  <si>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</si>
  <si>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</si>
  <si>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</si>
  <si>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</si>
  <si>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</si>
  <si>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</si>
  <si>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</si>
  <si>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</si>
  <si>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</si>
  <si>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</si>
  <si>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</si>
  <si>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</si>
  <si>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</si>
  <si>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</si>
  <si>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</si>
  <si>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</si>
  <si>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</si>
  <si>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</si>
  <si>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</si>
  <si>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</si>
  <si>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</si>
  <si>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</si>
  <si>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</si>
  <si>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</si>
  <si>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</si>
  <si>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</si>
  <si>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</si>
  <si>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</si>
  <si>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</si>
  <si>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</si>
  <si>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</si>
  <si>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</si>
  <si>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</si>
  <si>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</si>
  <si>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</si>
  <si>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</si>
  <si>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</si>
  <si>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</si>
  <si>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</si>
  <si>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</si>
  <si>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</si>
  <si>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</si>
  <si>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</si>
  <si>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</si>
  <si>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</si>
  <si>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</si>
  <si>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</si>
  <si>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</si>
  <si>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</si>
  <si>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</si>
  <si>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</si>
  <si>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</si>
  <si>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</si>
  <si>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</si>
  <si>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</si>
  <si>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</si>
  <si>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</si>
  <si>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</si>
  <si>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</si>
  <si>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</si>
  <si>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</si>
  <si>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</si>
  <si>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</si>
  <si>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</si>
  <si>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</si>
  <si>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</si>
  <si>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</si>
  <si>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</si>
  <si>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</si>
  <si>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</si>
  <si>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</si>
  <si>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</si>
  <si>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</si>
  <si>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</si>
  <si>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</si>
  <si>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</si>
  <si>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</si>
  <si>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</si>
  <si>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</si>
  <si>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</si>
  <si>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</si>
  <si>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</si>
  <si>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</si>
  <si>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</si>
  <si>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</si>
  <si>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</si>
  <si>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</si>
  <si>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</si>
  <si>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</si>
  <si>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</si>
  <si>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</si>
  <si>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</si>
  <si>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</si>
  <si>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</si>
  <si>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</si>
  <si>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</si>
  <si>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</si>
  <si>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</si>
  <si>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</si>
  <si>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</si>
  <si>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</si>
  <si>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</si>
  <si>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</si>
  <si>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</si>
  <si>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</si>
  <si>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</si>
  <si>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</si>
  <si>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</si>
  <si>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</si>
  <si>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</si>
  <si>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</si>
  <si>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</si>
  <si>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</si>
  <si>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</si>
  <si>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</si>
  <si>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</si>
  <si>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</si>
  <si>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</si>
  <si>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</si>
  <si>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</si>
  <si>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</si>
  <si>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</si>
  <si>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</si>
  <si>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</si>
  <si>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</si>
  <si>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</si>
  <si>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</si>
  <si>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</si>
  <si>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</si>
  <si>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</si>
  <si>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</si>
  <si>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</si>
  <si>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</si>
  <si>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</si>
  <si>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</si>
  <si>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</si>
  <si>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</si>
  <si>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</si>
  <si>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</si>
  <si>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</si>
  <si>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</si>
  <si>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</si>
  <si>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</si>
  <si>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</si>
  <si>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</si>
  <si>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</si>
  <si>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</si>
  <si>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</si>
  <si>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</si>
  <si>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</si>
  <si>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</si>
  <si>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</si>
  <si>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</si>
  <si>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</si>
  <si>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</si>
  <si>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</si>
  <si>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</si>
  <si>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</si>
  <si>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</si>
  <si>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</si>
  <si>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</si>
  <si>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</si>
  <si>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</si>
  <si>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</si>
  <si>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</si>
  <si>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</si>
  <si>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</si>
  <si>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</si>
  <si>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</si>
  <si>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</si>
  <si>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</si>
  <si>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</si>
  <si>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</si>
  <si>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</si>
  <si>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</si>
  <si>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</si>
  <si>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</si>
  <si>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</si>
  <si>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</si>
  <si>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</si>
  <si>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</si>
  <si>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</si>
  <si>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</si>
  <si>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</si>
  <si>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</si>
  <si>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</si>
  <si>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</si>
  <si>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</si>
  <si>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</si>
  <si>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</si>
  <si>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</si>
  <si>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</si>
  <si>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</si>
  <si>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</si>
  <si>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</si>
  <si>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</si>
  <si>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</si>
  <si>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</si>
  <si>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</si>
  <si>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</si>
  <si>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</si>
  <si>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</si>
  <si>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</si>
  <si>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</si>
  <si>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</si>
  <si>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</si>
  <si>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</si>
  <si>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</si>
  <si>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</si>
  <si>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</si>
  <si>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</si>
  <si>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</si>
  <si>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</si>
  <si>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</si>
  <si>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</si>
  <si>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</si>
  <si>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</si>
  <si>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</si>
  <si>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</si>
  <si>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</si>
  <si>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</si>
  <si>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</si>
  <si>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</si>
  <si>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</si>
  <si>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</si>
  <si>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</si>
  <si>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</si>
  <si>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</si>
  <si>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</si>
  <si>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</si>
  <si>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</si>
  <si>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</si>
  <si>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</si>
  <si>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</si>
  <si>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</si>
  <si>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</si>
  <si>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</si>
  <si>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</si>
  <si>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</si>
  <si>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</si>
  <si>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</si>
  <si>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</si>
  <si>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</si>
  <si>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</si>
  <si>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</si>
  <si>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</si>
  <si>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</si>
  <si>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</si>
  <si>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</si>
  <si>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</si>
  <si>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</si>
  <si>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</si>
  <si>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</si>
  <si>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</si>
  <si>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</si>
  <si>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</si>
  <si>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</si>
  <si>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</si>
  <si>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</si>
  <si>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</si>
  <si>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</si>
  <si>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</si>
  <si>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</si>
  <si>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</si>
  <si>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</si>
  <si>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</si>
  <si>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</si>
  <si>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</si>
  <si>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</si>
  <si>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</si>
  <si>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</si>
  <si>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</si>
  <si>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</si>
  <si>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</si>
  <si>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</si>
  <si>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</si>
  <si>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</si>
  <si>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</si>
  <si>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</si>
  <si>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</si>
  <si>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</si>
  <si>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</si>
  <si>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</si>
  <si>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</si>
  <si>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</si>
  <si>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</si>
  <si>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</si>
  <si>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</si>
  <si>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</si>
  <si>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</si>
  <si>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</si>
  <si>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</si>
  <si>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</si>
  <si>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</si>
  <si>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</si>
  <si>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</si>
  <si>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</si>
  <si>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</si>
  <si>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</si>
  <si>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</si>
  <si>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</si>
  <si>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</si>
  <si>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</si>
  <si>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</si>
  <si>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</si>
  <si>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</si>
  <si>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</si>
  <si>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</si>
  <si>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</si>
  <si>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</si>
  <si>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</si>
  <si>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</si>
  <si>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</si>
  <si>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</si>
  <si>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</si>
  <si>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</si>
  <si>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</si>
  <si>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</si>
  <si>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</si>
  <si>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</si>
  <si>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</si>
  <si>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</si>
  <si>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</si>
  <si>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</si>
  <si>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</si>
  <si>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</si>
  <si>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</si>
  <si>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</si>
  <si>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</si>
  <si>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</si>
  <si>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</si>
  <si>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</si>
  <si>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</si>
  <si>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</si>
  <si>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</si>
  <si>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</si>
  <si>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</si>
  <si>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</si>
  <si>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</si>
  <si>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</si>
  <si>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</si>
  <si>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</si>
  <si>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</si>
  <si>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</si>
  <si>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</si>
  <si>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</si>
  <si>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</si>
  <si>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</si>
  <si>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</si>
  <si>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</si>
  <si>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</si>
  <si>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</si>
  <si>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</si>
  <si>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</si>
  <si>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</si>
  <si>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</si>
  <si>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</si>
  <si>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</si>
  <si>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</si>
  <si>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</si>
  <si>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</si>
  <si>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</si>
  <si>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</si>
  <si>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</si>
  <si>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</si>
  <si>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</si>
  <si>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</si>
  <si>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</si>
  <si>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</si>
  <si>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</si>
  <si>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</si>
  <si>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</si>
  <si>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</si>
  <si>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</si>
  <si>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</si>
  <si>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</si>
  <si>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</si>
  <si>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</si>
  <si>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</si>
  <si>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</si>
  <si>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</si>
  <si>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</si>
  <si>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</si>
  <si>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</si>
  <si>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</si>
  <si>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</si>
  <si>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</si>
  <si>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</si>
  <si>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</si>
  <si>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</si>
  <si>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</si>
  <si>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</si>
  <si>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</si>
  <si>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</si>
  <si>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</si>
  <si>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</si>
  <si>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</si>
  <si>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</si>
  <si>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</si>
  <si>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</si>
  <si>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</si>
  <si>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</si>
  <si>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</si>
  <si>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</si>
  <si>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</si>
  <si>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</si>
  <si>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</si>
  <si>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</si>
  <si>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</si>
  <si>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</si>
  <si>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</si>
  <si>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</si>
  <si>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</si>
  <si>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</si>
  <si>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</si>
  <si>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</si>
  <si>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</si>
  <si>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</si>
  <si>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</si>
  <si>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</si>
  <si>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</si>
  <si>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</si>
  <si>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</si>
  <si>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</si>
  <si>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</si>
  <si>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</si>
  <si>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</si>
  <si>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</si>
  <si>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</si>
  <si>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</si>
  <si>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</si>
  <si>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</si>
  <si>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</si>
  <si>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</si>
  <si>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</si>
  <si>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</si>
  <si>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</si>
  <si>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</si>
  <si>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</si>
  <si>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</si>
  <si>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</si>
  <si>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</si>
  <si>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</si>
  <si>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</si>
  <si>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</si>
  <si>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</si>
  <si>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</si>
  <si>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</si>
  <si>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</si>
  <si>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</si>
  <si>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</si>
  <si>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</si>
  <si>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</si>
  <si>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</si>
  <si>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</si>
  <si>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</si>
  <si>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</si>
  <si>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</si>
  <si>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</si>
  <si>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</si>
  <si>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</si>
  <si>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</si>
  <si>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</si>
  <si>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</si>
  <si>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</si>
  <si>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</si>
  <si>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</si>
  <si>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</si>
  <si>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</si>
  <si>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</si>
  <si>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</si>
  <si>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</si>
  <si>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</si>
  <si>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</si>
  <si>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</si>
  <si>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</si>
  <si>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</si>
  <si>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</si>
  <si>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</si>
  <si>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</si>
  <si>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</si>
  <si>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</si>
  <si>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</si>
  <si>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</si>
  <si>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</si>
  <si>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</si>
  <si>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</si>
  <si>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</si>
  <si>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</si>
  <si>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</si>
  <si>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</si>
  <si>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</si>
  <si>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</si>
  <si>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</si>
  <si>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</si>
  <si>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</si>
  <si>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</si>
  <si>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</si>
  <si>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</si>
  <si>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</si>
  <si>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</si>
  <si>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</si>
  <si>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</si>
  <si>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</si>
  <si>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</si>
  <si>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</si>
  <si>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</si>
  <si>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</si>
  <si>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</si>
  <si>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</si>
  <si>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</si>
  <si>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</si>
  <si>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</si>
  <si>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</si>
  <si>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</si>
  <si>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</si>
  <si>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</si>
  <si>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</si>
  <si>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</si>
  <si>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</si>
  <si>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</si>
  <si>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</si>
  <si>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</si>
  <si>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</si>
  <si>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</si>
  <si>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</si>
  <si>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</si>
  <si>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</si>
  <si>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</si>
  <si>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</si>
  <si>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</si>
  <si>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</si>
  <si>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</si>
  <si>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</si>
  <si>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</si>
  <si>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</si>
  <si>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</si>
  <si>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</si>
  <si>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</si>
  <si>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</si>
  <si>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</si>
  <si>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</si>
  <si>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</si>
  <si>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</si>
  <si>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</si>
  <si>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</si>
  <si>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</si>
  <si>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</si>
  <si>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</si>
  <si>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</si>
  <si>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</si>
  <si>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</si>
  <si>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</si>
  <si>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</si>
  <si>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</si>
  <si>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</si>
  <si>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</si>
  <si>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</si>
  <si>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</si>
  <si>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</si>
  <si>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</si>
  <si>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</si>
  <si>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</si>
  <si>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</si>
  <si>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</si>
  <si>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</si>
  <si>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</si>
  <si>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</si>
  <si>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</si>
  <si>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</si>
  <si>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</si>
  <si>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</si>
  <si>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</si>
  <si>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</si>
  <si>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</si>
  <si>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</si>
  <si>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</si>
  <si>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</si>
  <si>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</si>
  <si>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</si>
  <si>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</si>
  <si>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</si>
  <si>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</si>
  <si>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</si>
  <si>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</si>
  <si>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</si>
  <si>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</si>
  <si>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</si>
  <si>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</si>
  <si>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</si>
  <si>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</si>
  <si>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</si>
  <si>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</si>
  <si>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</si>
  <si>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</si>
  <si>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</si>
  <si>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</si>
  <si>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</si>
  <si>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</si>
  <si>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</si>
  <si>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</si>
  <si>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</si>
  <si>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</si>
  <si>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</si>
  <si>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</si>
  <si>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</si>
  <si>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</si>
  <si>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</si>
  <si>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</si>
  <si>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</si>
  <si>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</si>
  <si>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</si>
  <si>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</si>
  <si>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</si>
  <si>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</si>
  <si>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</si>
  <si>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</si>
  <si>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</si>
  <si>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</si>
  <si>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</si>
  <si>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</si>
  <si>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</si>
  <si>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</si>
  <si>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</si>
  <si>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</si>
  <si>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</si>
  <si>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</si>
  <si>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</si>
  <si>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</si>
  <si>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</si>
  <si>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</si>
  <si>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</si>
  <si>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</si>
  <si>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</si>
  <si>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</si>
  <si>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</si>
  <si>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</si>
  <si>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</si>
  <si>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</si>
  <si>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</si>
  <si>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</si>
  <si>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</si>
  <si>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</si>
  <si>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</si>
  <si>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</si>
  <si>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</si>
  <si>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</si>
  <si>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</si>
  <si>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</si>
  <si>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</si>
  <si>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</si>
  <si>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</si>
  <si>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</si>
  <si>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</si>
  <si>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</si>
  <si>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</si>
  <si>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</si>
  <si>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</si>
  <si>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</si>
  <si>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</si>
  <si>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</si>
  <si>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</si>
  <si>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</si>
  <si>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</si>
  <si>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</si>
  <si>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</si>
  <si>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</si>
  <si>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</si>
  <si>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</si>
  <si>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</si>
  <si>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</si>
  <si>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</si>
  <si>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</si>
  <si>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</si>
  <si>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</si>
  <si>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</si>
  <si>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</si>
  <si>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</si>
  <si>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</si>
  <si>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</si>
  <si>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</si>
  <si>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</si>
  <si>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</si>
  <si>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</si>
  <si>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</si>
  <si>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</si>
  <si>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</si>
  <si>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</si>
  <si>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</si>
  <si>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</si>
  <si>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</si>
  <si>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</si>
  <si>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</si>
  <si>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</si>
  <si>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</si>
  <si>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</si>
  <si>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</si>
  <si>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</si>
  <si>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</si>
  <si>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</si>
  <si>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</si>
  <si>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</si>
  <si>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</si>
  <si>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</si>
  <si>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</si>
  <si>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</si>
  <si>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</si>
  <si>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</si>
  <si>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</si>
  <si>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</si>
  <si>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</si>
  <si>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</si>
  <si>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</si>
  <si>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</si>
  <si>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</si>
  <si>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</si>
  <si>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</si>
  <si>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</si>
  <si>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</si>
  <si>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</si>
  <si>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</si>
  <si>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</si>
  <si>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</si>
  <si>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</si>
  <si>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</si>
  <si>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</si>
  <si>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</si>
  <si>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</si>
  <si>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</si>
  <si>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</si>
  <si>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</si>
  <si>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</si>
  <si>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</si>
  <si>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</si>
  <si>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</si>
  <si>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</si>
  <si>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</si>
  <si>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</si>
  <si>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</si>
  <si>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</si>
  <si>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</si>
  <si>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</si>
  <si>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</si>
  <si>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</si>
  <si>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</si>
  <si>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</si>
  <si>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</si>
  <si>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</si>
  <si>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</si>
  <si>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</si>
  <si>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</si>
  <si>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</si>
  <si>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</si>
  <si>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</si>
  <si>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</si>
  <si>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</si>
  <si>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</si>
  <si>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</si>
  <si>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</si>
  <si>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</si>
  <si>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</si>
  <si>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</si>
  <si>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</si>
  <si>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</si>
  <si>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</si>
  <si>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</si>
  <si>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</si>
  <si>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</si>
  <si>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</si>
  <si>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</si>
  <si>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</si>
  <si>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</si>
  <si>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</si>
  <si>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</si>
  <si>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</si>
  <si>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</si>
  <si>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</si>
  <si>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</si>
  <si>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</si>
  <si>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</si>
  <si>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</si>
  <si>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</si>
  <si>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</si>
  <si>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</si>
  <si>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</si>
  <si>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</si>
  <si>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</si>
  <si>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</si>
  <si>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</si>
  <si>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</si>
  <si>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</si>
  <si>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</si>
  <si>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</si>
  <si>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</si>
  <si>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</si>
  <si>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</si>
  <si>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</si>
  <si>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</si>
  <si>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</si>
  <si>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</si>
  <si>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</si>
  <si>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</si>
  <si>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</si>
  <si>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</si>
  <si>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</si>
  <si>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</si>
  <si>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</si>
  <si>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</si>
  <si>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</si>
  <si>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</si>
  <si>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</si>
  <si>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</si>
  <si>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</si>
  <si>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</si>
  <si>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</si>
  <si>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</si>
  <si>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</si>
  <si>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</si>
  <si>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</si>
  <si>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</si>
  <si>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</si>
  <si>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</si>
  <si>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</si>
  <si>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</si>
  <si>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</si>
  <si>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</si>
  <si>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</si>
  <si>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</si>
  <si>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</si>
  <si>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</si>
  <si>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</si>
  <si>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</si>
  <si>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</si>
  <si>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</si>
  <si>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</si>
  <si>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</si>
  <si>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</si>
  <si>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</si>
  <si>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</si>
  <si>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</si>
  <si>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</si>
  <si>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</si>
  <si>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</si>
  <si>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</si>
  <si>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</si>
  <si>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</si>
  <si>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</si>
  <si>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</si>
  <si>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</si>
  <si>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</si>
  <si>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</si>
  <si>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</si>
  <si>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</si>
  <si>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</si>
  <si>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</si>
  <si>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</si>
  <si>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</si>
  <si>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</si>
  <si>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</si>
  <si>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</si>
  <si>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</si>
  <si>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</si>
  <si>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</si>
  <si>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</si>
  <si>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</si>
  <si>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</si>
  <si>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</si>
  <si>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</si>
  <si>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</si>
  <si>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</si>
  <si>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</si>
  <si>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</si>
  <si>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</si>
  <si>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</si>
  <si>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</si>
  <si>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</si>
  <si>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</si>
  <si>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</si>
  <si>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</si>
  <si>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</si>
  <si>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</si>
  <si>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</si>
  <si>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</si>
  <si>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</si>
  <si>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</si>
  <si>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</si>
  <si>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</si>
  <si>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</si>
  <si>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</si>
  <si>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</si>
  <si>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</si>
  <si>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</si>
  <si>
    <t>800-502067-01A</t>
  </si>
  <si>
    <t>P98304372</t>
  </si>
  <si>
    <t>800-503296-01A</t>
  </si>
  <si>
    <t>14035-C4</t>
  </si>
  <si>
    <t>800-503286-01A</t>
  </si>
  <si>
    <t>IMSD-0400-DC0.80</t>
  </si>
  <si>
    <t>FMD DRILL</t>
  </si>
  <si>
    <t>800-503287-01A</t>
  </si>
  <si>
    <t>IMSD-0150-DC0.30</t>
  </si>
  <si>
    <t>800-503288-01A</t>
  </si>
  <si>
    <t>IMSD-0450-DC0.90</t>
  </si>
  <si>
    <t>800-503281-01A</t>
  </si>
  <si>
    <t>QFD-0150-C1.80</t>
  </si>
  <si>
    <t>0.0059" Dia x .071 LOC - 2FLT CD x 120 Deg</t>
  </si>
  <si>
    <t>800-503289-01A</t>
  </si>
  <si>
    <t>GMSD-0370-DC2.20</t>
  </si>
  <si>
    <t>800-503280-01A</t>
  </si>
  <si>
    <t>QFD-0210-DC2.5</t>
  </si>
  <si>
    <t>0.0083" Dia x .098 LOC - 2FLT CD x 120 Deg</t>
  </si>
  <si>
    <t>800-503284-01A</t>
  </si>
  <si>
    <t>CQFD-5500-DC3.00</t>
  </si>
  <si>
    <t>800-503283-01A</t>
  </si>
  <si>
    <t>QFD-0270-DC3.2</t>
  </si>
  <si>
    <t>0.0106" Dia x .126 LOC - 2FLT CD x 120 Deg</t>
  </si>
  <si>
    <t>800-503282-01A</t>
  </si>
  <si>
    <t>QFD-0290-DC3.5</t>
  </si>
  <si>
    <t>0.0114" Dia x .138 LOC - 2FLT CD x 120 Deg</t>
  </si>
  <si>
    <t>800-503279-01A</t>
  </si>
  <si>
    <t>QFD-0420-DC5.0</t>
  </si>
  <si>
    <t>800-503277-01A</t>
  </si>
  <si>
    <t>QFD-0470-DC5.6</t>
  </si>
  <si>
    <t>L: x = 0.001600, y = 0.002950</t>
  </si>
  <si>
    <t>L: x = 0.074200, y = 0.002950</t>
  </si>
  <si>
    <t>L: x = 0.122300, y = 0.015500</t>
  </si>
  <si>
    <t>L: x = 0.353000, y = 0.015500</t>
  </si>
  <si>
    <t>L: x = 0.525000, y = 0.062500</t>
  </si>
  <si>
    <t>L: x = 0.102700, y = 0.004150</t>
  </si>
  <si>
    <t>L: x = 0.148600, y = 0.015500</t>
  </si>
  <si>
    <t>L: x = 0.002700, y = 0.005300</t>
  </si>
  <si>
    <t>L: x = 0.129000, y = 0.005300</t>
  </si>
  <si>
    <t>L: x = 0.170000, y = 0.015500</t>
  </si>
  <si>
    <t>L: x = 0.002500, y = 0.005700</t>
  </si>
  <si>
    <t>L: x = 0.160000, y = 0.005700</t>
  </si>
  <si>
    <t>L: x = 0.200000, y = 0.015500</t>
  </si>
  <si>
    <t>800-501577-04A</t>
  </si>
  <si>
    <t>SNG0625</t>
  </si>
  <si>
    <t>4.0000" Dia x 0.1840 LOC - Double Saw</t>
  </si>
  <si>
    <t>Slitting Saw</t>
  </si>
  <si>
    <t>L: x = 0.000000, y = 2.000000</t>
  </si>
  <si>
    <t>L: x = 0.062500, y = 2.000000</t>
  </si>
  <si>
    <t>L: x = 0.062500, y = 0.740000</t>
  </si>
  <si>
    <t>L: x = 0.122000, y = 0.740000</t>
  </si>
  <si>
    <t>L: x = 0.122000, y = 2.000000</t>
  </si>
  <si>
    <t>L: x = 0.184000, y = 2.000000</t>
  </si>
  <si>
    <t>L: x = 0.184000, y = 0.740000</t>
  </si>
  <si>
    <t>L: x = 1.400000, y = 0.740000</t>
  </si>
  <si>
    <t>L: x = 1.400000, y = 0.500000</t>
  </si>
  <si>
    <t>L: x = 4.455000, y = 0.500000</t>
  </si>
  <si>
    <t>L: x = 4.455000, y = 0.000000</t>
  </si>
  <si>
    <t>HSK63-ER20x75_60MM_Brush</t>
  </si>
  <si>
    <t>L: x = 0.000000, y = 1.279550</t>
  </si>
  <si>
    <t>L: x = 4.017000, y = 1.279550</t>
  </si>
  <si>
    <t>L: x = 4.017000, y = 0.571000</t>
  </si>
  <si>
    <t>L: x = 4.167000, y = 0.571000</t>
  </si>
  <si>
    <t>L: x = 4.507000, y = 0.434000</t>
  </si>
  <si>
    <t>L: x = 4.507000, y = 0.551181</t>
  </si>
  <si>
    <t>L: x = 4.571781, y = 0.663386</t>
  </si>
  <si>
    <t>L: x = 5.255031, y = 0.663386</t>
  </si>
  <si>
    <t>L: x = 5.255031, y = 0.492126</t>
  </si>
  <si>
    <t>L: x = 5.747157, y = 0.492126</t>
  </si>
  <si>
    <t>L: x = 5.747157, y = 0.669291</t>
  </si>
  <si>
    <t>L: x = 6.436134, y = 0.669291</t>
  </si>
  <si>
    <t>L: x = 6.436134, y = 1.240157</t>
  </si>
  <si>
    <t>L: x = 7.459756, y = 1.240157</t>
  </si>
  <si>
    <t>L: x = 7.459756, y = 0.000000</t>
  </si>
  <si>
    <t>NEdges = 15</t>
  </si>
  <si>
    <t>Xebec Brush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</si>
  <si>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</si>
  <si>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</si>
  <si>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</si>
  <si>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</si>
  <si>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</si>
  <si>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</si>
  <si>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</si>
  <si>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</si>
  <si>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</si>
  <si>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</si>
  <si>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</si>
  <si>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800-503299-01A</t>
  </si>
  <si>
    <t>800-503294-01A</t>
  </si>
  <si>
    <t>RSB0770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</si>
</sst>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95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  <xf numFmtId="49" fontId="16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 vertical="center"/>
    </xf>
    <xf numFmtId="164" fontId="22" fillId="0" borderId="0" xfId="0" applyNumberFormat="1" applyFont="1"/>
    <xf numFmtId="165" fontId="22" fillId="0" borderId="0" xfId="0" applyNumberFormat="1" applyFont="1"/>
    <xf numFmtId="0" fontId="18" fillId="0" borderId="0" xfId="0" applyFont="1" applyFill="1" applyBorder="1"/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CF1502" totalsRowShown="0">
  <autoFilter ref="A1:CF1502" xr:uid="{00000000-0009-0000-0100-000002000000}"/>
  <sortState ref="A2:CF1404">
    <sortCondition ref="E1:E1404"/>
  </sortState>
  <tableColumns count="84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21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20"/>
    <tableColumn id="67" xr3:uid="{6C7363B5-23B1-4863-9E09-780902EF62D4}" name="T" dataDxfId="19"/>
    <tableColumn id="68" xr3:uid="{A0BB1658-9851-48AA-AD38-45191D934830}" name="U" dataDxfId="18"/>
    <tableColumn id="69" xr3:uid="{6262ACA9-9430-4C22-AA8A-822A98B47A6B}" name="V" dataDxfId="17"/>
    <tableColumn id="70" xr3:uid="{52D302C5-8002-4DDC-A04B-04CC9AB6A53F}" name="W" dataDxfId="16"/>
    <tableColumn id="71" xr3:uid="{D937A0E1-DCE0-47CF-B3DB-66D35898D584}" name="X" dataDxfId="15"/>
    <tableColumn id="72" xr3:uid="{6C89EE2E-C1D1-44E5-B707-2B2BAC1855D1}" name="Y" dataDxfId="14"/>
    <tableColumn id="73" xr3:uid="{1C96F77D-DDF8-4585-9C0E-785477985E66}" name="Z" dataDxfId="13"/>
    <tableColumn id="74" xr3:uid="{6ABC27FF-6B07-41CA-A80E-468C70B52B02}" name="AA" dataDxfId="12"/>
    <tableColumn id="75" xr3:uid="{2BD72789-D433-46D9-8336-33B1A69CC89F}" name="AB" dataDxfId="11"/>
    <tableColumn id="76" xr3:uid="{94CC4D67-EE44-4C11-A7F7-EBA40E9734F5}" name="AC" dataDxfId="10"/>
    <tableColumn id="77" xr3:uid="{887B0246-7B05-4C5B-AE8F-6CBC0ACE4B18}" name="AD" dataDxfId="9"/>
    <tableColumn id="78" xr3:uid="{E7C67393-96ED-4449-B767-DD39A29588F6}" name="AE" dataDxfId="8"/>
    <tableColumn id="79" xr3:uid="{6C361306-C087-41C6-994B-5696EA6F6C98}" name="AF" dataDxfId="7"/>
    <tableColumn id="80" xr3:uid="{43C703BB-E61B-49BB-9225-5F030E7FB66A}" name="AG" dataDxfId="6"/>
    <tableColumn id="81" xr3:uid="{A94E8804-AF73-462A-8F26-9828A3041951}" name="AH" dataDxfId="5"/>
    <tableColumn id="82" xr3:uid="{008056B0-830D-459A-A6B8-A13E5A0A4525}" name="AI" dataDxfId="4"/>
    <tableColumn id="83" xr3:uid="{25B20626-6A6E-4B6F-965C-A50F69F6ED95}" name="AJ" dataDxfId="3"/>
    <tableColumn id="84" xr3:uid="{28B9237F-FD4C-4E60-BA2C-6577E2ACB40A}" name="AK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CF1048442"/>
  <sheetViews>
    <sheetView tabSelected="1" zoomScaleNormal="100" workbookViewId="0">
      <pane ySplit="1" topLeftCell="A1159" activePane="bottomLeft" state="frozen"/>
      <selection pane="bottomLeft" activeCell="CC1502" sqref="CC1502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9" width="4.42578125" style="6" customWidth="1"/>
    <col min="70" max="80" width="5.5703125" style="6" bestFit="1" customWidth="1"/>
    <col min="81" max="83" width="10.28515625" style="6" bestFit="1" customWidth="1"/>
    <col min="84" max="84" width="23.140625" style="6" bestFit="1" customWidth="1"/>
    <col min="85" max="16384" width="9.140625" style="6"/>
  </cols>
  <sheetData>
    <row r="1" spans="1:84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1270</v>
      </c>
      <c r="BN1" s="6" t="s">
        <v>1275</v>
      </c>
      <c r="BO1" s="6" t="s">
        <v>74</v>
      </c>
      <c r="BP1" s="6" t="s">
        <v>1288</v>
      </c>
      <c r="BQ1" s="6" t="s">
        <v>1297</v>
      </c>
      <c r="BR1" s="6" t="s">
        <v>4408</v>
      </c>
      <c r="BS1" s="6" t="s">
        <v>4409</v>
      </c>
      <c r="BT1" s="6" t="s">
        <v>4410</v>
      </c>
      <c r="BU1" s="6" t="s">
        <v>4411</v>
      </c>
      <c r="BV1" s="6" t="s">
        <v>4412</v>
      </c>
      <c r="BW1" s="6" t="s">
        <v>4413</v>
      </c>
      <c r="BX1" s="6" t="s">
        <v>4414</v>
      </c>
      <c r="BY1" s="6" t="s">
        <v>4415</v>
      </c>
      <c r="BZ1" s="6" t="s">
        <v>4416</v>
      </c>
      <c r="CA1" s="6" t="s">
        <v>4417</v>
      </c>
      <c r="CB1" s="6" t="s">
        <v>4418</v>
      </c>
      <c r="CC1" s="6" t="s">
        <v>3310</v>
      </c>
      <c r="CD1" s="6" t="s">
        <v>2263</v>
      </c>
      <c r="CE1" s="6" t="s">
        <v>2264</v>
      </c>
      <c r="CF1" s="6" t="s">
        <v>3499</v>
      </c>
    </row>
    <row r="2" spans="1:84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v>0</v>
      </c>
      <c r="BQ2" s="6">
        <v>0</v>
      </c>
      <c r="BR2" s="6">
        <v>0</v>
      </c>
      <c r="BS2" s="6">
        <v>0</v>
      </c>
      <c r="BT2" s="6">
        <v>0</v>
      </c>
      <c r="BU2" s="6">
        <v>0</v>
      </c>
      <c r="BV2" s="6">
        <v>0</v>
      </c>
      <c r="BW2" s="6">
        <v>0</v>
      </c>
      <c r="BX2" s="6">
        <v>0</v>
      </c>
      <c r="BY2" s="6">
        <v>0</v>
      </c>
      <c r="BZ2" s="6">
        <v>0</v>
      </c>
      <c r="CA2" s="6">
        <v>0</v>
      </c>
      <c r="CB2" s="6">
        <v>0</v>
      </c>
      <c r="CC2" s="6">
        <f>IF(Table3[[#This Row],[Type]]="EM",IF((Table3[[#This Row],[Diameter]]/2)-Table3[[#This Row],[CornerRadius]]-0.012&gt;0,(Table3[[#This Row],[Diameter]]/2)-Table3[[#This Row],[CornerRadius]]-0.012,0),)</f>
        <v>0</v>
      </c>
      <c r="CE2" s="6" t="str">
        <f>IF(Table3[[#This Row],[ShoulderLength]]="","",IF(Table3[[#This Row],[ShoulderLength]]&lt;Table3[[#This Row],[LOC]],"FIX",""))</f>
        <v/>
      </c>
    </row>
    <row r="3" spans="1:84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v>0</v>
      </c>
      <c r="BQ3" s="6">
        <v>0</v>
      </c>
      <c r="BR3" s="6">
        <v>0</v>
      </c>
      <c r="BS3" s="6">
        <v>0</v>
      </c>
      <c r="BT3" s="6">
        <v>0</v>
      </c>
      <c r="BU3" s="6">
        <v>0</v>
      </c>
      <c r="BV3" s="6">
        <v>0</v>
      </c>
      <c r="BW3" s="6">
        <v>0</v>
      </c>
      <c r="BX3" s="6">
        <v>0</v>
      </c>
      <c r="BY3" s="6">
        <v>0</v>
      </c>
      <c r="BZ3" s="6">
        <v>0</v>
      </c>
      <c r="CA3" s="6">
        <v>0</v>
      </c>
      <c r="CB3" s="6">
        <v>0</v>
      </c>
      <c r="CC3" s="6">
        <f>IF(Table3[[#This Row],[Type]]="EM",IF((Table3[[#This Row],[Diameter]]/2)-Table3[[#This Row],[CornerRadius]]-0.012&gt;0,(Table3[[#This Row],[Diameter]]/2)-Table3[[#This Row],[CornerRadius]]-0.012,0),)</f>
        <v>0</v>
      </c>
      <c r="CE3" s="6" t="str">
        <f>IF(Table3[[#This Row],[ShoulderLength]]="","",IF(Table3[[#This Row],[ShoulderLength]]&lt;Table3[[#This Row],[LOC]],"FIX",""))</f>
        <v/>
      </c>
    </row>
    <row r="4" spans="1:84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>
        <v>0</v>
      </c>
      <c r="CA4" s="6">
        <v>0</v>
      </c>
      <c r="CB4" s="6">
        <v>0</v>
      </c>
      <c r="CC4" s="6">
        <f>IF(Table3[[#This Row],[Type]]="EM",IF((Table3[[#This Row],[Diameter]]/2)-Table3[[#This Row],[CornerRadius]]-0.012&gt;0,(Table3[[#This Row],[Diameter]]/2)-Table3[[#This Row],[CornerRadius]]-0.012,0),)</f>
        <v>0</v>
      </c>
      <c r="CE4" s="6" t="str">
        <f>IF(Table3[[#This Row],[ShoulderLength]]="","",IF(Table3[[#This Row],[ShoulderLength]]&lt;Table3[[#This Row],[LOC]],"FIX",""))</f>
        <v/>
      </c>
    </row>
    <row r="5" spans="1:84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0</v>
      </c>
      <c r="BQ5" s="6">
        <v>0</v>
      </c>
      <c r="BR5" s="6">
        <v>0</v>
      </c>
      <c r="BS5" s="6">
        <v>0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>
        <v>0</v>
      </c>
      <c r="CA5" s="6">
        <v>0</v>
      </c>
      <c r="CB5" s="6">
        <v>0</v>
      </c>
      <c r="CC5" s="6">
        <f>IF(Table3[[#This Row],[Type]]="EM",IF((Table3[[#This Row],[Diameter]]/2)-Table3[[#This Row],[CornerRadius]]-0.012&gt;0,(Table3[[#This Row],[Diameter]]/2)-Table3[[#This Row],[CornerRadius]]-0.012,0),)</f>
        <v>0</v>
      </c>
      <c r="CE5" s="6" t="str">
        <f>IF(Table3[[#This Row],[ShoulderLength]]="","",IF(Table3[[#This Row],[ShoulderLength]]&lt;Table3[[#This Row],[LOC]],"FIX",""))</f>
        <v/>
      </c>
    </row>
    <row r="6" spans="1:84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>
        <v>0</v>
      </c>
      <c r="CA6" s="6">
        <v>0</v>
      </c>
      <c r="CB6" s="6">
        <v>0</v>
      </c>
      <c r="CC6" s="6">
        <f>IF(Table3[[#This Row],[Type]]="EM",IF((Table3[[#This Row],[Diameter]]/2)-Table3[[#This Row],[CornerRadius]]-0.012&gt;0,(Table3[[#This Row],[Diameter]]/2)-Table3[[#This Row],[CornerRadius]]-0.012,0),)</f>
        <v>0</v>
      </c>
      <c r="CE6" s="6" t="str">
        <f>IF(Table3[[#This Row],[ShoulderLength]]="","",IF(Table3[[#This Row],[ShoulderLength]]&lt;Table3[[#This Row],[LOC]],"FIX",""))</f>
        <v/>
      </c>
    </row>
    <row r="7" spans="1:84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0</v>
      </c>
      <c r="BQ7" s="6">
        <v>0</v>
      </c>
      <c r="BR7" s="6">
        <v>0</v>
      </c>
      <c r="BS7" s="6">
        <v>0</v>
      </c>
      <c r="BT7" s="6">
        <v>0</v>
      </c>
      <c r="BU7" s="6">
        <v>0</v>
      </c>
      <c r="BV7" s="6">
        <v>0</v>
      </c>
      <c r="BW7" s="6">
        <v>0</v>
      </c>
      <c r="BX7" s="6">
        <v>0</v>
      </c>
      <c r="BY7" s="6">
        <v>0</v>
      </c>
      <c r="BZ7" s="6">
        <v>0</v>
      </c>
      <c r="CA7" s="6">
        <v>0</v>
      </c>
      <c r="CB7" s="6">
        <v>0</v>
      </c>
      <c r="CC7" s="6">
        <f>IF(Table3[[#This Row],[Type]]="EM",IF((Table3[[#This Row],[Diameter]]/2)-Table3[[#This Row],[CornerRadius]]-0.012&gt;0,(Table3[[#This Row],[Diameter]]/2)-Table3[[#This Row],[CornerRadius]]-0.012,0),)</f>
        <v>0</v>
      </c>
      <c r="CE7" s="6" t="str">
        <f>IF(Table3[[#This Row],[ShoulderLength]]="","",IF(Table3[[#This Row],[ShoulderLength]]&lt;Table3[[#This Row],[LOC]],"FIX",""))</f>
        <v/>
      </c>
    </row>
    <row r="8" spans="1:84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0</v>
      </c>
      <c r="BP8" s="6">
        <v>0</v>
      </c>
      <c r="BQ8" s="6">
        <v>0</v>
      </c>
      <c r="BR8" s="6">
        <v>0</v>
      </c>
      <c r="BS8" s="6">
        <v>0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>
        <v>0</v>
      </c>
      <c r="CA8" s="6">
        <v>0</v>
      </c>
      <c r="CB8" s="6">
        <v>0</v>
      </c>
      <c r="CC8" s="6">
        <f>IF(Table3[[#This Row],[Type]]="EM",IF((Table3[[#This Row],[Diameter]]/2)-Table3[[#This Row],[CornerRadius]]-0.012&gt;0,(Table3[[#This Row],[Diameter]]/2)-Table3[[#This Row],[CornerRadius]]-0.012,0),)</f>
        <v>0</v>
      </c>
      <c r="CE8" s="6" t="str">
        <f>IF(Table3[[#This Row],[ShoulderLength]]="","",IF(Table3[[#This Row],[ShoulderLength]]&lt;Table3[[#This Row],[LOC]],"FIX",""))</f>
        <v/>
      </c>
    </row>
    <row r="9" spans="1:84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>
        <v>0</v>
      </c>
      <c r="CA9" s="6">
        <v>0</v>
      </c>
      <c r="CB9" s="6">
        <v>0</v>
      </c>
      <c r="CC9" s="6">
        <f>IF(Table3[[#This Row],[Type]]="EM",IF((Table3[[#This Row],[Diameter]]/2)-Table3[[#This Row],[CornerRadius]]-0.012&gt;0,(Table3[[#This Row],[Diameter]]/2)-Table3[[#This Row],[CornerRadius]]-0.012,0),)</f>
        <v>0</v>
      </c>
      <c r="CE9" s="6" t="str">
        <f>IF(Table3[[#This Row],[ShoulderLength]]="","",IF(Table3[[#This Row],[ShoulderLength]]&lt;Table3[[#This Row],[LOC]],"FIX",""))</f>
        <v/>
      </c>
    </row>
    <row r="10" spans="1:84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0</v>
      </c>
      <c r="BO10" s="6">
        <v>0</v>
      </c>
      <c r="BP10" s="6">
        <v>0</v>
      </c>
      <c r="BQ10" s="6">
        <v>0</v>
      </c>
      <c r="BR10" s="6">
        <v>0</v>
      </c>
      <c r="BS10" s="6">
        <v>0</v>
      </c>
      <c r="BT10" s="6">
        <v>0</v>
      </c>
      <c r="BU10" s="6">
        <v>0</v>
      </c>
      <c r="BV10" s="6">
        <v>0</v>
      </c>
      <c r="BW10" s="6">
        <v>0</v>
      </c>
      <c r="BX10" s="6">
        <v>0</v>
      </c>
      <c r="BY10" s="6">
        <v>0</v>
      </c>
      <c r="BZ10" s="6">
        <v>0</v>
      </c>
      <c r="CA10" s="6">
        <v>0</v>
      </c>
      <c r="CB10" s="6">
        <v>0</v>
      </c>
      <c r="CC10" s="6">
        <f>IF(Table3[[#This Row],[Type]]="EM",IF((Table3[[#This Row],[Diameter]]/2)-Table3[[#This Row],[CornerRadius]]-0.012&gt;0,(Table3[[#This Row],[Diameter]]/2)-Table3[[#This Row],[CornerRadius]]-0.012,0),)</f>
        <v>0</v>
      </c>
      <c r="CE10" s="6" t="str">
        <f>IF(Table3[[#This Row],[ShoulderLength]]="","",IF(Table3[[#This Row],[ShoulderLength]]&lt;Table3[[#This Row],[LOC]],"FIX",""))</f>
        <v/>
      </c>
    </row>
    <row r="11" spans="1:84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0</v>
      </c>
      <c r="BO11" s="6">
        <v>0</v>
      </c>
      <c r="BP11" s="6">
        <v>0</v>
      </c>
      <c r="BQ11" s="6">
        <v>0</v>
      </c>
      <c r="BR11" s="6">
        <v>0</v>
      </c>
      <c r="BS11" s="6">
        <v>0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>
        <v>0</v>
      </c>
      <c r="CA11" s="6">
        <v>0</v>
      </c>
      <c r="CB11" s="6">
        <v>0</v>
      </c>
      <c r="CC11" s="6">
        <f>IF(Table3[[#This Row],[Type]]="EM",IF((Table3[[#This Row],[Diameter]]/2)-Table3[[#This Row],[CornerRadius]]-0.012&gt;0,(Table3[[#This Row],[Diameter]]/2)-Table3[[#This Row],[CornerRadius]]-0.012,0),)</f>
        <v>0</v>
      </c>
      <c r="CE11" s="6" t="str">
        <f>IF(Table3[[#This Row],[ShoulderLength]]="","",IF(Table3[[#This Row],[ShoulderLength]]&lt;Table3[[#This Row],[LOC]],"FIX",""))</f>
        <v/>
      </c>
    </row>
    <row r="12" spans="1:84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0</v>
      </c>
      <c r="BO12" s="6">
        <v>0</v>
      </c>
      <c r="BP12" s="6">
        <v>0</v>
      </c>
      <c r="BQ12" s="6">
        <v>0</v>
      </c>
      <c r="BR12" s="6">
        <v>0</v>
      </c>
      <c r="BS12" s="6">
        <v>0</v>
      </c>
      <c r="BT12" s="6">
        <v>0</v>
      </c>
      <c r="BU12" s="6">
        <v>0</v>
      </c>
      <c r="BV12" s="6">
        <v>0</v>
      </c>
      <c r="BW12" s="6">
        <v>0</v>
      </c>
      <c r="BX12" s="6">
        <v>0</v>
      </c>
      <c r="BY12" s="6">
        <v>0</v>
      </c>
      <c r="BZ12" s="6">
        <v>0</v>
      </c>
      <c r="CA12" s="6">
        <v>0</v>
      </c>
      <c r="CB12" s="6">
        <v>0</v>
      </c>
      <c r="CC12" s="6">
        <f>IF(Table3[[#This Row],[Type]]="EM",IF((Table3[[#This Row],[Diameter]]/2)-Table3[[#This Row],[CornerRadius]]-0.012&gt;0,(Table3[[#This Row],[Diameter]]/2)-Table3[[#This Row],[CornerRadius]]-0.012,0),)</f>
        <v>0</v>
      </c>
      <c r="CE12" s="6" t="str">
        <f>IF(Table3[[#This Row],[ShoulderLength]]="","",IF(Table3[[#This Row],[ShoulderLength]]&lt;Table3[[#This Row],[LOC]],"FIX",""))</f>
        <v/>
      </c>
    </row>
    <row r="13" spans="1:84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0</v>
      </c>
      <c r="BP13" s="6">
        <v>0</v>
      </c>
      <c r="BQ13" s="6">
        <v>0</v>
      </c>
      <c r="BR13" s="6">
        <v>0</v>
      </c>
      <c r="BS13" s="6">
        <v>0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>
        <v>0</v>
      </c>
      <c r="CA13" s="6">
        <v>0</v>
      </c>
      <c r="CB13" s="6">
        <v>0</v>
      </c>
      <c r="CC13" s="6">
        <f>IF(Table3[[#This Row],[Type]]="EM",IF((Table3[[#This Row],[Diameter]]/2)-Table3[[#This Row],[CornerRadius]]-0.012&gt;0,(Table3[[#This Row],[Diameter]]/2)-Table3[[#This Row],[CornerRadius]]-0.012,0),)</f>
        <v>0</v>
      </c>
      <c r="CE13" s="6" t="str">
        <f>IF(Table3[[#This Row],[ShoulderLength]]="","",IF(Table3[[#This Row],[ShoulderLength]]&lt;Table3[[#This Row],[LOC]],"FIX",""))</f>
        <v/>
      </c>
    </row>
    <row r="14" spans="1:84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0</v>
      </c>
      <c r="BO14" s="6">
        <v>0</v>
      </c>
      <c r="BP14" s="6">
        <v>0</v>
      </c>
      <c r="BQ14" s="6">
        <v>0</v>
      </c>
      <c r="BR14" s="6">
        <v>0</v>
      </c>
      <c r="BS14" s="6">
        <v>0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>
        <v>0</v>
      </c>
      <c r="CA14" s="6">
        <v>0</v>
      </c>
      <c r="CB14" s="6">
        <v>0</v>
      </c>
      <c r="CC14" s="6">
        <f>IF(Table3[[#This Row],[Type]]="EM",IF((Table3[[#This Row],[Diameter]]/2)-Table3[[#This Row],[CornerRadius]]-0.012&gt;0,(Table3[[#This Row],[Diameter]]/2)-Table3[[#This Row],[CornerRadius]]-0.012,0),)</f>
        <v>0</v>
      </c>
      <c r="CE14" s="6" t="str">
        <f>IF(Table3[[#This Row],[ShoulderLength]]="","",IF(Table3[[#This Row],[ShoulderLength]]&lt;Table3[[#This Row],[LOC]],"FIX",""))</f>
        <v/>
      </c>
    </row>
    <row r="15" spans="1:84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0</v>
      </c>
      <c r="BO15" s="6">
        <v>0</v>
      </c>
      <c r="BP15" s="6">
        <v>0</v>
      </c>
      <c r="BQ15" s="6">
        <v>0</v>
      </c>
      <c r="BR15" s="6">
        <v>0</v>
      </c>
      <c r="BS15" s="6">
        <v>0</v>
      </c>
      <c r="BT15" s="6">
        <v>0</v>
      </c>
      <c r="BU15" s="6">
        <v>0</v>
      </c>
      <c r="BV15" s="6">
        <v>0</v>
      </c>
      <c r="BW15" s="6">
        <v>0</v>
      </c>
      <c r="BX15" s="6">
        <v>0</v>
      </c>
      <c r="BY15" s="6">
        <v>0</v>
      </c>
      <c r="BZ15" s="6">
        <v>0</v>
      </c>
      <c r="CA15" s="6">
        <v>0</v>
      </c>
      <c r="CB15" s="6">
        <v>0</v>
      </c>
      <c r="CC15" s="6">
        <f>IF(Table3[[#This Row],[Type]]="EM",IF((Table3[[#This Row],[Diameter]]/2)-Table3[[#This Row],[CornerRadius]]-0.012&gt;0,(Table3[[#This Row],[Diameter]]/2)-Table3[[#This Row],[CornerRadius]]-0.012,0),)</f>
        <v>0</v>
      </c>
      <c r="CE15" s="6" t="str">
        <f>IF(Table3[[#This Row],[ShoulderLength]]="","",IF(Table3[[#This Row],[ShoulderLength]]&lt;Table3[[#This Row],[LOC]],"FIX",""))</f>
        <v/>
      </c>
    </row>
    <row r="16" spans="1:84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0</v>
      </c>
      <c r="BO16" s="6">
        <v>0</v>
      </c>
      <c r="BP16" s="6">
        <v>0</v>
      </c>
      <c r="BQ16" s="6">
        <v>0</v>
      </c>
      <c r="BR16" s="6">
        <v>0</v>
      </c>
      <c r="BS16" s="6">
        <v>0</v>
      </c>
      <c r="BT16" s="6">
        <v>0</v>
      </c>
      <c r="BU16" s="6">
        <v>0</v>
      </c>
      <c r="BV16" s="6">
        <v>0</v>
      </c>
      <c r="BW16" s="6">
        <v>0</v>
      </c>
      <c r="BX16" s="6">
        <v>0</v>
      </c>
      <c r="BY16" s="6">
        <v>0</v>
      </c>
      <c r="BZ16" s="6">
        <v>0</v>
      </c>
      <c r="CA16" s="6">
        <v>0</v>
      </c>
      <c r="CB16" s="6">
        <v>0</v>
      </c>
      <c r="CC16" s="6">
        <f>IF(Table3[[#This Row],[Type]]="EM",IF((Table3[[#This Row],[Diameter]]/2)-Table3[[#This Row],[CornerRadius]]-0.012&gt;0,(Table3[[#This Row],[Diameter]]/2)-Table3[[#This Row],[CornerRadius]]-0.012,0),)</f>
        <v>0</v>
      </c>
      <c r="CE16" s="6" t="str">
        <f>IF(Table3[[#This Row],[ShoulderLength]]="","",IF(Table3[[#This Row],[ShoulderLength]]&lt;Table3[[#This Row],[LOC]],"FIX",""))</f>
        <v/>
      </c>
    </row>
    <row r="17" spans="1:83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0</v>
      </c>
      <c r="BR17" s="6">
        <v>0</v>
      </c>
      <c r="BS17" s="6">
        <v>0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>
        <v>0</v>
      </c>
      <c r="CA17" s="6">
        <v>0</v>
      </c>
      <c r="CB17" s="6">
        <v>0</v>
      </c>
      <c r="CC17" s="6">
        <f>IF(Table3[[#This Row],[Type]]="EM",IF((Table3[[#This Row],[Diameter]]/2)-Table3[[#This Row],[CornerRadius]]-0.012&gt;0,(Table3[[#This Row],[Diameter]]/2)-Table3[[#This Row],[CornerRadius]]-0.012,0),)</f>
        <v>0</v>
      </c>
      <c r="CE17" s="6" t="str">
        <f>IF(Table3[[#This Row],[ShoulderLength]]="","",IF(Table3[[#This Row],[ShoulderLength]]&lt;Table3[[#This Row],[LOC]],"FIX",""))</f>
        <v/>
      </c>
    </row>
    <row r="18" spans="1:83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0</v>
      </c>
      <c r="BT18" s="6">
        <v>0</v>
      </c>
      <c r="BU18" s="6">
        <v>0</v>
      </c>
      <c r="BV18" s="6">
        <v>0</v>
      </c>
      <c r="BW18" s="6">
        <v>0</v>
      </c>
      <c r="BX18" s="6">
        <v>0</v>
      </c>
      <c r="BY18" s="6">
        <v>0</v>
      </c>
      <c r="BZ18" s="6">
        <v>0</v>
      </c>
      <c r="CA18" s="6">
        <v>0</v>
      </c>
      <c r="CB18" s="6">
        <v>0</v>
      </c>
      <c r="CC18" s="6">
        <f>IF(Table3[[#This Row],[Type]]="EM",IF((Table3[[#This Row],[Diameter]]/2)-Table3[[#This Row],[CornerRadius]]-0.012&gt;0,(Table3[[#This Row],[Diameter]]/2)-Table3[[#This Row],[CornerRadius]]-0.012,0),)</f>
        <v>0</v>
      </c>
      <c r="CE18" s="6" t="str">
        <f>IF(Table3[[#This Row],[ShoulderLength]]="","",IF(Table3[[#This Row],[ShoulderLength]]&lt;Table3[[#This Row],[LOC]],"FIX",""))</f>
        <v/>
      </c>
    </row>
    <row r="19" spans="1:83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0</v>
      </c>
      <c r="BO19" s="6">
        <v>0</v>
      </c>
      <c r="BP19" s="6">
        <v>0</v>
      </c>
      <c r="BQ19" s="6">
        <v>0</v>
      </c>
      <c r="BR19" s="6">
        <v>0</v>
      </c>
      <c r="BS19" s="6">
        <v>0</v>
      </c>
      <c r="BT19" s="6">
        <v>0</v>
      </c>
      <c r="BU19" s="6">
        <v>0</v>
      </c>
      <c r="BV19" s="6">
        <v>0</v>
      </c>
      <c r="BW19" s="6">
        <v>0</v>
      </c>
      <c r="BX19" s="6">
        <v>0</v>
      </c>
      <c r="BY19" s="6">
        <v>0</v>
      </c>
      <c r="BZ19" s="6">
        <v>0</v>
      </c>
      <c r="CA19" s="6">
        <v>0</v>
      </c>
      <c r="CB19" s="6">
        <v>0</v>
      </c>
      <c r="CC19" s="6">
        <f>IF(Table3[[#This Row],[Type]]="EM",IF((Table3[[#This Row],[Diameter]]/2)-Table3[[#This Row],[CornerRadius]]-0.012&gt;0,(Table3[[#This Row],[Diameter]]/2)-Table3[[#This Row],[CornerRadius]]-0.012,0),)</f>
        <v>0</v>
      </c>
      <c r="CE19" s="6" t="str">
        <f>IF(Table3[[#This Row],[ShoulderLength]]="","",IF(Table3[[#This Row],[ShoulderLength]]&lt;Table3[[#This Row],[LOC]],"FIX",""))</f>
        <v/>
      </c>
    </row>
    <row r="20" spans="1:83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0</v>
      </c>
      <c r="BO20" s="6">
        <v>0</v>
      </c>
      <c r="BP20" s="6">
        <v>0</v>
      </c>
      <c r="BQ20" s="6">
        <v>0</v>
      </c>
      <c r="BR20" s="6">
        <v>0</v>
      </c>
      <c r="BS20" s="6">
        <v>0</v>
      </c>
      <c r="BT20" s="6">
        <v>0</v>
      </c>
      <c r="BU20" s="6">
        <v>0</v>
      </c>
      <c r="BV20" s="6">
        <v>0</v>
      </c>
      <c r="BW20" s="6">
        <v>0</v>
      </c>
      <c r="BX20" s="6">
        <v>0</v>
      </c>
      <c r="BY20" s="6">
        <v>0</v>
      </c>
      <c r="BZ20" s="6">
        <v>0</v>
      </c>
      <c r="CA20" s="6">
        <v>0</v>
      </c>
      <c r="CB20" s="6">
        <v>0</v>
      </c>
      <c r="CC20" s="6">
        <f>IF(Table3[[#This Row],[Type]]="EM",IF((Table3[[#This Row],[Diameter]]/2)-Table3[[#This Row],[CornerRadius]]-0.012&gt;0,(Table3[[#This Row],[Diameter]]/2)-Table3[[#This Row],[CornerRadius]]-0.012,0),)</f>
        <v>0</v>
      </c>
      <c r="CE20" s="6" t="str">
        <f>IF(Table3[[#This Row],[ShoulderLength]]="","",IF(Table3[[#This Row],[ShoulderLength]]&lt;Table3[[#This Row],[LOC]],"FIX",""))</f>
        <v/>
      </c>
    </row>
    <row r="21" spans="1:83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0</v>
      </c>
      <c r="BO21" s="6">
        <v>0</v>
      </c>
      <c r="BP21" s="6">
        <v>0</v>
      </c>
      <c r="BQ21" s="6">
        <v>0</v>
      </c>
      <c r="BR21" s="6">
        <v>0</v>
      </c>
      <c r="BS21" s="6">
        <v>0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>
        <v>0</v>
      </c>
      <c r="CA21" s="6">
        <v>0</v>
      </c>
      <c r="CB21" s="6">
        <v>0</v>
      </c>
      <c r="CC21" s="6">
        <f>IF(Table3[[#This Row],[Type]]="EM",IF((Table3[[#This Row],[Diameter]]/2)-Table3[[#This Row],[CornerRadius]]-0.012&gt;0,(Table3[[#This Row],[Diameter]]/2)-Table3[[#This Row],[CornerRadius]]-0.012,0),)</f>
        <v>0</v>
      </c>
      <c r="CE21" s="6" t="str">
        <f>IF(Table3[[#This Row],[ShoulderLength]]="","",IF(Table3[[#This Row],[ShoulderLength]]&lt;Table3[[#This Row],[LOC]],"FIX",""))</f>
        <v/>
      </c>
    </row>
    <row r="22" spans="1:83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6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f>IF(Table3[[#This Row],[Type]]="EM",IF((Table3[[#This Row],[Diameter]]/2)-Table3[[#This Row],[CornerRadius]]-0.012&gt;0,(Table3[[#This Row],[Diameter]]/2)-Table3[[#This Row],[CornerRadius]]-0.012,0),)</f>
        <v>0</v>
      </c>
      <c r="CE22" s="6" t="str">
        <f>IF(Table3[[#This Row],[ShoulderLength]]="","",IF(Table3[[#This Row],[ShoulderLength]]&lt;Table3[[#This Row],[LOC]],"FIX",""))</f>
        <v/>
      </c>
    </row>
    <row r="23" spans="1:83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6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f>IF(Table3[[#This Row],[Type]]="EM",IF((Table3[[#This Row],[Diameter]]/2)-Table3[[#This Row],[CornerRadius]]-0.012&gt;0,(Table3[[#This Row],[Diameter]]/2)-Table3[[#This Row],[CornerRadius]]-0.012,0),)</f>
        <v>0</v>
      </c>
      <c r="CE23" s="6" t="str">
        <f>IF(Table3[[#This Row],[ShoulderLength]]="","",IF(Table3[[#This Row],[ShoulderLength]]&lt;Table3[[#This Row],[LOC]],"FIX",""))</f>
        <v/>
      </c>
    </row>
    <row r="24" spans="1:83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0</v>
      </c>
      <c r="BO24" s="6">
        <v>0</v>
      </c>
      <c r="BP24" s="6">
        <v>0</v>
      </c>
      <c r="BQ24" s="6">
        <v>0</v>
      </c>
      <c r="BR24" s="6">
        <v>0</v>
      </c>
      <c r="BS24" s="6">
        <v>0</v>
      </c>
      <c r="BT24" s="6">
        <v>0</v>
      </c>
      <c r="BU24" s="6">
        <v>0</v>
      </c>
      <c r="BV24" s="6">
        <v>0</v>
      </c>
      <c r="BW24" s="6">
        <v>0</v>
      </c>
      <c r="BX24" s="6">
        <v>0</v>
      </c>
      <c r="BY24" s="6">
        <v>0</v>
      </c>
      <c r="BZ24" s="6">
        <v>0</v>
      </c>
      <c r="CA24" s="6">
        <v>0</v>
      </c>
      <c r="CB24" s="6">
        <v>0</v>
      </c>
      <c r="CC24" s="6">
        <f>IF(Table3[[#This Row],[Type]]="EM",IF((Table3[[#This Row],[Diameter]]/2)-Table3[[#This Row],[CornerRadius]]-0.012&gt;0,(Table3[[#This Row],[Diameter]]/2)-Table3[[#This Row],[CornerRadius]]-0.012,0),)</f>
        <v>0</v>
      </c>
      <c r="CE24" s="6" t="str">
        <f>IF(Table3[[#This Row],[ShoulderLength]]="","",IF(Table3[[#This Row],[ShoulderLength]]&lt;Table3[[#This Row],[LOC]],"FIX",""))</f>
        <v/>
      </c>
    </row>
    <row r="25" spans="1:83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0</v>
      </c>
      <c r="BO25" s="6">
        <v>0</v>
      </c>
      <c r="BP25" s="6">
        <v>0</v>
      </c>
      <c r="BQ25" s="6">
        <v>0</v>
      </c>
      <c r="BR25" s="6">
        <v>0</v>
      </c>
      <c r="BS25" s="6">
        <v>0</v>
      </c>
      <c r="BT25" s="6">
        <v>0</v>
      </c>
      <c r="BU25" s="6">
        <v>0</v>
      </c>
      <c r="BV25" s="6">
        <v>0</v>
      </c>
      <c r="BW25" s="6">
        <v>0</v>
      </c>
      <c r="BX25" s="6">
        <v>0</v>
      </c>
      <c r="BY25" s="6">
        <v>0</v>
      </c>
      <c r="BZ25" s="6">
        <v>0</v>
      </c>
      <c r="CA25" s="6">
        <v>0</v>
      </c>
      <c r="CB25" s="6">
        <v>0</v>
      </c>
      <c r="CC25" s="6">
        <f>IF(Table3[[#This Row],[Type]]="EM",IF((Table3[[#This Row],[Diameter]]/2)-Table3[[#This Row],[CornerRadius]]-0.012&gt;0,(Table3[[#This Row],[Diameter]]/2)-Table3[[#This Row],[CornerRadius]]-0.012,0),)</f>
        <v>0</v>
      </c>
      <c r="CE25" s="6" t="str">
        <f>IF(Table3[[#This Row],[ShoulderLength]]="","",IF(Table3[[#This Row],[ShoulderLength]]&lt;Table3[[#This Row],[LOC]],"FIX",""))</f>
        <v/>
      </c>
    </row>
    <row r="26" spans="1:83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>
        <v>0</v>
      </c>
      <c r="CA26" s="6">
        <v>0</v>
      </c>
      <c r="CB26" s="6">
        <v>0</v>
      </c>
      <c r="CC26" s="6">
        <f>IF(Table3[[#This Row],[Type]]="EM",IF((Table3[[#This Row],[Diameter]]/2)-Table3[[#This Row],[CornerRadius]]-0.012&gt;0,(Table3[[#This Row],[Diameter]]/2)-Table3[[#This Row],[CornerRadius]]-0.012,0),)</f>
        <v>0</v>
      </c>
      <c r="CE26" s="6" t="str">
        <f>IF(Table3[[#This Row],[ShoulderLength]]="","",IF(Table3[[#This Row],[ShoulderLength]]&lt;Table3[[#This Row],[LOC]],"FIX",""))</f>
        <v/>
      </c>
    </row>
    <row r="27" spans="1:83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0</v>
      </c>
      <c r="BO27" s="6">
        <v>0</v>
      </c>
      <c r="BP27" s="6">
        <v>0</v>
      </c>
      <c r="BQ27" s="6">
        <v>0</v>
      </c>
      <c r="BR27" s="6">
        <v>0</v>
      </c>
      <c r="BS27" s="6">
        <v>0</v>
      </c>
      <c r="BT27" s="6">
        <v>0</v>
      </c>
      <c r="BU27" s="6">
        <v>0</v>
      </c>
      <c r="BV27" s="6">
        <v>0</v>
      </c>
      <c r="BW27" s="6">
        <v>0</v>
      </c>
      <c r="BX27" s="6">
        <v>0</v>
      </c>
      <c r="BY27" s="6">
        <v>0</v>
      </c>
      <c r="BZ27" s="6">
        <v>0</v>
      </c>
      <c r="CA27" s="6">
        <v>0</v>
      </c>
      <c r="CB27" s="6">
        <v>0</v>
      </c>
      <c r="CC27" s="6">
        <f>IF(Table3[[#This Row],[Type]]="EM",IF((Table3[[#This Row],[Diameter]]/2)-Table3[[#This Row],[CornerRadius]]-0.012&gt;0,(Table3[[#This Row],[Diameter]]/2)-Table3[[#This Row],[CornerRadius]]-0.012,0),)</f>
        <v>0</v>
      </c>
      <c r="CE27" s="6" t="str">
        <f>IF(Table3[[#This Row],[ShoulderLength]]="","",IF(Table3[[#This Row],[ShoulderLength]]&lt;Table3[[#This Row],[LOC]],"FIX",""))</f>
        <v/>
      </c>
    </row>
    <row r="28" spans="1:83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0</v>
      </c>
      <c r="BO28" s="6">
        <v>0</v>
      </c>
      <c r="BP28" s="6">
        <v>0</v>
      </c>
      <c r="BQ28" s="6">
        <v>0</v>
      </c>
      <c r="BR28" s="6">
        <v>0</v>
      </c>
      <c r="BS28" s="6">
        <v>0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>
        <v>0</v>
      </c>
      <c r="CA28" s="6">
        <v>0</v>
      </c>
      <c r="CB28" s="6">
        <v>0</v>
      </c>
      <c r="CC28" s="6">
        <f>IF(Table3[[#This Row],[Type]]="EM",IF((Table3[[#This Row],[Diameter]]/2)-Table3[[#This Row],[CornerRadius]]-0.012&gt;0,(Table3[[#This Row],[Diameter]]/2)-Table3[[#This Row],[CornerRadius]]-0.012,0),)</f>
        <v>0</v>
      </c>
      <c r="CE28" s="6" t="str">
        <f>IF(Table3[[#This Row],[ShoulderLength]]="","",IF(Table3[[#This Row],[ShoulderLength]]&lt;Table3[[#This Row],[LOC]],"FIX",""))</f>
        <v/>
      </c>
    </row>
    <row r="29" spans="1:83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v>0</v>
      </c>
      <c r="BN29" s="6">
        <v>0</v>
      </c>
      <c r="BO29" s="6">
        <v>0</v>
      </c>
      <c r="BP29" s="6">
        <v>0</v>
      </c>
      <c r="BQ29" s="6">
        <v>0</v>
      </c>
      <c r="BR29" s="6">
        <v>0</v>
      </c>
      <c r="BS29" s="6">
        <v>0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>
        <v>0</v>
      </c>
      <c r="CA29" s="6">
        <v>0</v>
      </c>
      <c r="CB29" s="6">
        <v>0</v>
      </c>
      <c r="CC29" s="6">
        <f>IF(Table3[[#This Row],[Type]]="EM",IF((Table3[[#This Row],[Diameter]]/2)-Table3[[#This Row],[CornerRadius]]-0.012&gt;0,(Table3[[#This Row],[Diameter]]/2)-Table3[[#This Row],[CornerRadius]]-0.012,0),)</f>
        <v>0</v>
      </c>
      <c r="CE29" s="6" t="str">
        <f>IF(Table3[[#This Row],[ShoulderLength]]="","",IF(Table3[[#This Row],[ShoulderLength]]&lt;Table3[[#This Row],[LOC]],"FIX",""))</f>
        <v>FIX</v>
      </c>
    </row>
    <row r="30" spans="1:83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0</v>
      </c>
      <c r="BO30" s="6">
        <v>0</v>
      </c>
      <c r="BP30" s="6">
        <v>0</v>
      </c>
      <c r="BQ30" s="6">
        <v>0</v>
      </c>
      <c r="BR30" s="6">
        <v>0</v>
      </c>
      <c r="BS30" s="6">
        <v>0</v>
      </c>
      <c r="BT30" s="6">
        <v>0</v>
      </c>
      <c r="BU30" s="6">
        <v>0</v>
      </c>
      <c r="BV30" s="6">
        <v>0</v>
      </c>
      <c r="BW30" s="6">
        <v>0</v>
      </c>
      <c r="BX30" s="6">
        <v>0</v>
      </c>
      <c r="BY30" s="6">
        <v>0</v>
      </c>
      <c r="BZ30" s="6">
        <v>0</v>
      </c>
      <c r="CA30" s="6">
        <v>0</v>
      </c>
      <c r="CB30" s="6">
        <v>0</v>
      </c>
      <c r="CC30" s="6">
        <f>IF(Table3[[#This Row],[Type]]="EM",IF((Table3[[#This Row],[Diameter]]/2)-Table3[[#This Row],[CornerRadius]]-0.012&gt;0,(Table3[[#This Row],[Diameter]]/2)-Table3[[#This Row],[CornerRadius]]-0.012,0),)</f>
        <v>0</v>
      </c>
      <c r="CE30" s="6" t="str">
        <f>IF(Table3[[#This Row],[ShoulderLength]]="","",IF(Table3[[#This Row],[ShoulderLength]]&lt;Table3[[#This Row],[LOC]],"FIX",""))</f>
        <v/>
      </c>
    </row>
    <row r="31" spans="1:83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0</v>
      </c>
      <c r="BO31" s="6">
        <v>0</v>
      </c>
      <c r="BP31" s="6">
        <v>0</v>
      </c>
      <c r="BQ31" s="6">
        <v>0</v>
      </c>
      <c r="BR31" s="6">
        <v>0</v>
      </c>
      <c r="BS31" s="6">
        <v>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>
        <v>0</v>
      </c>
      <c r="CA31" s="6">
        <v>0</v>
      </c>
      <c r="CB31" s="6">
        <v>0</v>
      </c>
      <c r="CC31" s="6">
        <f>IF(Table3[[#This Row],[Type]]="EM",IF((Table3[[#This Row],[Diameter]]/2)-Table3[[#This Row],[CornerRadius]]-0.012&gt;0,(Table3[[#This Row],[Diameter]]/2)-Table3[[#This Row],[CornerRadius]]-0.012,0),)</f>
        <v>0</v>
      </c>
      <c r="CE31" s="6" t="str">
        <f>IF(Table3[[#This Row],[ShoulderLength]]="","",IF(Table3[[#This Row],[ShoulderLength]]&lt;Table3[[#This Row],[LOC]],"FIX",""))</f>
        <v/>
      </c>
    </row>
    <row r="32" spans="1:83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0</v>
      </c>
      <c r="BO32" s="6">
        <v>0</v>
      </c>
      <c r="BP32" s="6">
        <v>0</v>
      </c>
      <c r="BQ32" s="6">
        <v>0</v>
      </c>
      <c r="BR32" s="6">
        <v>0</v>
      </c>
      <c r="BS32" s="6">
        <v>0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>
        <v>0</v>
      </c>
      <c r="CA32" s="6">
        <v>0</v>
      </c>
      <c r="CB32" s="6">
        <v>0</v>
      </c>
      <c r="CC32" s="6">
        <f>IF(Table3[[#This Row],[Type]]="EM",IF((Table3[[#This Row],[Diameter]]/2)-Table3[[#This Row],[CornerRadius]]-0.012&gt;0,(Table3[[#This Row],[Diameter]]/2)-Table3[[#This Row],[CornerRadius]]-0.012,0),)</f>
        <v>0</v>
      </c>
      <c r="CE32" s="6" t="str">
        <f>IF(Table3[[#This Row],[ShoulderLength]]="","",IF(Table3[[#This Row],[ShoulderLength]]&lt;Table3[[#This Row],[LOC]],"FIX",""))</f>
        <v/>
      </c>
    </row>
    <row r="33" spans="1:83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0</v>
      </c>
      <c r="BO33" s="6">
        <v>0</v>
      </c>
      <c r="BP33" s="6">
        <v>0</v>
      </c>
      <c r="BQ33" s="6">
        <v>0</v>
      </c>
      <c r="BR33" s="6">
        <v>0</v>
      </c>
      <c r="BS33" s="6">
        <v>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>
        <v>0</v>
      </c>
      <c r="CA33" s="6">
        <v>0</v>
      </c>
      <c r="CB33" s="6">
        <v>0</v>
      </c>
      <c r="CC33" s="6">
        <f>IF(Table3[[#This Row],[Type]]="EM",IF((Table3[[#This Row],[Diameter]]/2)-Table3[[#This Row],[CornerRadius]]-0.012&gt;0,(Table3[[#This Row],[Diameter]]/2)-Table3[[#This Row],[CornerRadius]]-0.012,0),)</f>
        <v>0</v>
      </c>
      <c r="CE33" s="6" t="str">
        <f>IF(Table3[[#This Row],[ShoulderLength]]="","",IF(Table3[[#This Row],[ShoulderLength]]&lt;Table3[[#This Row],[LOC]],"FIX",""))</f>
        <v/>
      </c>
    </row>
    <row r="34" spans="1:83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>
        <v>0</v>
      </c>
      <c r="CA34" s="6">
        <v>0</v>
      </c>
      <c r="CB34" s="6">
        <v>0</v>
      </c>
      <c r="CC34" s="6">
        <f>IF(Table3[[#This Row],[Type]]="EM",IF((Table3[[#This Row],[Diameter]]/2)-Table3[[#This Row],[CornerRadius]]-0.012&gt;0,(Table3[[#This Row],[Diameter]]/2)-Table3[[#This Row],[CornerRadius]]-0.012,0),)</f>
        <v>0</v>
      </c>
      <c r="CE34" s="6" t="str">
        <f>IF(Table3[[#This Row],[ShoulderLength]]="","",IF(Table3[[#This Row],[ShoulderLength]]&lt;Table3[[#This Row],[LOC]],"FIX",""))</f>
        <v/>
      </c>
    </row>
    <row r="35" spans="1:83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6">
        <v>0</v>
      </c>
      <c r="BS35" s="6">
        <v>0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f>IF(Table3[[#This Row],[Type]]="EM",IF((Table3[[#This Row],[Diameter]]/2)-Table3[[#This Row],[CornerRadius]]-0.012&gt;0,(Table3[[#This Row],[Diameter]]/2)-Table3[[#This Row],[CornerRadius]]-0.012,0),)</f>
        <v>0</v>
      </c>
      <c r="CE35" s="6" t="str">
        <f>IF(Table3[[#This Row],[ShoulderLength]]="","",IF(Table3[[#This Row],[ShoulderLength]]&lt;Table3[[#This Row],[LOC]],"FIX",""))</f>
        <v/>
      </c>
    </row>
    <row r="36" spans="1:83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0</v>
      </c>
      <c r="BO36" s="6">
        <v>0</v>
      </c>
      <c r="BP36" s="6">
        <v>0</v>
      </c>
      <c r="BQ36" s="6">
        <v>0</v>
      </c>
      <c r="BR36" s="6">
        <v>0</v>
      </c>
      <c r="BS36" s="6">
        <v>0</v>
      </c>
      <c r="BT36" s="6">
        <v>0</v>
      </c>
      <c r="BU36" s="6">
        <v>0</v>
      </c>
      <c r="BV36" s="6">
        <v>0</v>
      </c>
      <c r="BW36" s="6">
        <v>0</v>
      </c>
      <c r="BX36" s="6">
        <v>0</v>
      </c>
      <c r="BY36" s="6">
        <v>0</v>
      </c>
      <c r="BZ36" s="6">
        <v>0</v>
      </c>
      <c r="CA36" s="6">
        <v>0</v>
      </c>
      <c r="CB36" s="6">
        <v>0</v>
      </c>
      <c r="CC36" s="6">
        <f>IF(Table3[[#This Row],[Type]]="EM",IF((Table3[[#This Row],[Diameter]]/2)-Table3[[#This Row],[CornerRadius]]-0.012&gt;0,(Table3[[#This Row],[Diameter]]/2)-Table3[[#This Row],[CornerRadius]]-0.012,0),)</f>
        <v>0</v>
      </c>
      <c r="CE36" s="6" t="str">
        <f>IF(Table3[[#This Row],[ShoulderLength]]="","",IF(Table3[[#This Row],[ShoulderLength]]&lt;Table3[[#This Row],[LOC]],"FIX",""))</f>
        <v/>
      </c>
    </row>
    <row r="37" spans="1:83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6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f>IF(Table3[[#This Row],[Type]]="EM",IF((Table3[[#This Row],[Diameter]]/2)-Table3[[#This Row],[CornerRadius]]-0.012&gt;0,(Table3[[#This Row],[Diameter]]/2)-Table3[[#This Row],[CornerRadius]]-0.012,0),)</f>
        <v>0</v>
      </c>
      <c r="CE37" s="6" t="str">
        <f>IF(Table3[[#This Row],[ShoulderLength]]="","",IF(Table3[[#This Row],[ShoulderLength]]&lt;Table3[[#This Row],[LOC]],"FIX",""))</f>
        <v/>
      </c>
    </row>
    <row r="38" spans="1:83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0</v>
      </c>
      <c r="BO38" s="6">
        <v>0</v>
      </c>
      <c r="BP38" s="6">
        <v>0</v>
      </c>
      <c r="BQ38" s="6">
        <v>0</v>
      </c>
      <c r="BR38" s="6">
        <v>0</v>
      </c>
      <c r="BS38" s="6">
        <v>0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>
        <v>0</v>
      </c>
      <c r="CA38" s="6">
        <v>0</v>
      </c>
      <c r="CB38" s="6">
        <v>0</v>
      </c>
      <c r="CC38" s="6">
        <f>IF(Table3[[#This Row],[Type]]="EM",IF((Table3[[#This Row],[Diameter]]/2)-Table3[[#This Row],[CornerRadius]]-0.012&gt;0,(Table3[[#This Row],[Diameter]]/2)-Table3[[#This Row],[CornerRadius]]-0.012,0),)</f>
        <v>0</v>
      </c>
      <c r="CE38" s="6" t="str">
        <f>IF(Table3[[#This Row],[ShoulderLength]]="","",IF(Table3[[#This Row],[ShoulderLength]]&lt;Table3[[#This Row],[LOC]],"FIX",""))</f>
        <v/>
      </c>
    </row>
    <row r="39" spans="1:83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v>0</v>
      </c>
      <c r="BN39" s="6">
        <v>0</v>
      </c>
      <c r="BO39" s="6">
        <v>0</v>
      </c>
      <c r="BP39" s="6">
        <v>0</v>
      </c>
      <c r="BQ39" s="6">
        <v>0</v>
      </c>
      <c r="BR39" s="6">
        <v>0</v>
      </c>
      <c r="BS39" s="6">
        <v>0</v>
      </c>
      <c r="BT39" s="6">
        <v>0</v>
      </c>
      <c r="BU39" s="6">
        <v>0</v>
      </c>
      <c r="BV39" s="6">
        <v>0</v>
      </c>
      <c r="BW39" s="6">
        <v>0</v>
      </c>
      <c r="BX39" s="6">
        <v>0</v>
      </c>
      <c r="BY39" s="6">
        <v>0</v>
      </c>
      <c r="BZ39" s="6">
        <v>0</v>
      </c>
      <c r="CA39" s="6">
        <v>0</v>
      </c>
      <c r="CB39" s="6">
        <v>0</v>
      </c>
      <c r="CC39" s="6">
        <f>IF(Table3[[#This Row],[Type]]="EM",IF((Table3[[#This Row],[Diameter]]/2)-Table3[[#This Row],[CornerRadius]]-0.012&gt;0,(Table3[[#This Row],[Diameter]]/2)-Table3[[#This Row],[CornerRadius]]-0.012,0),)</f>
        <v>0</v>
      </c>
      <c r="CE39" s="6" t="str">
        <f>IF(Table3[[#This Row],[ShoulderLength]]="","",IF(Table3[[#This Row],[ShoulderLength]]&lt;Table3[[#This Row],[LOC]],"FIX",""))</f>
        <v/>
      </c>
    </row>
    <row r="40" spans="1:83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0</v>
      </c>
      <c r="BO40" s="6">
        <v>0</v>
      </c>
      <c r="BP40" s="6">
        <v>0</v>
      </c>
      <c r="BQ40" s="6">
        <v>0</v>
      </c>
      <c r="BR40" s="6">
        <v>0</v>
      </c>
      <c r="BS40" s="6">
        <v>0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>
        <v>0</v>
      </c>
      <c r="CA40" s="6">
        <v>0</v>
      </c>
      <c r="CB40" s="6">
        <v>0</v>
      </c>
      <c r="CC40" s="6">
        <f>IF(Table3[[#This Row],[Type]]="EM",IF((Table3[[#This Row],[Diameter]]/2)-Table3[[#This Row],[CornerRadius]]-0.012&gt;0,(Table3[[#This Row],[Diameter]]/2)-Table3[[#This Row],[CornerRadius]]-0.012,0),)</f>
        <v>0</v>
      </c>
      <c r="CE40" s="6" t="str">
        <f>IF(Table3[[#This Row],[ShoulderLength]]="","",IF(Table3[[#This Row],[ShoulderLength]]&lt;Table3[[#This Row],[LOC]],"FIX",""))</f>
        <v/>
      </c>
    </row>
    <row r="41" spans="1:83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>
        <v>0</v>
      </c>
      <c r="CA41" s="6">
        <v>0</v>
      </c>
      <c r="CB41" s="6">
        <v>0</v>
      </c>
      <c r="CC41" s="6">
        <f>IF(Table3[[#This Row],[Type]]="EM",IF((Table3[[#This Row],[Diameter]]/2)-Table3[[#This Row],[CornerRadius]]-0.012&gt;0,(Table3[[#This Row],[Diameter]]/2)-Table3[[#This Row],[CornerRadius]]-0.012,0),)</f>
        <v>0</v>
      </c>
      <c r="CE41" s="6" t="str">
        <f>IF(Table3[[#This Row],[ShoulderLength]]="","",IF(Table3[[#This Row],[ShoulderLength]]&lt;Table3[[#This Row],[LOC]],"FIX",""))</f>
        <v/>
      </c>
    </row>
    <row r="42" spans="1:83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0</v>
      </c>
      <c r="BO42" s="6">
        <v>0</v>
      </c>
      <c r="BP42" s="6">
        <v>0</v>
      </c>
      <c r="BQ42" s="6">
        <v>0</v>
      </c>
      <c r="BR42" s="6">
        <v>0</v>
      </c>
      <c r="BS42" s="6">
        <v>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>
        <v>0</v>
      </c>
      <c r="CA42" s="6">
        <v>0</v>
      </c>
      <c r="CB42" s="6">
        <v>0</v>
      </c>
      <c r="CC42" s="6">
        <f>IF(Table3[[#This Row],[Type]]="EM",IF((Table3[[#This Row],[Diameter]]/2)-Table3[[#This Row],[CornerRadius]]-0.012&gt;0,(Table3[[#This Row],[Diameter]]/2)-Table3[[#This Row],[CornerRadius]]-0.012,0),)</f>
        <v>0</v>
      </c>
      <c r="CE42" s="6" t="str">
        <f>IF(Table3[[#This Row],[ShoulderLength]]="","",IF(Table3[[#This Row],[ShoulderLength]]&lt;Table3[[#This Row],[LOC]],"FIX",""))</f>
        <v/>
      </c>
    </row>
    <row r="43" spans="1:83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v>0</v>
      </c>
      <c r="BN43" s="6">
        <v>0</v>
      </c>
      <c r="BO43" s="6">
        <v>0</v>
      </c>
      <c r="BP43" s="6">
        <v>0</v>
      </c>
      <c r="BQ43" s="6">
        <v>0</v>
      </c>
      <c r="BR43" s="6">
        <v>0</v>
      </c>
      <c r="BS43" s="6">
        <v>0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>
        <v>0</v>
      </c>
      <c r="CA43" s="6">
        <v>0</v>
      </c>
      <c r="CB43" s="6">
        <v>0</v>
      </c>
      <c r="CC43" s="6">
        <f>IF(Table3[[#This Row],[Type]]="EM",IF((Table3[[#This Row],[Diameter]]/2)-Table3[[#This Row],[CornerRadius]]-0.012&gt;0,(Table3[[#This Row],[Diameter]]/2)-Table3[[#This Row],[CornerRadius]]-0.012,0),)</f>
        <v>0</v>
      </c>
      <c r="CE43" s="6" t="str">
        <f>IF(Table3[[#This Row],[ShoulderLength]]="","",IF(Table3[[#This Row],[ShoulderLength]]&lt;Table3[[#This Row],[LOC]],"FIX",""))</f>
        <v/>
      </c>
    </row>
    <row r="44" spans="1:83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v>0</v>
      </c>
      <c r="BN44" s="6">
        <v>0</v>
      </c>
      <c r="BO44" s="6">
        <v>0</v>
      </c>
      <c r="BP44" s="6">
        <v>0</v>
      </c>
      <c r="BQ44" s="6">
        <v>0</v>
      </c>
      <c r="BR44" s="6">
        <v>0</v>
      </c>
      <c r="BS44" s="6">
        <v>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>
        <v>0</v>
      </c>
      <c r="CA44" s="6">
        <v>0</v>
      </c>
      <c r="CB44" s="6">
        <v>0</v>
      </c>
      <c r="CC44" s="6">
        <f>IF(Table3[[#This Row],[Type]]="EM",IF((Table3[[#This Row],[Diameter]]/2)-Table3[[#This Row],[CornerRadius]]-0.012&gt;0,(Table3[[#This Row],[Diameter]]/2)-Table3[[#This Row],[CornerRadius]]-0.012,0),)</f>
        <v>0</v>
      </c>
      <c r="CE44" s="6" t="str">
        <f>IF(Table3[[#This Row],[ShoulderLength]]="","",IF(Table3[[#This Row],[ShoulderLength]]&lt;Table3[[#This Row],[LOC]],"FIX",""))</f>
        <v/>
      </c>
    </row>
    <row r="45" spans="1:83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0</v>
      </c>
      <c r="BO45" s="6">
        <v>0</v>
      </c>
      <c r="BP45" s="6">
        <v>0</v>
      </c>
      <c r="BQ45" s="6">
        <v>0</v>
      </c>
      <c r="BR45" s="6">
        <v>0</v>
      </c>
      <c r="BS45" s="6">
        <v>0</v>
      </c>
      <c r="BT45" s="6">
        <v>0</v>
      </c>
      <c r="BU45" s="6">
        <v>0</v>
      </c>
      <c r="BV45" s="6">
        <v>0</v>
      </c>
      <c r="BW45" s="6">
        <v>0</v>
      </c>
      <c r="BX45" s="6">
        <v>0</v>
      </c>
      <c r="BY45" s="6">
        <v>0</v>
      </c>
      <c r="BZ45" s="6">
        <v>0</v>
      </c>
      <c r="CA45" s="6">
        <v>0</v>
      </c>
      <c r="CB45" s="6">
        <v>0</v>
      </c>
      <c r="CC45" s="6">
        <f>IF(Table3[[#This Row],[Type]]="EM",IF((Table3[[#This Row],[Diameter]]/2)-Table3[[#This Row],[CornerRadius]]-0.012&gt;0,(Table3[[#This Row],[Diameter]]/2)-Table3[[#This Row],[CornerRadius]]-0.012,0),)</f>
        <v>0</v>
      </c>
      <c r="CE45" s="6" t="str">
        <f>IF(Table3[[#This Row],[ShoulderLength]]="","",IF(Table3[[#This Row],[ShoulderLength]]&lt;Table3[[#This Row],[LOC]],"FIX",""))</f>
        <v/>
      </c>
    </row>
    <row r="46" spans="1:83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0</v>
      </c>
      <c r="BO46" s="6">
        <v>0</v>
      </c>
      <c r="BP46" s="6">
        <v>0</v>
      </c>
      <c r="BQ46" s="6">
        <v>0</v>
      </c>
      <c r="BR46" s="6">
        <v>0</v>
      </c>
      <c r="BS46" s="6">
        <v>0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>
        <v>0</v>
      </c>
      <c r="CA46" s="6">
        <v>0</v>
      </c>
      <c r="CB46" s="6">
        <v>0</v>
      </c>
      <c r="CC46" s="6">
        <f>IF(Table3[[#This Row],[Type]]="EM",IF((Table3[[#This Row],[Diameter]]/2)-Table3[[#This Row],[CornerRadius]]-0.012&gt;0,(Table3[[#This Row],[Diameter]]/2)-Table3[[#This Row],[CornerRadius]]-0.012,0),)</f>
        <v>0</v>
      </c>
      <c r="CE46" s="6" t="str">
        <f>IF(Table3[[#This Row],[ShoulderLength]]="","",IF(Table3[[#This Row],[ShoulderLength]]&lt;Table3[[#This Row],[LOC]],"FIX",""))</f>
        <v/>
      </c>
    </row>
    <row r="47" spans="1:83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0</v>
      </c>
      <c r="BO47" s="6">
        <v>0</v>
      </c>
      <c r="BP47" s="6">
        <v>0</v>
      </c>
      <c r="BQ47" s="6">
        <v>0</v>
      </c>
      <c r="BR47" s="6">
        <v>0</v>
      </c>
      <c r="BS47" s="6">
        <v>0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>
        <v>0</v>
      </c>
      <c r="CA47" s="6">
        <v>0</v>
      </c>
      <c r="CB47" s="6">
        <v>0</v>
      </c>
      <c r="CC47" s="6">
        <f>IF(Table3[[#This Row],[Type]]="EM",IF((Table3[[#This Row],[Diameter]]/2)-Table3[[#This Row],[CornerRadius]]-0.012&gt;0,(Table3[[#This Row],[Diameter]]/2)-Table3[[#This Row],[CornerRadius]]-0.012,0),)</f>
        <v>0</v>
      </c>
      <c r="CE47" s="6" t="str">
        <f>IF(Table3[[#This Row],[ShoulderLength]]="","",IF(Table3[[#This Row],[ShoulderLength]]&lt;Table3[[#This Row],[LOC]],"FIX",""))</f>
        <v/>
      </c>
    </row>
    <row r="48" spans="1:83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0</v>
      </c>
      <c r="BO48" s="6">
        <v>0</v>
      </c>
      <c r="BP48" s="6">
        <v>0</v>
      </c>
      <c r="BQ48" s="6">
        <v>0</v>
      </c>
      <c r="BR48" s="6">
        <v>0</v>
      </c>
      <c r="BS48" s="6">
        <v>0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>
        <v>0</v>
      </c>
      <c r="CA48" s="6">
        <v>0</v>
      </c>
      <c r="CB48" s="6">
        <v>0</v>
      </c>
      <c r="CC48" s="6">
        <f>IF(Table3[[#This Row],[Type]]="EM",IF((Table3[[#This Row],[Diameter]]/2)-Table3[[#This Row],[CornerRadius]]-0.012&gt;0,(Table3[[#This Row],[Diameter]]/2)-Table3[[#This Row],[CornerRadius]]-0.012,0),)</f>
        <v>0</v>
      </c>
      <c r="CE48" s="6" t="str">
        <f>IF(Table3[[#This Row],[ShoulderLength]]="","",IF(Table3[[#This Row],[ShoulderLength]]&lt;Table3[[#This Row],[LOC]],"FIX",""))</f>
        <v/>
      </c>
    </row>
    <row r="49" spans="1:83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0</v>
      </c>
      <c r="BO49" s="6">
        <v>0</v>
      </c>
      <c r="BP49" s="6">
        <v>0</v>
      </c>
      <c r="BQ49" s="6">
        <v>0</v>
      </c>
      <c r="BR49" s="6">
        <v>0</v>
      </c>
      <c r="BS49" s="6">
        <v>0</v>
      </c>
      <c r="BT49" s="6">
        <v>0</v>
      </c>
      <c r="BU49" s="6">
        <v>0</v>
      </c>
      <c r="BV49" s="6">
        <v>0</v>
      </c>
      <c r="BW49" s="6">
        <v>0</v>
      </c>
      <c r="BX49" s="6">
        <v>0</v>
      </c>
      <c r="BY49" s="6">
        <v>0</v>
      </c>
      <c r="BZ49" s="6">
        <v>0</v>
      </c>
      <c r="CA49" s="6">
        <v>0</v>
      </c>
      <c r="CB49" s="6">
        <v>0</v>
      </c>
      <c r="CC49" s="6">
        <f>IF(Table3[[#This Row],[Type]]="EM",IF((Table3[[#This Row],[Diameter]]/2)-Table3[[#This Row],[CornerRadius]]-0.012&gt;0,(Table3[[#This Row],[Diameter]]/2)-Table3[[#This Row],[CornerRadius]]-0.012,0),)</f>
        <v>0</v>
      </c>
      <c r="CE49" s="6" t="str">
        <f>IF(Table3[[#This Row],[ShoulderLength]]="","",IF(Table3[[#This Row],[ShoulderLength]]&lt;Table3[[#This Row],[LOC]],"FIX",""))</f>
        <v/>
      </c>
    </row>
    <row r="50" spans="1:83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0</v>
      </c>
      <c r="BO50" s="6">
        <v>0</v>
      </c>
      <c r="BP50" s="6">
        <v>0</v>
      </c>
      <c r="BQ50" s="6">
        <v>0</v>
      </c>
      <c r="BR50" s="6">
        <v>0</v>
      </c>
      <c r="BS50" s="6">
        <v>0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>
        <v>0</v>
      </c>
      <c r="CA50" s="6">
        <v>0</v>
      </c>
      <c r="CB50" s="6">
        <v>0</v>
      </c>
      <c r="CC50" s="6">
        <f>IF(Table3[[#This Row],[Type]]="EM",IF((Table3[[#This Row],[Diameter]]/2)-Table3[[#This Row],[CornerRadius]]-0.012&gt;0,(Table3[[#This Row],[Diameter]]/2)-Table3[[#This Row],[CornerRadius]]-0.012,0),)</f>
        <v>0</v>
      </c>
      <c r="CE50" s="6" t="str">
        <f>IF(Table3[[#This Row],[ShoulderLength]]="","",IF(Table3[[#This Row],[ShoulderLength]]&lt;Table3[[#This Row],[LOC]],"FIX",""))</f>
        <v/>
      </c>
    </row>
    <row r="51" spans="1:83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0</v>
      </c>
      <c r="BO51" s="6">
        <v>0</v>
      </c>
      <c r="BP51" s="6">
        <v>0</v>
      </c>
      <c r="BQ51" s="6">
        <v>0</v>
      </c>
      <c r="BR51" s="6">
        <v>0</v>
      </c>
      <c r="BS51" s="6">
        <v>0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>
        <v>0</v>
      </c>
      <c r="CA51" s="6">
        <v>0</v>
      </c>
      <c r="CB51" s="6">
        <v>0</v>
      </c>
      <c r="CC51" s="6">
        <f>IF(Table3[[#This Row],[Type]]="EM",IF((Table3[[#This Row],[Diameter]]/2)-Table3[[#This Row],[CornerRadius]]-0.012&gt;0,(Table3[[#This Row],[Diameter]]/2)-Table3[[#This Row],[CornerRadius]]-0.012,0),)</f>
        <v>0</v>
      </c>
      <c r="CE51" s="6" t="str">
        <f>IF(Table3[[#This Row],[ShoulderLength]]="","",IF(Table3[[#This Row],[ShoulderLength]]&lt;Table3[[#This Row],[LOC]],"FIX",""))</f>
        <v/>
      </c>
    </row>
    <row r="52" spans="1:83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v>0</v>
      </c>
      <c r="BN52" s="6">
        <v>0</v>
      </c>
      <c r="BO52" s="6">
        <v>0</v>
      </c>
      <c r="BP52" s="6">
        <v>0</v>
      </c>
      <c r="BQ52" s="6">
        <v>0</v>
      </c>
      <c r="BR52" s="6">
        <v>0</v>
      </c>
      <c r="BS52" s="6">
        <v>0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>
        <v>0</v>
      </c>
      <c r="CA52" s="6">
        <v>0</v>
      </c>
      <c r="CB52" s="6">
        <v>0</v>
      </c>
      <c r="CC52" s="6">
        <f>IF(Table3[[#This Row],[Type]]="EM",IF((Table3[[#This Row],[Diameter]]/2)-Table3[[#This Row],[CornerRadius]]-0.012&gt;0,(Table3[[#This Row],[Diameter]]/2)-Table3[[#This Row],[CornerRadius]]-0.012,0),)</f>
        <v>0</v>
      </c>
      <c r="CE52" s="6" t="str">
        <f>IF(Table3[[#This Row],[ShoulderLength]]="","",IF(Table3[[#This Row],[ShoulderLength]]&lt;Table3[[#This Row],[LOC]],"FIX",""))</f>
        <v/>
      </c>
    </row>
    <row r="53" spans="1:83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v>0</v>
      </c>
      <c r="BN53" s="6">
        <v>0</v>
      </c>
      <c r="BO53" s="6">
        <v>0</v>
      </c>
      <c r="BP53" s="6">
        <v>0</v>
      </c>
      <c r="BQ53" s="6">
        <v>0</v>
      </c>
      <c r="BR53" s="6">
        <v>0</v>
      </c>
      <c r="BS53" s="6">
        <v>0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>
        <v>0</v>
      </c>
      <c r="CA53" s="6">
        <v>0</v>
      </c>
      <c r="CB53" s="6">
        <v>0</v>
      </c>
      <c r="CC53" s="6">
        <f>IF(Table3[[#This Row],[Type]]="EM",IF((Table3[[#This Row],[Diameter]]/2)-Table3[[#This Row],[CornerRadius]]-0.012&gt;0,(Table3[[#This Row],[Diameter]]/2)-Table3[[#This Row],[CornerRadius]]-0.012,0),)</f>
        <v>0</v>
      </c>
      <c r="CE53" s="6" t="str">
        <f>IF(Table3[[#This Row],[ShoulderLength]]="","",IF(Table3[[#This Row],[ShoulderLength]]&lt;Table3[[#This Row],[LOC]],"FIX",""))</f>
        <v/>
      </c>
    </row>
    <row r="54" spans="1:83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>
        <v>0</v>
      </c>
      <c r="CA54" s="6">
        <v>0</v>
      </c>
      <c r="CB54" s="6">
        <v>0</v>
      </c>
      <c r="CC54" s="6">
        <f>IF(Table3[[#This Row],[Type]]="EM",IF((Table3[[#This Row],[Diameter]]/2)-Table3[[#This Row],[CornerRadius]]-0.012&gt;0,(Table3[[#This Row],[Diameter]]/2)-Table3[[#This Row],[CornerRadius]]-0.012,0),)</f>
        <v>0</v>
      </c>
      <c r="CE54" s="6" t="str">
        <f>IF(Table3[[#This Row],[ShoulderLength]]="","",IF(Table3[[#This Row],[ShoulderLength]]&lt;Table3[[#This Row],[LOC]],"FIX",""))</f>
        <v/>
      </c>
    </row>
    <row r="55" spans="1:83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0</v>
      </c>
      <c r="BO55" s="6">
        <v>0</v>
      </c>
      <c r="BP55" s="6">
        <v>0</v>
      </c>
      <c r="BQ55" s="6">
        <v>0</v>
      </c>
      <c r="BR55" s="6">
        <v>0</v>
      </c>
      <c r="BS55" s="6">
        <v>0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>
        <v>0</v>
      </c>
      <c r="CA55" s="6">
        <v>0</v>
      </c>
      <c r="CB55" s="6">
        <v>0</v>
      </c>
      <c r="CC55" s="6">
        <f>IF(Table3[[#This Row],[Type]]="EM",IF((Table3[[#This Row],[Diameter]]/2)-Table3[[#This Row],[CornerRadius]]-0.012&gt;0,(Table3[[#This Row],[Diameter]]/2)-Table3[[#This Row],[CornerRadius]]-0.012,0),)</f>
        <v>0</v>
      </c>
      <c r="CE55" s="6" t="str">
        <f>IF(Table3[[#This Row],[ShoulderLength]]="","",IF(Table3[[#This Row],[ShoulderLength]]&lt;Table3[[#This Row],[LOC]],"FIX",""))</f>
        <v/>
      </c>
    </row>
    <row r="56" spans="1:83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0</v>
      </c>
      <c r="BN56" s="6">
        <v>0</v>
      </c>
      <c r="BO56" s="6">
        <v>0</v>
      </c>
      <c r="BP56" s="6">
        <v>0</v>
      </c>
      <c r="BQ56" s="6">
        <v>0</v>
      </c>
      <c r="BR56" s="6">
        <v>0</v>
      </c>
      <c r="BS56" s="6">
        <v>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>
        <v>0</v>
      </c>
      <c r="CA56" s="6">
        <v>0</v>
      </c>
      <c r="CB56" s="6">
        <v>0</v>
      </c>
      <c r="CC56" s="6">
        <f>IF(Table3[[#This Row],[Type]]="EM",IF((Table3[[#This Row],[Diameter]]/2)-Table3[[#This Row],[CornerRadius]]-0.012&gt;0,(Table3[[#This Row],[Diameter]]/2)-Table3[[#This Row],[CornerRadius]]-0.012,0),)</f>
        <v>0</v>
      </c>
      <c r="CE56" s="6" t="str">
        <f>IF(Table3[[#This Row],[ShoulderLength]]="","",IF(Table3[[#This Row],[ShoulderLength]]&lt;Table3[[#This Row],[LOC]],"FIX",""))</f>
        <v/>
      </c>
    </row>
    <row r="57" spans="1:83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v>0</v>
      </c>
      <c r="BN57" s="6">
        <v>0</v>
      </c>
      <c r="BO57" s="6">
        <v>0</v>
      </c>
      <c r="BP57" s="6">
        <v>0</v>
      </c>
      <c r="BQ57" s="6">
        <v>0</v>
      </c>
      <c r="BR57" s="6">
        <v>0</v>
      </c>
      <c r="BS57" s="6">
        <v>0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>
        <v>0</v>
      </c>
      <c r="CA57" s="6">
        <v>0</v>
      </c>
      <c r="CB57" s="6">
        <v>0</v>
      </c>
      <c r="CC57" s="6">
        <f>IF(Table3[[#This Row],[Type]]="EM",IF((Table3[[#This Row],[Diameter]]/2)-Table3[[#This Row],[CornerRadius]]-0.012&gt;0,(Table3[[#This Row],[Diameter]]/2)-Table3[[#This Row],[CornerRadius]]-0.012,0),)</f>
        <v>0</v>
      </c>
      <c r="CE57" s="6" t="str">
        <f>IF(Table3[[#This Row],[ShoulderLength]]="","",IF(Table3[[#This Row],[ShoulderLength]]&lt;Table3[[#This Row],[LOC]],"FIX",""))</f>
        <v/>
      </c>
    </row>
    <row r="58" spans="1:83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0</v>
      </c>
      <c r="BO58" s="6">
        <v>0</v>
      </c>
      <c r="BP58" s="6">
        <v>0</v>
      </c>
      <c r="BQ58" s="6">
        <v>0</v>
      </c>
      <c r="BR58" s="6">
        <v>0</v>
      </c>
      <c r="BS58" s="6">
        <v>0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>
        <v>0</v>
      </c>
      <c r="CA58" s="6">
        <v>0</v>
      </c>
      <c r="CB58" s="6">
        <v>0</v>
      </c>
      <c r="CC58" s="6">
        <f>IF(Table3[[#This Row],[Type]]="EM",IF((Table3[[#This Row],[Diameter]]/2)-Table3[[#This Row],[CornerRadius]]-0.012&gt;0,(Table3[[#This Row],[Diameter]]/2)-Table3[[#This Row],[CornerRadius]]-0.012,0),)</f>
        <v>0</v>
      </c>
      <c r="CE58" s="6" t="str">
        <f>IF(Table3[[#This Row],[ShoulderLength]]="","",IF(Table3[[#This Row],[ShoulderLength]]&lt;Table3[[#This Row],[LOC]],"FIX",""))</f>
        <v/>
      </c>
    </row>
    <row r="59" spans="1:83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v>0</v>
      </c>
      <c r="BN59" s="6">
        <v>0</v>
      </c>
      <c r="BO59" s="6">
        <v>0</v>
      </c>
      <c r="BP59" s="6">
        <v>0</v>
      </c>
      <c r="BQ59" s="6">
        <v>0</v>
      </c>
      <c r="BR59" s="6">
        <v>0</v>
      </c>
      <c r="BS59" s="6">
        <v>0</v>
      </c>
      <c r="BT59" s="6">
        <v>0</v>
      </c>
      <c r="BU59" s="6">
        <v>0</v>
      </c>
      <c r="BV59" s="6">
        <v>0</v>
      </c>
      <c r="BW59" s="6">
        <v>0</v>
      </c>
      <c r="BX59" s="6">
        <v>0</v>
      </c>
      <c r="BY59" s="6">
        <v>0</v>
      </c>
      <c r="BZ59" s="6">
        <v>0</v>
      </c>
      <c r="CA59" s="6">
        <v>0</v>
      </c>
      <c r="CB59" s="6">
        <v>0</v>
      </c>
      <c r="CC59" s="6">
        <f>IF(Table3[[#This Row],[Type]]="EM",IF((Table3[[#This Row],[Diameter]]/2)-Table3[[#This Row],[CornerRadius]]-0.012&gt;0,(Table3[[#This Row],[Diameter]]/2)-Table3[[#This Row],[CornerRadius]]-0.012,0),)</f>
        <v>0</v>
      </c>
      <c r="CE59" s="6" t="str">
        <f>IF(Table3[[#This Row],[ShoulderLength]]="","",IF(Table3[[#This Row],[ShoulderLength]]&lt;Table3[[#This Row],[LOC]],"FIX",""))</f>
        <v/>
      </c>
    </row>
    <row r="60" spans="1:83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v>0</v>
      </c>
      <c r="BN60" s="6">
        <v>0</v>
      </c>
      <c r="BO60" s="6">
        <v>0</v>
      </c>
      <c r="BP60" s="6">
        <v>0</v>
      </c>
      <c r="BQ60" s="6">
        <v>0</v>
      </c>
      <c r="BR60" s="6">
        <v>0</v>
      </c>
      <c r="BS60" s="6">
        <v>0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>
        <v>0</v>
      </c>
      <c r="CA60" s="6">
        <v>0</v>
      </c>
      <c r="CB60" s="6">
        <v>0</v>
      </c>
      <c r="CC60" s="6">
        <f>IF(Table3[[#This Row],[Type]]="EM",IF((Table3[[#This Row],[Diameter]]/2)-Table3[[#This Row],[CornerRadius]]-0.012&gt;0,(Table3[[#This Row],[Diameter]]/2)-Table3[[#This Row],[CornerRadius]]-0.012,0),)</f>
        <v>0</v>
      </c>
      <c r="CE60" s="6" t="str">
        <f>IF(Table3[[#This Row],[ShoulderLength]]="","",IF(Table3[[#This Row],[ShoulderLength]]&lt;Table3[[#This Row],[LOC]],"FIX",""))</f>
        <v/>
      </c>
    </row>
    <row r="61" spans="1:83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0</v>
      </c>
      <c r="BO61" s="6">
        <v>0</v>
      </c>
      <c r="BP61" s="6">
        <v>0</v>
      </c>
      <c r="BQ61" s="6">
        <v>0</v>
      </c>
      <c r="BR61" s="6">
        <v>0</v>
      </c>
      <c r="BS61" s="6">
        <v>0</v>
      </c>
      <c r="BT61" s="6">
        <v>0</v>
      </c>
      <c r="BU61" s="6">
        <v>0</v>
      </c>
      <c r="BV61" s="6">
        <v>0</v>
      </c>
      <c r="BW61" s="6">
        <v>0</v>
      </c>
      <c r="BX61" s="6">
        <v>0</v>
      </c>
      <c r="BY61" s="6">
        <v>0</v>
      </c>
      <c r="BZ61" s="6">
        <v>0</v>
      </c>
      <c r="CA61" s="6">
        <v>0</v>
      </c>
      <c r="CB61" s="6">
        <v>0</v>
      </c>
      <c r="CC61" s="6">
        <f>IF(Table3[[#This Row],[Type]]="EM",IF((Table3[[#This Row],[Diameter]]/2)-Table3[[#This Row],[CornerRadius]]-0.012&gt;0,(Table3[[#This Row],[Diameter]]/2)-Table3[[#This Row],[CornerRadius]]-0.012,0),)</f>
        <v>0</v>
      </c>
      <c r="CE61" s="6" t="str">
        <f>IF(Table3[[#This Row],[ShoulderLength]]="","",IF(Table3[[#This Row],[ShoulderLength]]&lt;Table3[[#This Row],[LOC]],"FIX",""))</f>
        <v/>
      </c>
    </row>
    <row r="62" spans="1:83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v>0</v>
      </c>
      <c r="BN62" s="6">
        <v>0</v>
      </c>
      <c r="BO62" s="6">
        <v>0</v>
      </c>
      <c r="BP62" s="6">
        <v>0</v>
      </c>
      <c r="BQ62" s="6">
        <v>0</v>
      </c>
      <c r="BR62" s="6">
        <v>0</v>
      </c>
      <c r="BS62" s="6">
        <v>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>
        <v>0</v>
      </c>
      <c r="CA62" s="6">
        <v>0</v>
      </c>
      <c r="CB62" s="6">
        <v>0</v>
      </c>
      <c r="CC62" s="6">
        <f>IF(Table3[[#This Row],[Type]]="EM",IF((Table3[[#This Row],[Diameter]]/2)-Table3[[#This Row],[CornerRadius]]-0.012&gt;0,(Table3[[#This Row],[Diameter]]/2)-Table3[[#This Row],[CornerRadius]]-0.012,0),)</f>
        <v>0</v>
      </c>
      <c r="CE62" s="6" t="str">
        <f>IF(Table3[[#This Row],[ShoulderLength]]="","",IF(Table3[[#This Row],[ShoulderLength]]&lt;Table3[[#This Row],[LOC]],"FIX",""))</f>
        <v/>
      </c>
    </row>
    <row r="63" spans="1:83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0</v>
      </c>
      <c r="BO63" s="6">
        <v>0</v>
      </c>
      <c r="BP63" s="6">
        <v>0</v>
      </c>
      <c r="BQ63" s="6">
        <v>0</v>
      </c>
      <c r="BR63" s="6">
        <v>0</v>
      </c>
      <c r="BS63" s="6">
        <v>0</v>
      </c>
      <c r="BT63" s="6">
        <v>0</v>
      </c>
      <c r="BU63" s="6">
        <v>0</v>
      </c>
      <c r="BV63" s="6">
        <v>0</v>
      </c>
      <c r="BW63" s="6">
        <v>0</v>
      </c>
      <c r="BX63" s="6">
        <v>0</v>
      </c>
      <c r="BY63" s="6">
        <v>0</v>
      </c>
      <c r="BZ63" s="6">
        <v>0</v>
      </c>
      <c r="CA63" s="6">
        <v>0</v>
      </c>
      <c r="CB63" s="6">
        <v>0</v>
      </c>
      <c r="CC63" s="6">
        <f>IF(Table3[[#This Row],[Type]]="EM",IF((Table3[[#This Row],[Diameter]]/2)-Table3[[#This Row],[CornerRadius]]-0.012&gt;0,(Table3[[#This Row],[Diameter]]/2)-Table3[[#This Row],[CornerRadius]]-0.012,0),)</f>
        <v>0</v>
      </c>
      <c r="CE63" s="6" t="str">
        <f>IF(Table3[[#This Row],[ShoulderLength]]="","",IF(Table3[[#This Row],[ShoulderLength]]&lt;Table3[[#This Row],[LOC]],"FIX",""))</f>
        <v/>
      </c>
    </row>
    <row r="64" spans="1:83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0</v>
      </c>
      <c r="BO64" s="6">
        <v>0</v>
      </c>
      <c r="BP64" s="6">
        <v>0</v>
      </c>
      <c r="BQ64" s="6">
        <v>0</v>
      </c>
      <c r="BR64" s="6">
        <v>0</v>
      </c>
      <c r="BS64" s="6">
        <v>0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>
        <v>0</v>
      </c>
      <c r="CA64" s="6">
        <v>0</v>
      </c>
      <c r="CB64" s="6">
        <v>0</v>
      </c>
      <c r="CC64" s="6">
        <f>IF(Table3[[#This Row],[Type]]="EM",IF((Table3[[#This Row],[Diameter]]/2)-Table3[[#This Row],[CornerRadius]]-0.012&gt;0,(Table3[[#This Row],[Diameter]]/2)-Table3[[#This Row],[CornerRadius]]-0.012,0),)</f>
        <v>0</v>
      </c>
      <c r="CE64" s="6" t="str">
        <f>IF(Table3[[#This Row],[ShoulderLength]]="","",IF(Table3[[#This Row],[ShoulderLength]]&lt;Table3[[#This Row],[LOC]],"FIX",""))</f>
        <v/>
      </c>
    </row>
    <row r="65" spans="1:83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v>0</v>
      </c>
      <c r="BN65" s="6">
        <v>0</v>
      </c>
      <c r="BO65" s="6">
        <v>0</v>
      </c>
      <c r="BP65" s="6">
        <v>0</v>
      </c>
      <c r="BQ65" s="6">
        <v>0</v>
      </c>
      <c r="BR65" s="6">
        <v>0</v>
      </c>
      <c r="BS65" s="6">
        <v>0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>
        <v>0</v>
      </c>
      <c r="CA65" s="6">
        <v>0</v>
      </c>
      <c r="CB65" s="6">
        <v>0</v>
      </c>
      <c r="CC65" s="6">
        <f>IF(Table3[[#This Row],[Type]]="EM",IF((Table3[[#This Row],[Diameter]]/2)-Table3[[#This Row],[CornerRadius]]-0.012&gt;0,(Table3[[#This Row],[Diameter]]/2)-Table3[[#This Row],[CornerRadius]]-0.012,0),)</f>
        <v>0</v>
      </c>
      <c r="CE65" s="6" t="str">
        <f>IF(Table3[[#This Row],[ShoulderLength]]="","",IF(Table3[[#This Row],[ShoulderLength]]&lt;Table3[[#This Row],[LOC]],"FIX",""))</f>
        <v/>
      </c>
    </row>
    <row r="66" spans="1:83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v>0</v>
      </c>
      <c r="BN66" s="6">
        <v>0</v>
      </c>
      <c r="BO66" s="6">
        <v>0</v>
      </c>
      <c r="BP66" s="6">
        <v>0</v>
      </c>
      <c r="BQ66" s="6">
        <v>0</v>
      </c>
      <c r="BR66" s="6">
        <v>0</v>
      </c>
      <c r="BS66" s="6">
        <v>0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>
        <v>0</v>
      </c>
      <c r="CA66" s="6">
        <v>0</v>
      </c>
      <c r="CB66" s="6">
        <v>0</v>
      </c>
      <c r="CC66" s="6">
        <f>IF(Table3[[#This Row],[Type]]="EM",IF((Table3[[#This Row],[Diameter]]/2)-Table3[[#This Row],[CornerRadius]]-0.012&gt;0,(Table3[[#This Row],[Diameter]]/2)-Table3[[#This Row],[CornerRadius]]-0.012,0),)</f>
        <v>0</v>
      </c>
      <c r="CE66" s="6" t="str">
        <f>IF(Table3[[#This Row],[ShoulderLength]]="","",IF(Table3[[#This Row],[ShoulderLength]]&lt;Table3[[#This Row],[LOC]],"FIX",""))</f>
        <v/>
      </c>
    </row>
    <row r="67" spans="1:83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0</v>
      </c>
      <c r="BO67" s="6">
        <v>0</v>
      </c>
      <c r="BP67" s="6">
        <v>0</v>
      </c>
      <c r="BQ67" s="6">
        <v>0</v>
      </c>
      <c r="BR67" s="6">
        <v>0</v>
      </c>
      <c r="BS67" s="6">
        <v>0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>
        <v>0</v>
      </c>
      <c r="CA67" s="6">
        <v>0</v>
      </c>
      <c r="CB67" s="6">
        <v>0</v>
      </c>
      <c r="CC67" s="6">
        <f>IF(Table3[[#This Row],[Type]]="EM",IF((Table3[[#This Row],[Diameter]]/2)-Table3[[#This Row],[CornerRadius]]-0.012&gt;0,(Table3[[#This Row],[Diameter]]/2)-Table3[[#This Row],[CornerRadius]]-0.012,0),)</f>
        <v>0</v>
      </c>
      <c r="CE67" s="6" t="str">
        <f>IF(Table3[[#This Row],[ShoulderLength]]="","",IF(Table3[[#This Row],[ShoulderLength]]&lt;Table3[[#This Row],[LOC]],"FIX",""))</f>
        <v/>
      </c>
    </row>
    <row r="68" spans="1:83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0</v>
      </c>
      <c r="BO68" s="6">
        <v>0</v>
      </c>
      <c r="BP68" s="6">
        <v>0</v>
      </c>
      <c r="BQ68" s="6">
        <v>0</v>
      </c>
      <c r="BR68" s="6">
        <v>0</v>
      </c>
      <c r="BS68" s="6">
        <v>0</v>
      </c>
      <c r="BT68" s="6">
        <v>0</v>
      </c>
      <c r="BU68" s="6">
        <v>0</v>
      </c>
      <c r="BV68" s="6">
        <v>0</v>
      </c>
      <c r="BW68" s="6">
        <v>0</v>
      </c>
      <c r="BX68" s="6">
        <v>0</v>
      </c>
      <c r="BY68" s="6">
        <v>0</v>
      </c>
      <c r="BZ68" s="6">
        <v>0</v>
      </c>
      <c r="CA68" s="6">
        <v>0</v>
      </c>
      <c r="CB68" s="6">
        <v>0</v>
      </c>
      <c r="CC68" s="6">
        <f>IF(Table3[[#This Row],[Type]]="EM",IF((Table3[[#This Row],[Diameter]]/2)-Table3[[#This Row],[CornerRadius]]-0.012&gt;0,(Table3[[#This Row],[Diameter]]/2)-Table3[[#This Row],[CornerRadius]]-0.012,0),)</f>
        <v>0</v>
      </c>
      <c r="CE68" s="6" t="str">
        <f>IF(Table3[[#This Row],[ShoulderLength]]="","",IF(Table3[[#This Row],[ShoulderLength]]&lt;Table3[[#This Row],[LOC]],"FIX",""))</f>
        <v/>
      </c>
    </row>
    <row r="69" spans="1:83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0</v>
      </c>
      <c r="BO69" s="6">
        <v>0</v>
      </c>
      <c r="BP69" s="6">
        <v>0</v>
      </c>
      <c r="BQ69" s="6">
        <v>0</v>
      </c>
      <c r="BR69" s="6">
        <v>0</v>
      </c>
      <c r="BS69" s="6">
        <v>0</v>
      </c>
      <c r="BT69" s="6">
        <v>0</v>
      </c>
      <c r="BU69" s="6">
        <v>0</v>
      </c>
      <c r="BV69" s="6">
        <v>0</v>
      </c>
      <c r="BW69" s="6">
        <v>0</v>
      </c>
      <c r="BX69" s="6">
        <v>0</v>
      </c>
      <c r="BY69" s="6">
        <v>0</v>
      </c>
      <c r="BZ69" s="6">
        <v>0</v>
      </c>
      <c r="CA69" s="6">
        <v>0</v>
      </c>
      <c r="CB69" s="6">
        <v>0</v>
      </c>
      <c r="CC69" s="6">
        <f>IF(Table3[[#This Row],[Type]]="EM",IF((Table3[[#This Row],[Diameter]]/2)-Table3[[#This Row],[CornerRadius]]-0.012&gt;0,(Table3[[#This Row],[Diameter]]/2)-Table3[[#This Row],[CornerRadius]]-0.012,0),)</f>
        <v>0</v>
      </c>
      <c r="CE69" s="6" t="str">
        <f>IF(Table3[[#This Row],[ShoulderLength]]="","",IF(Table3[[#This Row],[ShoulderLength]]&lt;Table3[[#This Row],[LOC]],"FIX",""))</f>
        <v/>
      </c>
    </row>
    <row r="70" spans="1:83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0</v>
      </c>
      <c r="BO70" s="6">
        <v>0</v>
      </c>
      <c r="BP70" s="6">
        <v>0</v>
      </c>
      <c r="BQ70" s="6">
        <v>0</v>
      </c>
      <c r="BR70" s="6">
        <v>0</v>
      </c>
      <c r="BS70" s="6">
        <v>0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>
        <v>0</v>
      </c>
      <c r="CA70" s="6">
        <v>0</v>
      </c>
      <c r="CB70" s="6">
        <v>0</v>
      </c>
      <c r="CC70" s="6">
        <f>IF(Table3[[#This Row],[Type]]="EM",IF((Table3[[#This Row],[Diameter]]/2)-Table3[[#This Row],[CornerRadius]]-0.012&gt;0,(Table3[[#This Row],[Diameter]]/2)-Table3[[#This Row],[CornerRadius]]-0.012,0),)</f>
        <v>0</v>
      </c>
      <c r="CE70" s="6" t="str">
        <f>IF(Table3[[#This Row],[ShoulderLength]]="","",IF(Table3[[#This Row],[ShoulderLength]]&lt;Table3[[#This Row],[LOC]],"FIX",""))</f>
        <v/>
      </c>
    </row>
    <row r="71" spans="1:83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0</v>
      </c>
      <c r="BO71" s="6">
        <v>0</v>
      </c>
      <c r="BP71" s="6">
        <v>0</v>
      </c>
      <c r="BQ71" s="6">
        <v>0</v>
      </c>
      <c r="BR71" s="6">
        <v>0</v>
      </c>
      <c r="BS71" s="6">
        <v>0</v>
      </c>
      <c r="BT71" s="6">
        <v>0</v>
      </c>
      <c r="BU71" s="6">
        <v>0</v>
      </c>
      <c r="BV71" s="6">
        <v>0</v>
      </c>
      <c r="BW71" s="6">
        <v>0</v>
      </c>
      <c r="BX71" s="6">
        <v>0</v>
      </c>
      <c r="BY71" s="6">
        <v>0</v>
      </c>
      <c r="BZ71" s="6">
        <v>0</v>
      </c>
      <c r="CA71" s="6">
        <v>0</v>
      </c>
      <c r="CB71" s="6">
        <v>0</v>
      </c>
      <c r="CC71" s="6">
        <f>IF(Table3[[#This Row],[Type]]="EM",IF((Table3[[#This Row],[Diameter]]/2)-Table3[[#This Row],[CornerRadius]]-0.012&gt;0,(Table3[[#This Row],[Diameter]]/2)-Table3[[#This Row],[CornerRadius]]-0.012,0),)</f>
        <v>0</v>
      </c>
      <c r="CE71" s="6" t="str">
        <f>IF(Table3[[#This Row],[ShoulderLength]]="","",IF(Table3[[#This Row],[ShoulderLength]]&lt;Table3[[#This Row],[LOC]],"FIX",""))</f>
        <v/>
      </c>
    </row>
    <row r="72" spans="1:83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v>0</v>
      </c>
      <c r="BN72" s="6">
        <v>0</v>
      </c>
      <c r="BO72" s="6">
        <v>0</v>
      </c>
      <c r="BP72" s="6">
        <v>0</v>
      </c>
      <c r="BQ72" s="6">
        <v>0</v>
      </c>
      <c r="BR72" s="6">
        <v>0</v>
      </c>
      <c r="BS72" s="6">
        <v>0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>
        <v>0</v>
      </c>
      <c r="CA72" s="6">
        <v>0</v>
      </c>
      <c r="CB72" s="6">
        <v>0</v>
      </c>
      <c r="CC72" s="6">
        <f>IF(Table3[[#This Row],[Type]]="EM",IF((Table3[[#This Row],[Diameter]]/2)-Table3[[#This Row],[CornerRadius]]-0.012&gt;0,(Table3[[#This Row],[Diameter]]/2)-Table3[[#This Row],[CornerRadius]]-0.012,0),)</f>
        <v>0</v>
      </c>
      <c r="CE72" s="6" t="str">
        <f>IF(Table3[[#This Row],[ShoulderLength]]="","",IF(Table3[[#This Row],[ShoulderLength]]&lt;Table3[[#This Row],[LOC]],"FIX",""))</f>
        <v/>
      </c>
    </row>
    <row r="73" spans="1:83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0</v>
      </c>
      <c r="BO73" s="6">
        <v>0</v>
      </c>
      <c r="BP73" s="6">
        <v>0</v>
      </c>
      <c r="BQ73" s="6">
        <v>0</v>
      </c>
      <c r="BR73" s="6">
        <v>0</v>
      </c>
      <c r="BS73" s="6">
        <v>0</v>
      </c>
      <c r="BT73" s="6">
        <v>0</v>
      </c>
      <c r="BU73" s="6">
        <v>0</v>
      </c>
      <c r="BV73" s="6">
        <v>0</v>
      </c>
      <c r="BW73" s="6">
        <v>0</v>
      </c>
      <c r="BX73" s="6">
        <v>0</v>
      </c>
      <c r="BY73" s="6">
        <v>0</v>
      </c>
      <c r="BZ73" s="6">
        <v>0</v>
      </c>
      <c r="CA73" s="6">
        <v>0</v>
      </c>
      <c r="CB73" s="6">
        <v>0</v>
      </c>
      <c r="CC73" s="6">
        <f>IF(Table3[[#This Row],[Type]]="EM",IF((Table3[[#This Row],[Diameter]]/2)-Table3[[#This Row],[CornerRadius]]-0.012&gt;0,(Table3[[#This Row],[Diameter]]/2)-Table3[[#This Row],[CornerRadius]]-0.012,0),)</f>
        <v>0</v>
      </c>
      <c r="CE73" s="6" t="str">
        <f>IF(Table3[[#This Row],[ShoulderLength]]="","",IF(Table3[[#This Row],[ShoulderLength]]&lt;Table3[[#This Row],[LOC]],"FIX",""))</f>
        <v/>
      </c>
    </row>
    <row r="74" spans="1:83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0</v>
      </c>
      <c r="BO74" s="6">
        <v>0</v>
      </c>
      <c r="BP74" s="6">
        <v>0</v>
      </c>
      <c r="BQ74" s="6">
        <v>0</v>
      </c>
      <c r="BR74" s="6">
        <v>0</v>
      </c>
      <c r="BS74" s="6">
        <v>0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>
        <v>0</v>
      </c>
      <c r="CA74" s="6">
        <v>0</v>
      </c>
      <c r="CB74" s="6">
        <v>0</v>
      </c>
      <c r="CC74" s="6">
        <f>IF(Table3[[#This Row],[Type]]="EM",IF((Table3[[#This Row],[Diameter]]/2)-Table3[[#This Row],[CornerRadius]]-0.012&gt;0,(Table3[[#This Row],[Diameter]]/2)-Table3[[#This Row],[CornerRadius]]-0.012,0),)</f>
        <v>0</v>
      </c>
      <c r="CE74" s="6" t="str">
        <f>IF(Table3[[#This Row],[ShoulderLength]]="","",IF(Table3[[#This Row],[ShoulderLength]]&lt;Table3[[#This Row],[LOC]],"FIX",""))</f>
        <v/>
      </c>
    </row>
    <row r="75" spans="1:83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0</v>
      </c>
      <c r="BO75" s="6">
        <v>0</v>
      </c>
      <c r="BP75" s="6">
        <v>0</v>
      </c>
      <c r="BQ75" s="6">
        <v>0</v>
      </c>
      <c r="BR75" s="6">
        <v>0</v>
      </c>
      <c r="BS75" s="6">
        <v>0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>
        <v>0</v>
      </c>
      <c r="CA75" s="6">
        <v>0</v>
      </c>
      <c r="CB75" s="6">
        <v>0</v>
      </c>
      <c r="CC75" s="6">
        <f>IF(Table3[[#This Row],[Type]]="EM",IF((Table3[[#This Row],[Diameter]]/2)-Table3[[#This Row],[CornerRadius]]-0.012&gt;0,(Table3[[#This Row],[Diameter]]/2)-Table3[[#This Row],[CornerRadius]]-0.012,0),)</f>
        <v>0</v>
      </c>
      <c r="CE75" s="6" t="str">
        <f>IF(Table3[[#This Row],[ShoulderLength]]="","",IF(Table3[[#This Row],[ShoulderLength]]&lt;Table3[[#This Row],[LOC]],"FIX",""))</f>
        <v/>
      </c>
    </row>
    <row r="76" spans="1:83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0</v>
      </c>
      <c r="BO76" s="6">
        <v>0</v>
      </c>
      <c r="BP76" s="6">
        <v>0</v>
      </c>
      <c r="BQ76" s="6">
        <v>0</v>
      </c>
      <c r="BR76" s="6">
        <v>0</v>
      </c>
      <c r="BS76" s="6">
        <v>0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>
        <v>0</v>
      </c>
      <c r="CA76" s="6">
        <v>0</v>
      </c>
      <c r="CB76" s="6">
        <v>0</v>
      </c>
      <c r="CC76" s="6">
        <f>IF(Table3[[#This Row],[Type]]="EM",IF((Table3[[#This Row],[Diameter]]/2)-Table3[[#This Row],[CornerRadius]]-0.012&gt;0,(Table3[[#This Row],[Diameter]]/2)-Table3[[#This Row],[CornerRadius]]-0.012,0),)</f>
        <v>0</v>
      </c>
      <c r="CE76" s="6" t="str">
        <f>IF(Table3[[#This Row],[ShoulderLength]]="","",IF(Table3[[#This Row],[ShoulderLength]]&lt;Table3[[#This Row],[LOC]],"FIX",""))</f>
        <v/>
      </c>
    </row>
    <row r="77" spans="1:83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0</v>
      </c>
      <c r="BO77" s="6">
        <v>0</v>
      </c>
      <c r="BP77" s="6">
        <v>0</v>
      </c>
      <c r="BQ77" s="6">
        <v>0</v>
      </c>
      <c r="BR77" s="6">
        <v>0</v>
      </c>
      <c r="BS77" s="6">
        <v>0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>
        <v>0</v>
      </c>
      <c r="CA77" s="6">
        <v>0</v>
      </c>
      <c r="CB77" s="6">
        <v>0</v>
      </c>
      <c r="CC77" s="6">
        <f>IF(Table3[[#This Row],[Type]]="EM",IF((Table3[[#This Row],[Diameter]]/2)-Table3[[#This Row],[CornerRadius]]-0.012&gt;0,(Table3[[#This Row],[Diameter]]/2)-Table3[[#This Row],[CornerRadius]]-0.012,0),)</f>
        <v>0</v>
      </c>
      <c r="CE77" s="6" t="str">
        <f>IF(Table3[[#This Row],[ShoulderLength]]="","",IF(Table3[[#This Row],[ShoulderLength]]&lt;Table3[[#This Row],[LOC]],"FIX",""))</f>
        <v/>
      </c>
    </row>
    <row r="78" spans="1:83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v>0</v>
      </c>
      <c r="BN78" s="6">
        <v>0</v>
      </c>
      <c r="BO78" s="6">
        <v>0</v>
      </c>
      <c r="BP78" s="6">
        <v>0</v>
      </c>
      <c r="BQ78" s="6">
        <v>0</v>
      </c>
      <c r="BR78" s="6">
        <v>0</v>
      </c>
      <c r="BS78" s="6">
        <v>0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>
        <v>0</v>
      </c>
      <c r="CA78" s="6">
        <v>0</v>
      </c>
      <c r="CB78" s="6">
        <v>0</v>
      </c>
      <c r="CC78" s="6">
        <f>IF(Table3[[#This Row],[Type]]="EM",IF((Table3[[#This Row],[Diameter]]/2)-Table3[[#This Row],[CornerRadius]]-0.012&gt;0,(Table3[[#This Row],[Diameter]]/2)-Table3[[#This Row],[CornerRadius]]-0.012,0),)</f>
        <v>0</v>
      </c>
      <c r="CE78" s="6" t="str">
        <f>IF(Table3[[#This Row],[ShoulderLength]]="","",IF(Table3[[#This Row],[ShoulderLength]]&lt;Table3[[#This Row],[LOC]],"FIX",""))</f>
        <v/>
      </c>
    </row>
    <row r="79" spans="1:83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v>0</v>
      </c>
      <c r="BN79" s="6">
        <v>0</v>
      </c>
      <c r="BO79" s="6">
        <v>0</v>
      </c>
      <c r="BP79" s="6">
        <v>0</v>
      </c>
      <c r="BQ79" s="6">
        <v>0</v>
      </c>
      <c r="BR79" s="6">
        <v>0</v>
      </c>
      <c r="BS79" s="6">
        <v>0</v>
      </c>
      <c r="BT79" s="6">
        <v>0</v>
      </c>
      <c r="BU79" s="6">
        <v>0</v>
      </c>
      <c r="BV79" s="6">
        <v>0</v>
      </c>
      <c r="BW79" s="6">
        <v>0</v>
      </c>
      <c r="BX79" s="6">
        <v>0</v>
      </c>
      <c r="BY79" s="6">
        <v>0</v>
      </c>
      <c r="BZ79" s="6">
        <v>0</v>
      </c>
      <c r="CA79" s="6">
        <v>0</v>
      </c>
      <c r="CB79" s="6">
        <v>0</v>
      </c>
      <c r="CC79" s="6">
        <f>IF(Table3[[#This Row],[Type]]="EM",IF((Table3[[#This Row],[Diameter]]/2)-Table3[[#This Row],[CornerRadius]]-0.012&gt;0,(Table3[[#This Row],[Diameter]]/2)-Table3[[#This Row],[CornerRadius]]-0.012,0),)</f>
        <v>0</v>
      </c>
      <c r="CE79" s="6" t="str">
        <f>IF(Table3[[#This Row],[ShoulderLength]]="","",IF(Table3[[#This Row],[ShoulderLength]]&lt;Table3[[#This Row],[LOC]],"FIX",""))</f>
        <v/>
      </c>
    </row>
    <row r="80" spans="1:83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0</v>
      </c>
      <c r="BO80" s="6">
        <v>0</v>
      </c>
      <c r="BP80" s="6">
        <v>0</v>
      </c>
      <c r="BQ80" s="6">
        <v>0</v>
      </c>
      <c r="BR80" s="6">
        <v>0</v>
      </c>
      <c r="BS80" s="6">
        <v>0</v>
      </c>
      <c r="BT80" s="6">
        <v>0</v>
      </c>
      <c r="BU80" s="6">
        <v>0</v>
      </c>
      <c r="BV80" s="6">
        <v>0</v>
      </c>
      <c r="BW80" s="6">
        <v>0</v>
      </c>
      <c r="BX80" s="6">
        <v>0</v>
      </c>
      <c r="BY80" s="6">
        <v>0</v>
      </c>
      <c r="BZ80" s="6">
        <v>0</v>
      </c>
      <c r="CA80" s="6">
        <v>0</v>
      </c>
      <c r="CB80" s="6">
        <v>0</v>
      </c>
      <c r="CC80" s="6">
        <f>IF(Table3[[#This Row],[Type]]="EM",IF((Table3[[#This Row],[Diameter]]/2)-Table3[[#This Row],[CornerRadius]]-0.012&gt;0,(Table3[[#This Row],[Diameter]]/2)-Table3[[#This Row],[CornerRadius]]-0.012,0),)</f>
        <v>0</v>
      </c>
      <c r="CE80" s="6" t="str">
        <f>IF(Table3[[#This Row],[ShoulderLength]]="","",IF(Table3[[#This Row],[ShoulderLength]]&lt;Table3[[#This Row],[LOC]],"FIX",""))</f>
        <v/>
      </c>
    </row>
    <row r="81" spans="1:83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0</v>
      </c>
      <c r="BO81" s="6">
        <v>0</v>
      </c>
      <c r="BP81" s="6">
        <v>0</v>
      </c>
      <c r="BQ81" s="6">
        <v>0</v>
      </c>
      <c r="BR81" s="6">
        <v>0</v>
      </c>
      <c r="BS81" s="6">
        <v>0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>
        <v>0</v>
      </c>
      <c r="CA81" s="6">
        <v>0</v>
      </c>
      <c r="CB81" s="6">
        <v>0</v>
      </c>
      <c r="CC81" s="6">
        <f>IF(Table3[[#This Row],[Type]]="EM",IF((Table3[[#This Row],[Diameter]]/2)-Table3[[#This Row],[CornerRadius]]-0.012&gt;0,(Table3[[#This Row],[Diameter]]/2)-Table3[[#This Row],[CornerRadius]]-0.012,0),)</f>
        <v>0</v>
      </c>
      <c r="CE81" s="6" t="str">
        <f>IF(Table3[[#This Row],[ShoulderLength]]="","",IF(Table3[[#This Row],[ShoulderLength]]&lt;Table3[[#This Row],[LOC]],"FIX",""))</f>
        <v/>
      </c>
    </row>
    <row r="82" spans="1:83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v>0</v>
      </c>
      <c r="BN82" s="6">
        <v>0</v>
      </c>
      <c r="BO82" s="6">
        <v>0</v>
      </c>
      <c r="BP82" s="6">
        <v>0</v>
      </c>
      <c r="BQ82" s="6">
        <v>0</v>
      </c>
      <c r="BR82" s="6">
        <v>0</v>
      </c>
      <c r="BS82" s="6">
        <v>0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>
        <v>0</v>
      </c>
      <c r="CA82" s="6">
        <v>0</v>
      </c>
      <c r="CB82" s="6">
        <v>0</v>
      </c>
      <c r="CC82" s="6">
        <f>IF(Table3[[#This Row],[Type]]="EM",IF((Table3[[#This Row],[Diameter]]/2)-Table3[[#This Row],[CornerRadius]]-0.012&gt;0,(Table3[[#This Row],[Diameter]]/2)-Table3[[#This Row],[CornerRadius]]-0.012,0),)</f>
        <v>0</v>
      </c>
      <c r="CE82" s="6" t="str">
        <f>IF(Table3[[#This Row],[ShoulderLength]]="","",IF(Table3[[#This Row],[ShoulderLength]]&lt;Table3[[#This Row],[LOC]],"FIX",""))</f>
        <v/>
      </c>
    </row>
    <row r="83" spans="1:83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0</v>
      </c>
      <c r="BO83" s="6">
        <v>0</v>
      </c>
      <c r="BP83" s="6">
        <v>0</v>
      </c>
      <c r="BQ83" s="6">
        <v>0</v>
      </c>
      <c r="BR83" s="6">
        <v>0</v>
      </c>
      <c r="BS83" s="6">
        <v>0</v>
      </c>
      <c r="BT83" s="6">
        <v>0</v>
      </c>
      <c r="BU83" s="6">
        <v>0</v>
      </c>
      <c r="BV83" s="6">
        <v>0</v>
      </c>
      <c r="BW83" s="6">
        <v>0</v>
      </c>
      <c r="BX83" s="6">
        <v>0</v>
      </c>
      <c r="BY83" s="6">
        <v>0</v>
      </c>
      <c r="BZ83" s="6">
        <v>0</v>
      </c>
      <c r="CA83" s="6">
        <v>0</v>
      </c>
      <c r="CB83" s="6">
        <v>0</v>
      </c>
      <c r="CC83" s="6">
        <f>IF(Table3[[#This Row],[Type]]="EM",IF((Table3[[#This Row],[Diameter]]/2)-Table3[[#This Row],[CornerRadius]]-0.012&gt;0,(Table3[[#This Row],[Diameter]]/2)-Table3[[#This Row],[CornerRadius]]-0.012,0),)</f>
        <v>0</v>
      </c>
      <c r="CE83" s="6" t="str">
        <f>IF(Table3[[#This Row],[ShoulderLength]]="","",IF(Table3[[#This Row],[ShoulderLength]]&lt;Table3[[#This Row],[LOC]],"FIX",""))</f>
        <v/>
      </c>
    </row>
    <row r="84" spans="1:83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v>0</v>
      </c>
      <c r="BN84" s="6">
        <v>0</v>
      </c>
      <c r="BO84" s="6">
        <v>0</v>
      </c>
      <c r="BP84" s="6">
        <v>0</v>
      </c>
      <c r="BQ84" s="6">
        <v>0</v>
      </c>
      <c r="BR84" s="6">
        <v>0</v>
      </c>
      <c r="BS84" s="6">
        <v>0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>
        <v>0</v>
      </c>
      <c r="CA84" s="6">
        <v>0</v>
      </c>
      <c r="CB84" s="6">
        <v>0</v>
      </c>
      <c r="CC84" s="6">
        <f>IF(Table3[[#This Row],[Type]]="EM",IF((Table3[[#This Row],[Diameter]]/2)-Table3[[#This Row],[CornerRadius]]-0.012&gt;0,(Table3[[#This Row],[Diameter]]/2)-Table3[[#This Row],[CornerRadius]]-0.012,0),)</f>
        <v>0</v>
      </c>
      <c r="CE84" s="6" t="str">
        <f>IF(Table3[[#This Row],[ShoulderLength]]="","",IF(Table3[[#This Row],[ShoulderLength]]&lt;Table3[[#This Row],[LOC]],"FIX",""))</f>
        <v/>
      </c>
    </row>
    <row r="85" spans="1:83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0</v>
      </c>
      <c r="BO85" s="6">
        <v>0</v>
      </c>
      <c r="BP85" s="6">
        <v>0</v>
      </c>
      <c r="BQ85" s="6">
        <v>0</v>
      </c>
      <c r="BR85" s="6">
        <v>0</v>
      </c>
      <c r="BS85" s="6">
        <v>0</v>
      </c>
      <c r="BT85" s="6">
        <v>0</v>
      </c>
      <c r="BU85" s="6">
        <v>0</v>
      </c>
      <c r="BV85" s="6">
        <v>0</v>
      </c>
      <c r="BW85" s="6">
        <v>0</v>
      </c>
      <c r="BX85" s="6">
        <v>0</v>
      </c>
      <c r="BY85" s="6">
        <v>0</v>
      </c>
      <c r="BZ85" s="6">
        <v>0</v>
      </c>
      <c r="CA85" s="6">
        <v>0</v>
      </c>
      <c r="CB85" s="6">
        <v>0</v>
      </c>
      <c r="CC85" s="6">
        <f>IF(Table3[[#This Row],[Type]]="EM",IF((Table3[[#This Row],[Diameter]]/2)-Table3[[#This Row],[CornerRadius]]-0.012&gt;0,(Table3[[#This Row],[Diameter]]/2)-Table3[[#This Row],[CornerRadius]]-0.012,0),)</f>
        <v>0</v>
      </c>
      <c r="CE85" s="6" t="str">
        <f>IF(Table3[[#This Row],[ShoulderLength]]="","",IF(Table3[[#This Row],[ShoulderLength]]&lt;Table3[[#This Row],[LOC]],"FIX",""))</f>
        <v/>
      </c>
    </row>
    <row r="86" spans="1:83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v>0</v>
      </c>
      <c r="BN86" s="6">
        <v>0</v>
      </c>
      <c r="BO86" s="6">
        <v>0</v>
      </c>
      <c r="BP86" s="6">
        <v>0</v>
      </c>
      <c r="BQ86" s="6">
        <v>0</v>
      </c>
      <c r="BR86" s="6">
        <v>0</v>
      </c>
      <c r="BS86" s="6">
        <v>0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>
        <v>0</v>
      </c>
      <c r="CA86" s="6">
        <v>0</v>
      </c>
      <c r="CB86" s="6">
        <v>0</v>
      </c>
      <c r="CC86" s="6">
        <f>IF(Table3[[#This Row],[Type]]="EM",IF((Table3[[#This Row],[Diameter]]/2)-Table3[[#This Row],[CornerRadius]]-0.012&gt;0,(Table3[[#This Row],[Diameter]]/2)-Table3[[#This Row],[CornerRadius]]-0.012,0),)</f>
        <v>0</v>
      </c>
      <c r="CE86" s="6" t="str">
        <f>IF(Table3[[#This Row],[ShoulderLength]]="","",IF(Table3[[#This Row],[ShoulderLength]]&lt;Table3[[#This Row],[LOC]],"FIX",""))</f>
        <v/>
      </c>
    </row>
    <row r="87" spans="1:83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0</v>
      </c>
      <c r="BO87" s="6">
        <v>0</v>
      </c>
      <c r="BP87" s="6">
        <v>0</v>
      </c>
      <c r="BQ87" s="6">
        <v>0</v>
      </c>
      <c r="BR87" s="6">
        <v>0</v>
      </c>
      <c r="BS87" s="6">
        <v>0</v>
      </c>
      <c r="BT87" s="6">
        <v>0</v>
      </c>
      <c r="BU87" s="6">
        <v>0</v>
      </c>
      <c r="BV87" s="6">
        <v>0</v>
      </c>
      <c r="BW87" s="6">
        <v>0</v>
      </c>
      <c r="BX87" s="6">
        <v>0</v>
      </c>
      <c r="BY87" s="6">
        <v>0</v>
      </c>
      <c r="BZ87" s="6">
        <v>0</v>
      </c>
      <c r="CA87" s="6">
        <v>0</v>
      </c>
      <c r="CB87" s="6">
        <v>0</v>
      </c>
      <c r="CC87" s="6">
        <f>IF(Table3[[#This Row],[Type]]="EM",IF((Table3[[#This Row],[Diameter]]/2)-Table3[[#This Row],[CornerRadius]]-0.012&gt;0,(Table3[[#This Row],[Diameter]]/2)-Table3[[#This Row],[CornerRadius]]-0.012,0),)</f>
        <v>0</v>
      </c>
      <c r="CE87" s="6" t="str">
        <f>IF(Table3[[#This Row],[ShoulderLength]]="","",IF(Table3[[#This Row],[ShoulderLength]]&lt;Table3[[#This Row],[LOC]],"FIX",""))</f>
        <v/>
      </c>
    </row>
    <row r="88" spans="1:83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0</v>
      </c>
      <c r="BO88" s="6">
        <v>0</v>
      </c>
      <c r="BP88" s="6">
        <v>0</v>
      </c>
      <c r="BQ88" s="6">
        <v>0</v>
      </c>
      <c r="BR88" s="6">
        <v>0</v>
      </c>
      <c r="BS88" s="6">
        <v>0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>
        <v>0</v>
      </c>
      <c r="CA88" s="6">
        <v>0</v>
      </c>
      <c r="CB88" s="6">
        <v>0</v>
      </c>
      <c r="CC88" s="6">
        <f>IF(Table3[[#This Row],[Type]]="EM",IF((Table3[[#This Row],[Diameter]]/2)-Table3[[#This Row],[CornerRadius]]-0.012&gt;0,(Table3[[#This Row],[Diameter]]/2)-Table3[[#This Row],[CornerRadius]]-0.012,0),)</f>
        <v>0</v>
      </c>
      <c r="CE88" s="6" t="str">
        <f>IF(Table3[[#This Row],[ShoulderLength]]="","",IF(Table3[[#This Row],[ShoulderLength]]&lt;Table3[[#This Row],[LOC]],"FIX",""))</f>
        <v/>
      </c>
    </row>
    <row r="89" spans="1:83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0</v>
      </c>
      <c r="BO89" s="6">
        <v>0</v>
      </c>
      <c r="BP89" s="6">
        <v>0</v>
      </c>
      <c r="BQ89" s="6">
        <v>0</v>
      </c>
      <c r="BR89" s="6">
        <v>0</v>
      </c>
      <c r="BS89" s="6">
        <v>0</v>
      </c>
      <c r="BT89" s="6">
        <v>0</v>
      </c>
      <c r="BU89" s="6">
        <v>0</v>
      </c>
      <c r="BV89" s="6">
        <v>0</v>
      </c>
      <c r="BW89" s="6">
        <v>0</v>
      </c>
      <c r="BX89" s="6">
        <v>0</v>
      </c>
      <c r="BY89" s="6">
        <v>0</v>
      </c>
      <c r="BZ89" s="6">
        <v>0</v>
      </c>
      <c r="CA89" s="6">
        <v>0</v>
      </c>
      <c r="CB89" s="6">
        <v>0</v>
      </c>
      <c r="CC89" s="6">
        <f>IF(Table3[[#This Row],[Type]]="EM",IF((Table3[[#This Row],[Diameter]]/2)-Table3[[#This Row],[CornerRadius]]-0.012&gt;0,(Table3[[#This Row],[Diameter]]/2)-Table3[[#This Row],[CornerRadius]]-0.012,0),)</f>
        <v>0</v>
      </c>
      <c r="CE89" s="6" t="str">
        <f>IF(Table3[[#This Row],[ShoulderLength]]="","",IF(Table3[[#This Row],[ShoulderLength]]&lt;Table3[[#This Row],[LOC]],"FIX",""))</f>
        <v/>
      </c>
    </row>
    <row r="90" spans="1:83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0</v>
      </c>
      <c r="BO90" s="6">
        <v>0</v>
      </c>
      <c r="BP90" s="6">
        <v>0</v>
      </c>
      <c r="BQ90" s="6">
        <v>0</v>
      </c>
      <c r="BR90" s="6">
        <v>0</v>
      </c>
      <c r="BS90" s="6">
        <v>0</v>
      </c>
      <c r="BT90" s="6">
        <v>0</v>
      </c>
      <c r="BU90" s="6">
        <v>0</v>
      </c>
      <c r="BV90" s="6">
        <v>0</v>
      </c>
      <c r="BW90" s="6">
        <v>0</v>
      </c>
      <c r="BX90" s="6">
        <v>0</v>
      </c>
      <c r="BY90" s="6">
        <v>0</v>
      </c>
      <c r="BZ90" s="6">
        <v>0</v>
      </c>
      <c r="CA90" s="6">
        <v>0</v>
      </c>
      <c r="CB90" s="6">
        <v>0</v>
      </c>
      <c r="CC90" s="6">
        <f>IF(Table3[[#This Row],[Type]]="EM",IF((Table3[[#This Row],[Diameter]]/2)-Table3[[#This Row],[CornerRadius]]-0.012&gt;0,(Table3[[#This Row],[Diameter]]/2)-Table3[[#This Row],[CornerRadius]]-0.012,0),)</f>
        <v>0</v>
      </c>
      <c r="CE90" s="6" t="str">
        <f>IF(Table3[[#This Row],[ShoulderLength]]="","",IF(Table3[[#This Row],[ShoulderLength]]&lt;Table3[[#This Row],[LOC]],"FIX",""))</f>
        <v/>
      </c>
    </row>
    <row r="91" spans="1:83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0</v>
      </c>
      <c r="BO91" s="6">
        <v>0</v>
      </c>
      <c r="BP91" s="6">
        <v>0</v>
      </c>
      <c r="BQ91" s="6">
        <v>0</v>
      </c>
      <c r="BR91" s="6">
        <v>0</v>
      </c>
      <c r="BS91" s="6">
        <v>0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>
        <v>0</v>
      </c>
      <c r="CA91" s="6">
        <v>0</v>
      </c>
      <c r="CB91" s="6">
        <v>0</v>
      </c>
      <c r="CC91" s="6">
        <f>IF(Table3[[#This Row],[Type]]="EM",IF((Table3[[#This Row],[Diameter]]/2)-Table3[[#This Row],[CornerRadius]]-0.012&gt;0,(Table3[[#This Row],[Diameter]]/2)-Table3[[#This Row],[CornerRadius]]-0.012,0),)</f>
        <v>0</v>
      </c>
      <c r="CE91" s="6" t="str">
        <f>IF(Table3[[#This Row],[ShoulderLength]]="","",IF(Table3[[#This Row],[ShoulderLength]]&lt;Table3[[#This Row],[LOC]],"FIX",""))</f>
        <v/>
      </c>
    </row>
    <row r="92" spans="1:83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0</v>
      </c>
      <c r="BO92" s="6">
        <v>0</v>
      </c>
      <c r="BP92" s="6">
        <v>0</v>
      </c>
      <c r="BQ92" s="6">
        <v>0</v>
      </c>
      <c r="BR92" s="6">
        <v>0</v>
      </c>
      <c r="BS92" s="6">
        <v>0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>
        <v>0</v>
      </c>
      <c r="CA92" s="6">
        <v>0</v>
      </c>
      <c r="CB92" s="6">
        <v>0</v>
      </c>
      <c r="CC92" s="6">
        <f>IF(Table3[[#This Row],[Type]]="EM",IF((Table3[[#This Row],[Diameter]]/2)-Table3[[#This Row],[CornerRadius]]-0.012&gt;0,(Table3[[#This Row],[Diameter]]/2)-Table3[[#This Row],[CornerRadius]]-0.012,0),)</f>
        <v>0</v>
      </c>
      <c r="CE92" s="6" t="str">
        <f>IF(Table3[[#This Row],[ShoulderLength]]="","",IF(Table3[[#This Row],[ShoulderLength]]&lt;Table3[[#This Row],[LOC]],"FIX",""))</f>
        <v/>
      </c>
    </row>
    <row r="93" spans="1:83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0</v>
      </c>
      <c r="BO93" s="6">
        <v>0</v>
      </c>
      <c r="BP93" s="6">
        <v>0</v>
      </c>
      <c r="BQ93" s="6">
        <v>0</v>
      </c>
      <c r="BR93" s="6">
        <v>0</v>
      </c>
      <c r="BS93" s="6">
        <v>0</v>
      </c>
      <c r="BT93" s="6">
        <v>0</v>
      </c>
      <c r="BU93" s="6">
        <v>0</v>
      </c>
      <c r="BV93" s="6">
        <v>0</v>
      </c>
      <c r="BW93" s="6">
        <v>0</v>
      </c>
      <c r="BX93" s="6">
        <v>0</v>
      </c>
      <c r="BY93" s="6">
        <v>0</v>
      </c>
      <c r="BZ93" s="6">
        <v>0</v>
      </c>
      <c r="CA93" s="6">
        <v>0</v>
      </c>
      <c r="CB93" s="6">
        <v>0</v>
      </c>
      <c r="CC93" s="6">
        <f>IF(Table3[[#This Row],[Type]]="EM",IF((Table3[[#This Row],[Diameter]]/2)-Table3[[#This Row],[CornerRadius]]-0.012&gt;0,(Table3[[#This Row],[Diameter]]/2)-Table3[[#This Row],[CornerRadius]]-0.012,0),)</f>
        <v>0</v>
      </c>
      <c r="CE93" s="6" t="str">
        <f>IF(Table3[[#This Row],[ShoulderLength]]="","",IF(Table3[[#This Row],[ShoulderLength]]&lt;Table3[[#This Row],[LOC]],"FIX",""))</f>
        <v/>
      </c>
    </row>
    <row r="94" spans="1:83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0</v>
      </c>
      <c r="BO94" s="6">
        <v>0</v>
      </c>
      <c r="BP94" s="6">
        <v>0</v>
      </c>
      <c r="BQ94" s="6">
        <v>0</v>
      </c>
      <c r="BR94" s="6">
        <v>0</v>
      </c>
      <c r="BS94" s="6">
        <v>0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>
        <v>0</v>
      </c>
      <c r="CA94" s="6">
        <v>0</v>
      </c>
      <c r="CB94" s="6">
        <v>0</v>
      </c>
      <c r="CC94" s="6">
        <f>IF(Table3[[#This Row],[Type]]="EM",IF((Table3[[#This Row],[Diameter]]/2)-Table3[[#This Row],[CornerRadius]]-0.012&gt;0,(Table3[[#This Row],[Diameter]]/2)-Table3[[#This Row],[CornerRadius]]-0.012,0),)</f>
        <v>0</v>
      </c>
      <c r="CE94" s="6" t="str">
        <f>IF(Table3[[#This Row],[ShoulderLength]]="","",IF(Table3[[#This Row],[ShoulderLength]]&lt;Table3[[#This Row],[LOC]],"FIX",""))</f>
        <v/>
      </c>
    </row>
    <row r="95" spans="1:83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v>0</v>
      </c>
      <c r="BN95" s="6">
        <v>0</v>
      </c>
      <c r="BO95" s="6">
        <v>0</v>
      </c>
      <c r="BP95" s="6">
        <v>0</v>
      </c>
      <c r="BQ95" s="6">
        <v>0</v>
      </c>
      <c r="BR95" s="6">
        <v>0</v>
      </c>
      <c r="BS95" s="6">
        <v>0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0</v>
      </c>
      <c r="BZ95" s="6">
        <v>0</v>
      </c>
      <c r="CA95" s="6">
        <v>0</v>
      </c>
      <c r="CB95" s="6">
        <v>0</v>
      </c>
      <c r="CC95" s="6">
        <f>IF(Table3[[#This Row],[Type]]="EM",IF((Table3[[#This Row],[Diameter]]/2)-Table3[[#This Row],[CornerRadius]]-0.012&gt;0,(Table3[[#This Row],[Diameter]]/2)-Table3[[#This Row],[CornerRadius]]-0.012,0),)</f>
        <v>0</v>
      </c>
      <c r="CE95" s="6" t="str">
        <f>IF(Table3[[#This Row],[ShoulderLength]]="","",IF(Table3[[#This Row],[ShoulderLength]]&lt;Table3[[#This Row],[LOC]],"FIX",""))</f>
        <v/>
      </c>
    </row>
    <row r="96" spans="1:83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0</v>
      </c>
      <c r="BO96" s="6">
        <v>0</v>
      </c>
      <c r="BP96" s="6">
        <v>0</v>
      </c>
      <c r="BQ96" s="6">
        <v>0</v>
      </c>
      <c r="BR96" s="6">
        <v>0</v>
      </c>
      <c r="BS96" s="6">
        <v>0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>
        <v>0</v>
      </c>
      <c r="CA96" s="6">
        <v>0</v>
      </c>
      <c r="CB96" s="6">
        <v>0</v>
      </c>
      <c r="CC96" s="6">
        <f>IF(Table3[[#This Row],[Type]]="EM",IF((Table3[[#This Row],[Diameter]]/2)-Table3[[#This Row],[CornerRadius]]-0.012&gt;0,(Table3[[#This Row],[Diameter]]/2)-Table3[[#This Row],[CornerRadius]]-0.012,0),)</f>
        <v>0</v>
      </c>
      <c r="CE96" s="6" t="str">
        <f>IF(Table3[[#This Row],[ShoulderLength]]="","",IF(Table3[[#This Row],[ShoulderLength]]&lt;Table3[[#This Row],[LOC]],"FIX",""))</f>
        <v/>
      </c>
    </row>
    <row r="97" spans="1:83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v>0</v>
      </c>
      <c r="BN97" s="6">
        <v>0</v>
      </c>
      <c r="BO97" s="6">
        <v>0</v>
      </c>
      <c r="BP97" s="6">
        <v>0</v>
      </c>
      <c r="BQ97" s="6">
        <v>0</v>
      </c>
      <c r="BR97" s="6">
        <v>0</v>
      </c>
      <c r="BS97" s="6">
        <v>0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>
        <v>0</v>
      </c>
      <c r="CA97" s="6">
        <v>0</v>
      </c>
      <c r="CB97" s="6">
        <v>0</v>
      </c>
      <c r="CC97" s="6">
        <f>IF(Table3[[#This Row],[Type]]="EM",IF((Table3[[#This Row],[Diameter]]/2)-Table3[[#This Row],[CornerRadius]]-0.012&gt;0,(Table3[[#This Row],[Diameter]]/2)-Table3[[#This Row],[CornerRadius]]-0.012,0),)</f>
        <v>0</v>
      </c>
      <c r="CE97" s="6" t="str">
        <f>IF(Table3[[#This Row],[ShoulderLength]]="","",IF(Table3[[#This Row],[ShoulderLength]]&lt;Table3[[#This Row],[LOC]],"FIX",""))</f>
        <v/>
      </c>
    </row>
    <row r="98" spans="1:83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0</v>
      </c>
      <c r="BN98" s="6">
        <v>0</v>
      </c>
      <c r="BO98" s="6">
        <v>0</v>
      </c>
      <c r="BP98" s="6">
        <v>0</v>
      </c>
      <c r="BQ98" s="6">
        <v>0</v>
      </c>
      <c r="BR98" s="6">
        <v>0</v>
      </c>
      <c r="BS98" s="6">
        <v>0</v>
      </c>
      <c r="BT98" s="6">
        <v>0</v>
      </c>
      <c r="BU98" s="6">
        <v>0</v>
      </c>
      <c r="BV98" s="6">
        <v>0</v>
      </c>
      <c r="BW98" s="6">
        <v>0</v>
      </c>
      <c r="BX98" s="6">
        <v>0</v>
      </c>
      <c r="BY98" s="6">
        <v>0</v>
      </c>
      <c r="BZ98" s="6">
        <v>0</v>
      </c>
      <c r="CA98" s="6">
        <v>0</v>
      </c>
      <c r="CB98" s="6">
        <v>0</v>
      </c>
      <c r="CC98" s="6">
        <f>IF(Table3[[#This Row],[Type]]="EM",IF((Table3[[#This Row],[Diameter]]/2)-Table3[[#This Row],[CornerRadius]]-0.012&gt;0,(Table3[[#This Row],[Diameter]]/2)-Table3[[#This Row],[CornerRadius]]-0.012,0),)</f>
        <v>0</v>
      </c>
      <c r="CE98" s="6" t="str">
        <f>IF(Table3[[#This Row],[ShoulderLength]]="","",IF(Table3[[#This Row],[ShoulderLength]]&lt;Table3[[#This Row],[LOC]],"FIX",""))</f>
        <v/>
      </c>
    </row>
    <row r="99" spans="1:83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0</v>
      </c>
      <c r="BO99" s="6">
        <v>0</v>
      </c>
      <c r="BP99" s="6">
        <v>0</v>
      </c>
      <c r="BQ99" s="6">
        <v>0</v>
      </c>
      <c r="BR99" s="6">
        <v>0</v>
      </c>
      <c r="BS99" s="6">
        <v>0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>
        <v>0</v>
      </c>
      <c r="CA99" s="6">
        <v>0</v>
      </c>
      <c r="CB99" s="6">
        <v>0</v>
      </c>
      <c r="CC99" s="6">
        <f>IF(Table3[[#This Row],[Type]]="EM",IF((Table3[[#This Row],[Diameter]]/2)-Table3[[#This Row],[CornerRadius]]-0.012&gt;0,(Table3[[#This Row],[Diameter]]/2)-Table3[[#This Row],[CornerRadius]]-0.012,0),)</f>
        <v>0</v>
      </c>
      <c r="CE99" s="6" t="str">
        <f>IF(Table3[[#This Row],[ShoulderLength]]="","",IF(Table3[[#This Row],[ShoulderLength]]&lt;Table3[[#This Row],[LOC]],"FIX",""))</f>
        <v/>
      </c>
    </row>
    <row r="100" spans="1:83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0</v>
      </c>
      <c r="BO100" s="6">
        <v>0</v>
      </c>
      <c r="BP100" s="6">
        <v>0</v>
      </c>
      <c r="BQ100" s="6">
        <v>0</v>
      </c>
      <c r="BR100" s="6">
        <v>0</v>
      </c>
      <c r="BS100" s="6">
        <v>0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>
        <v>0</v>
      </c>
      <c r="CA100" s="6">
        <v>0</v>
      </c>
      <c r="CB100" s="6">
        <v>0</v>
      </c>
      <c r="CC100" s="6">
        <f>IF(Table3[[#This Row],[Type]]="EM",IF((Table3[[#This Row],[Diameter]]/2)-Table3[[#This Row],[CornerRadius]]-0.012&gt;0,(Table3[[#This Row],[Diameter]]/2)-Table3[[#This Row],[CornerRadius]]-0.012,0),)</f>
        <v>0</v>
      </c>
      <c r="CE100" s="6" t="str">
        <f>IF(Table3[[#This Row],[ShoulderLength]]="","",IF(Table3[[#This Row],[ShoulderLength]]&lt;Table3[[#This Row],[LOC]],"FIX",""))</f>
        <v/>
      </c>
    </row>
    <row r="101" spans="1:83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v>0</v>
      </c>
      <c r="BN101" s="6">
        <v>0</v>
      </c>
      <c r="BO101" s="6">
        <v>0</v>
      </c>
      <c r="BP101" s="6">
        <v>0</v>
      </c>
      <c r="BQ101" s="6">
        <v>0</v>
      </c>
      <c r="BR101" s="6">
        <v>0</v>
      </c>
      <c r="BS101" s="6">
        <v>0</v>
      </c>
      <c r="BT101" s="6">
        <v>0</v>
      </c>
      <c r="BU101" s="6">
        <v>0</v>
      </c>
      <c r="BV101" s="6">
        <v>0</v>
      </c>
      <c r="BW101" s="6">
        <v>0</v>
      </c>
      <c r="BX101" s="6">
        <v>0</v>
      </c>
      <c r="BY101" s="6">
        <v>0</v>
      </c>
      <c r="BZ101" s="6">
        <v>0</v>
      </c>
      <c r="CA101" s="6">
        <v>0</v>
      </c>
      <c r="CB101" s="6">
        <v>0</v>
      </c>
      <c r="CC101" s="6">
        <f>IF(Table3[[#This Row],[Type]]="EM",IF((Table3[[#This Row],[Diameter]]/2)-Table3[[#This Row],[CornerRadius]]-0.012&gt;0,(Table3[[#This Row],[Diameter]]/2)-Table3[[#This Row],[CornerRadius]]-0.012,0),)</f>
        <v>0</v>
      </c>
      <c r="CE101" s="6" t="str">
        <f>IF(Table3[[#This Row],[ShoulderLength]]="","",IF(Table3[[#This Row],[ShoulderLength]]&lt;Table3[[#This Row],[LOC]],"FIX",""))</f>
        <v/>
      </c>
    </row>
    <row r="102" spans="1:83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v>0</v>
      </c>
      <c r="BN102" s="6">
        <v>0</v>
      </c>
      <c r="BO102" s="6">
        <v>0</v>
      </c>
      <c r="BP102" s="6">
        <v>0</v>
      </c>
      <c r="BQ102" s="6">
        <v>0</v>
      </c>
      <c r="BR102" s="6">
        <v>0</v>
      </c>
      <c r="BS102" s="6">
        <v>0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>
        <v>0</v>
      </c>
      <c r="CA102" s="6">
        <v>0</v>
      </c>
      <c r="CB102" s="6">
        <v>0</v>
      </c>
      <c r="CC102" s="6">
        <f>IF(Table3[[#This Row],[Type]]="EM",IF((Table3[[#This Row],[Diameter]]/2)-Table3[[#This Row],[CornerRadius]]-0.012&gt;0,(Table3[[#This Row],[Diameter]]/2)-Table3[[#This Row],[CornerRadius]]-0.012,0),)</f>
        <v>0</v>
      </c>
      <c r="CE102" s="6" t="str">
        <f>IF(Table3[[#This Row],[ShoulderLength]]="","",IF(Table3[[#This Row],[ShoulderLength]]&lt;Table3[[#This Row],[LOC]],"FIX",""))</f>
        <v/>
      </c>
    </row>
    <row r="103" spans="1:83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0</v>
      </c>
      <c r="BO103" s="6">
        <v>0</v>
      </c>
      <c r="BP103" s="6">
        <v>0</v>
      </c>
      <c r="BQ103" s="6">
        <v>0</v>
      </c>
      <c r="BR103" s="6">
        <v>0</v>
      </c>
      <c r="BS103" s="6">
        <v>0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>
        <v>0</v>
      </c>
      <c r="CA103" s="6">
        <v>0</v>
      </c>
      <c r="CB103" s="6">
        <v>0</v>
      </c>
      <c r="CC103" s="6">
        <f>IF(Table3[[#This Row],[Type]]="EM",IF((Table3[[#This Row],[Diameter]]/2)-Table3[[#This Row],[CornerRadius]]-0.012&gt;0,(Table3[[#This Row],[Diameter]]/2)-Table3[[#This Row],[CornerRadius]]-0.012,0),)</f>
        <v>0</v>
      </c>
      <c r="CE103" s="6" t="str">
        <f>IF(Table3[[#This Row],[ShoulderLength]]="","",IF(Table3[[#This Row],[ShoulderLength]]&lt;Table3[[#This Row],[LOC]],"FIX",""))</f>
        <v/>
      </c>
    </row>
    <row r="104" spans="1:83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v>0</v>
      </c>
      <c r="BN104" s="6">
        <v>0</v>
      </c>
      <c r="BO104" s="6">
        <v>0</v>
      </c>
      <c r="BP104" s="6">
        <v>0</v>
      </c>
      <c r="BQ104" s="6">
        <v>0</v>
      </c>
      <c r="BR104" s="6">
        <v>0</v>
      </c>
      <c r="BS104" s="6">
        <v>0</v>
      </c>
      <c r="BT104" s="6">
        <v>0</v>
      </c>
      <c r="BU104" s="6">
        <v>0</v>
      </c>
      <c r="BV104" s="6">
        <v>0</v>
      </c>
      <c r="BW104" s="6">
        <v>0</v>
      </c>
      <c r="BX104" s="6">
        <v>0</v>
      </c>
      <c r="BY104" s="6">
        <v>0</v>
      </c>
      <c r="BZ104" s="6">
        <v>0</v>
      </c>
      <c r="CA104" s="6">
        <v>0</v>
      </c>
      <c r="CB104" s="6">
        <v>0</v>
      </c>
      <c r="CC104" s="6">
        <f>IF(Table3[[#This Row],[Type]]="EM",IF((Table3[[#This Row],[Diameter]]/2)-Table3[[#This Row],[CornerRadius]]-0.012&gt;0,(Table3[[#This Row],[Diameter]]/2)-Table3[[#This Row],[CornerRadius]]-0.012,0),)</f>
        <v>0</v>
      </c>
      <c r="CE104" s="6" t="str">
        <f>IF(Table3[[#This Row],[ShoulderLength]]="","",IF(Table3[[#This Row],[ShoulderLength]]&lt;Table3[[#This Row],[LOC]],"FIX",""))</f>
        <v/>
      </c>
    </row>
    <row r="105" spans="1:83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0</v>
      </c>
      <c r="BO105" s="6">
        <v>0</v>
      </c>
      <c r="BP105" s="6">
        <v>0</v>
      </c>
      <c r="BQ105" s="6">
        <v>0</v>
      </c>
      <c r="BR105" s="6">
        <v>0</v>
      </c>
      <c r="BS105" s="6">
        <v>0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>
        <v>0</v>
      </c>
      <c r="CA105" s="6">
        <v>0</v>
      </c>
      <c r="CB105" s="6">
        <v>0</v>
      </c>
      <c r="CC105" s="6">
        <f>IF(Table3[[#This Row],[Type]]="EM",IF((Table3[[#This Row],[Diameter]]/2)-Table3[[#This Row],[CornerRadius]]-0.012&gt;0,(Table3[[#This Row],[Diameter]]/2)-Table3[[#This Row],[CornerRadius]]-0.012,0),)</f>
        <v>0</v>
      </c>
      <c r="CE105" s="6" t="str">
        <f>IF(Table3[[#This Row],[ShoulderLength]]="","",IF(Table3[[#This Row],[ShoulderLength]]&lt;Table3[[#This Row],[LOC]],"FIX",""))</f>
        <v/>
      </c>
    </row>
    <row r="106" spans="1:83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0</v>
      </c>
      <c r="BO106" s="6">
        <v>0</v>
      </c>
      <c r="BP106" s="6">
        <v>0</v>
      </c>
      <c r="BQ106" s="6">
        <v>0</v>
      </c>
      <c r="BR106" s="6">
        <v>0</v>
      </c>
      <c r="BS106" s="6">
        <v>0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>
        <v>0</v>
      </c>
      <c r="CA106" s="6">
        <v>0</v>
      </c>
      <c r="CB106" s="6">
        <v>0</v>
      </c>
      <c r="CC106" s="6">
        <f>IF(Table3[[#This Row],[Type]]="EM",IF((Table3[[#This Row],[Diameter]]/2)-Table3[[#This Row],[CornerRadius]]-0.012&gt;0,(Table3[[#This Row],[Diameter]]/2)-Table3[[#This Row],[CornerRadius]]-0.012,0),)</f>
        <v>0</v>
      </c>
      <c r="CE106" s="6" t="str">
        <f>IF(Table3[[#This Row],[ShoulderLength]]="","",IF(Table3[[#This Row],[ShoulderLength]]&lt;Table3[[#This Row],[LOC]],"FIX",""))</f>
        <v/>
      </c>
    </row>
    <row r="107" spans="1:83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0</v>
      </c>
      <c r="BO107" s="6">
        <v>0</v>
      </c>
      <c r="BP107" s="6">
        <v>0</v>
      </c>
      <c r="BQ107" s="6">
        <v>0</v>
      </c>
      <c r="BR107" s="6">
        <v>0</v>
      </c>
      <c r="BS107" s="6">
        <v>0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>
        <v>0</v>
      </c>
      <c r="CA107" s="6">
        <v>0</v>
      </c>
      <c r="CB107" s="6">
        <v>0</v>
      </c>
      <c r="CC107" s="6">
        <f>IF(Table3[[#This Row],[Type]]="EM",IF((Table3[[#This Row],[Diameter]]/2)-Table3[[#This Row],[CornerRadius]]-0.012&gt;0,(Table3[[#This Row],[Diameter]]/2)-Table3[[#This Row],[CornerRadius]]-0.012,0),)</f>
        <v>0</v>
      </c>
      <c r="CE107" s="6" t="str">
        <f>IF(Table3[[#This Row],[ShoulderLength]]="","",IF(Table3[[#This Row],[ShoulderLength]]&lt;Table3[[#This Row],[LOC]],"FIX",""))</f>
        <v/>
      </c>
    </row>
    <row r="108" spans="1:83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0</v>
      </c>
      <c r="BO108" s="6">
        <v>0</v>
      </c>
      <c r="BP108" s="6">
        <v>0</v>
      </c>
      <c r="BQ108" s="6">
        <v>0</v>
      </c>
      <c r="BR108" s="6">
        <v>0</v>
      </c>
      <c r="BS108" s="6">
        <v>0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>
        <v>0</v>
      </c>
      <c r="CA108" s="6">
        <v>0</v>
      </c>
      <c r="CB108" s="6">
        <v>0</v>
      </c>
      <c r="CC108" s="6">
        <f>IF(Table3[[#This Row],[Type]]="EM",IF((Table3[[#This Row],[Diameter]]/2)-Table3[[#This Row],[CornerRadius]]-0.012&gt;0,(Table3[[#This Row],[Diameter]]/2)-Table3[[#This Row],[CornerRadius]]-0.012,0),)</f>
        <v>0</v>
      </c>
      <c r="CE108" s="6" t="str">
        <f>IF(Table3[[#This Row],[ShoulderLength]]="","",IF(Table3[[#This Row],[ShoulderLength]]&lt;Table3[[#This Row],[LOC]],"FIX",""))</f>
        <v/>
      </c>
    </row>
    <row r="109" spans="1:83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v>0</v>
      </c>
      <c r="BN109" s="6">
        <v>0</v>
      </c>
      <c r="BO109" s="6">
        <v>0</v>
      </c>
      <c r="BP109" s="6">
        <v>0</v>
      </c>
      <c r="BQ109" s="6">
        <v>0</v>
      </c>
      <c r="BR109" s="6">
        <v>0</v>
      </c>
      <c r="BS109" s="6">
        <v>0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0</v>
      </c>
      <c r="BZ109" s="6">
        <v>0</v>
      </c>
      <c r="CA109" s="6">
        <v>0</v>
      </c>
      <c r="CB109" s="6">
        <v>0</v>
      </c>
      <c r="CC109" s="6">
        <f>IF(Table3[[#This Row],[Type]]="EM",IF((Table3[[#This Row],[Diameter]]/2)-Table3[[#This Row],[CornerRadius]]-0.012&gt;0,(Table3[[#This Row],[Diameter]]/2)-Table3[[#This Row],[CornerRadius]]-0.012,0),)</f>
        <v>0</v>
      </c>
      <c r="CE109" s="6" t="str">
        <f>IF(Table3[[#This Row],[ShoulderLength]]="","",IF(Table3[[#This Row],[ShoulderLength]]&lt;Table3[[#This Row],[LOC]],"FIX",""))</f>
        <v/>
      </c>
    </row>
    <row r="110" spans="1:83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0</v>
      </c>
      <c r="BO110" s="6">
        <v>0</v>
      </c>
      <c r="BP110" s="6">
        <v>0</v>
      </c>
      <c r="BQ110" s="6">
        <v>0</v>
      </c>
      <c r="BR110" s="6">
        <v>0</v>
      </c>
      <c r="BS110" s="6">
        <v>0</v>
      </c>
      <c r="BT110" s="6">
        <v>0</v>
      </c>
      <c r="BU110" s="6">
        <v>0</v>
      </c>
      <c r="BV110" s="6">
        <v>0</v>
      </c>
      <c r="BW110" s="6">
        <v>0</v>
      </c>
      <c r="BX110" s="6">
        <v>0</v>
      </c>
      <c r="BY110" s="6">
        <v>0</v>
      </c>
      <c r="BZ110" s="6">
        <v>0</v>
      </c>
      <c r="CA110" s="6">
        <v>0</v>
      </c>
      <c r="CB110" s="6">
        <v>0</v>
      </c>
      <c r="CC110" s="6">
        <f>IF(Table3[[#This Row],[Type]]="EM",IF((Table3[[#This Row],[Diameter]]/2)-Table3[[#This Row],[CornerRadius]]-0.012&gt;0,(Table3[[#This Row],[Diameter]]/2)-Table3[[#This Row],[CornerRadius]]-0.012,0),)</f>
        <v>0</v>
      </c>
      <c r="CE110" s="6" t="str">
        <f>IF(Table3[[#This Row],[ShoulderLength]]="","",IF(Table3[[#This Row],[ShoulderLength]]&lt;Table3[[#This Row],[LOC]],"FIX",""))</f>
        <v/>
      </c>
    </row>
    <row r="111" spans="1:83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0</v>
      </c>
      <c r="BO111" s="6">
        <v>0</v>
      </c>
      <c r="BP111" s="6">
        <v>0</v>
      </c>
      <c r="BQ111" s="6">
        <v>0</v>
      </c>
      <c r="BR111" s="6">
        <v>0</v>
      </c>
      <c r="BS111" s="6">
        <v>0</v>
      </c>
      <c r="BT111" s="6">
        <v>0</v>
      </c>
      <c r="BU111" s="6">
        <v>0</v>
      </c>
      <c r="BV111" s="6">
        <v>0</v>
      </c>
      <c r="BW111" s="6">
        <v>0</v>
      </c>
      <c r="BX111" s="6">
        <v>0</v>
      </c>
      <c r="BY111" s="6">
        <v>0</v>
      </c>
      <c r="BZ111" s="6">
        <v>0</v>
      </c>
      <c r="CA111" s="6">
        <v>0</v>
      </c>
      <c r="CB111" s="6">
        <v>0</v>
      </c>
      <c r="CC111" s="6">
        <f>IF(Table3[[#This Row],[Type]]="EM",IF((Table3[[#This Row],[Diameter]]/2)-Table3[[#This Row],[CornerRadius]]-0.012&gt;0,(Table3[[#This Row],[Diameter]]/2)-Table3[[#This Row],[CornerRadius]]-0.012,0),)</f>
        <v>0</v>
      </c>
      <c r="CE111" s="6" t="str">
        <f>IF(Table3[[#This Row],[ShoulderLength]]="","",IF(Table3[[#This Row],[ShoulderLength]]&lt;Table3[[#This Row],[LOC]],"FIX",""))</f>
        <v/>
      </c>
    </row>
    <row r="112" spans="1:83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0</v>
      </c>
      <c r="BO112" s="6">
        <v>0</v>
      </c>
      <c r="BP112" s="6">
        <v>0</v>
      </c>
      <c r="BQ112" s="6">
        <v>0</v>
      </c>
      <c r="BR112" s="6">
        <v>0</v>
      </c>
      <c r="BS112" s="6">
        <v>0</v>
      </c>
      <c r="BT112" s="6">
        <v>0</v>
      </c>
      <c r="BU112" s="6">
        <v>0</v>
      </c>
      <c r="BV112" s="6">
        <v>0</v>
      </c>
      <c r="BW112" s="6">
        <v>0</v>
      </c>
      <c r="BX112" s="6">
        <v>0</v>
      </c>
      <c r="BY112" s="6">
        <v>0</v>
      </c>
      <c r="BZ112" s="6">
        <v>0</v>
      </c>
      <c r="CA112" s="6">
        <v>0</v>
      </c>
      <c r="CB112" s="6">
        <v>0</v>
      </c>
      <c r="CC112" s="6">
        <f>IF(Table3[[#This Row],[Type]]="EM",IF((Table3[[#This Row],[Diameter]]/2)-Table3[[#This Row],[CornerRadius]]-0.012&gt;0,(Table3[[#This Row],[Diameter]]/2)-Table3[[#This Row],[CornerRadius]]-0.012,0),)</f>
        <v>0</v>
      </c>
      <c r="CE112" s="6" t="str">
        <f>IF(Table3[[#This Row],[ShoulderLength]]="","",IF(Table3[[#This Row],[ShoulderLength]]&lt;Table3[[#This Row],[LOC]],"FIX",""))</f>
        <v/>
      </c>
    </row>
    <row r="113" spans="1:83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v>0</v>
      </c>
      <c r="BN113" s="6">
        <v>0</v>
      </c>
      <c r="BO113" s="6">
        <v>0</v>
      </c>
      <c r="BP113" s="6">
        <v>0</v>
      </c>
      <c r="BQ113" s="6">
        <v>0</v>
      </c>
      <c r="BR113" s="6">
        <v>0</v>
      </c>
      <c r="BS113" s="6">
        <v>0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>
        <v>0</v>
      </c>
      <c r="CA113" s="6">
        <v>0</v>
      </c>
      <c r="CB113" s="6">
        <v>0</v>
      </c>
      <c r="CC113" s="6">
        <f>IF(Table3[[#This Row],[Type]]="EM",IF((Table3[[#This Row],[Diameter]]/2)-Table3[[#This Row],[CornerRadius]]-0.012&gt;0,(Table3[[#This Row],[Diameter]]/2)-Table3[[#This Row],[CornerRadius]]-0.012,0),)</f>
        <v>0</v>
      </c>
      <c r="CE113" s="6" t="str">
        <f>IF(Table3[[#This Row],[ShoulderLength]]="","",IF(Table3[[#This Row],[ShoulderLength]]&lt;Table3[[#This Row],[LOC]],"FIX",""))</f>
        <v/>
      </c>
    </row>
    <row r="114" spans="1:83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v>0</v>
      </c>
      <c r="BN114" s="6">
        <v>0</v>
      </c>
      <c r="BO114" s="6">
        <v>0</v>
      </c>
      <c r="BP114" s="6">
        <v>0</v>
      </c>
      <c r="BQ114" s="6">
        <v>0</v>
      </c>
      <c r="BR114" s="6">
        <v>0</v>
      </c>
      <c r="BS114" s="6">
        <v>0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>
        <v>0</v>
      </c>
      <c r="CA114" s="6">
        <v>0</v>
      </c>
      <c r="CB114" s="6">
        <v>0</v>
      </c>
      <c r="CC114" s="6">
        <f>IF(Table3[[#This Row],[Type]]="EM",IF((Table3[[#This Row],[Diameter]]/2)-Table3[[#This Row],[CornerRadius]]-0.012&gt;0,(Table3[[#This Row],[Diameter]]/2)-Table3[[#This Row],[CornerRadius]]-0.012,0),)</f>
        <v>0</v>
      </c>
      <c r="CE114" s="6" t="str">
        <f>IF(Table3[[#This Row],[ShoulderLength]]="","",IF(Table3[[#This Row],[ShoulderLength]]&lt;Table3[[#This Row],[LOC]],"FIX",""))</f>
        <v/>
      </c>
    </row>
    <row r="115" spans="1:83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v>0</v>
      </c>
      <c r="BN115" s="6">
        <v>0</v>
      </c>
      <c r="BO115" s="6">
        <v>0</v>
      </c>
      <c r="BP115" s="6">
        <v>0</v>
      </c>
      <c r="BQ115" s="6">
        <v>0</v>
      </c>
      <c r="BR115" s="6">
        <v>0</v>
      </c>
      <c r="BS115" s="6">
        <v>0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>
        <v>0</v>
      </c>
      <c r="CA115" s="6">
        <v>0</v>
      </c>
      <c r="CB115" s="6">
        <v>0</v>
      </c>
      <c r="CC115" s="6">
        <f>IF(Table3[[#This Row],[Type]]="EM",IF((Table3[[#This Row],[Diameter]]/2)-Table3[[#This Row],[CornerRadius]]-0.012&gt;0,(Table3[[#This Row],[Diameter]]/2)-Table3[[#This Row],[CornerRadius]]-0.012,0),)</f>
        <v>0</v>
      </c>
      <c r="CE115" s="6" t="str">
        <f>IF(Table3[[#This Row],[ShoulderLength]]="","",IF(Table3[[#This Row],[ShoulderLength]]&lt;Table3[[#This Row],[LOC]],"FIX",""))</f>
        <v/>
      </c>
    </row>
    <row r="116" spans="1:83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0</v>
      </c>
      <c r="BO116" s="6">
        <v>0</v>
      </c>
      <c r="BP116" s="6">
        <v>0</v>
      </c>
      <c r="BQ116" s="6">
        <v>0</v>
      </c>
      <c r="BR116" s="6">
        <v>0</v>
      </c>
      <c r="BS116" s="6">
        <v>0</v>
      </c>
      <c r="BT116" s="6">
        <v>0</v>
      </c>
      <c r="BU116" s="6">
        <v>0</v>
      </c>
      <c r="BV116" s="6">
        <v>0</v>
      </c>
      <c r="BW116" s="6">
        <v>0</v>
      </c>
      <c r="BX116" s="6">
        <v>0</v>
      </c>
      <c r="BY116" s="6">
        <v>0</v>
      </c>
      <c r="BZ116" s="6">
        <v>0</v>
      </c>
      <c r="CA116" s="6">
        <v>0</v>
      </c>
      <c r="CB116" s="6">
        <v>0</v>
      </c>
      <c r="CC116" s="6">
        <f>IF(Table3[[#This Row],[Type]]="EM",IF((Table3[[#This Row],[Diameter]]/2)-Table3[[#This Row],[CornerRadius]]-0.012&gt;0,(Table3[[#This Row],[Diameter]]/2)-Table3[[#This Row],[CornerRadius]]-0.012,0),)</f>
        <v>0</v>
      </c>
      <c r="CE116" s="6" t="str">
        <f>IF(Table3[[#This Row],[ShoulderLength]]="","",IF(Table3[[#This Row],[ShoulderLength]]&lt;Table3[[#This Row],[LOC]],"FIX",""))</f>
        <v/>
      </c>
    </row>
    <row r="117" spans="1:83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0</v>
      </c>
      <c r="BO117" s="6">
        <v>0</v>
      </c>
      <c r="BP117" s="6">
        <v>0</v>
      </c>
      <c r="BQ117" s="6">
        <v>0</v>
      </c>
      <c r="BR117" s="6">
        <v>0</v>
      </c>
      <c r="BS117" s="6">
        <v>0</v>
      </c>
      <c r="BT117" s="6">
        <v>0</v>
      </c>
      <c r="BU117" s="6">
        <v>0</v>
      </c>
      <c r="BV117" s="6">
        <v>0</v>
      </c>
      <c r="BW117" s="6">
        <v>0</v>
      </c>
      <c r="BX117" s="6">
        <v>0</v>
      </c>
      <c r="BY117" s="6">
        <v>0</v>
      </c>
      <c r="BZ117" s="6">
        <v>0</v>
      </c>
      <c r="CA117" s="6">
        <v>0</v>
      </c>
      <c r="CB117" s="6">
        <v>0</v>
      </c>
      <c r="CC117" s="6">
        <f>IF(Table3[[#This Row],[Type]]="EM",IF((Table3[[#This Row],[Diameter]]/2)-Table3[[#This Row],[CornerRadius]]-0.012&gt;0,(Table3[[#This Row],[Diameter]]/2)-Table3[[#This Row],[CornerRadius]]-0.012,0),)</f>
        <v>0</v>
      </c>
      <c r="CE117" s="6" t="str">
        <f>IF(Table3[[#This Row],[ShoulderLength]]="","",IF(Table3[[#This Row],[ShoulderLength]]&lt;Table3[[#This Row],[LOC]],"FIX",""))</f>
        <v/>
      </c>
    </row>
    <row r="118" spans="1:83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0</v>
      </c>
      <c r="BO118" s="6">
        <v>0</v>
      </c>
      <c r="BP118" s="6">
        <v>0</v>
      </c>
      <c r="BQ118" s="6">
        <v>0</v>
      </c>
      <c r="BR118" s="6">
        <v>0</v>
      </c>
      <c r="BS118" s="6">
        <v>0</v>
      </c>
      <c r="BT118" s="6">
        <v>0</v>
      </c>
      <c r="BU118" s="6">
        <v>0</v>
      </c>
      <c r="BV118" s="6">
        <v>0</v>
      </c>
      <c r="BW118" s="6">
        <v>0</v>
      </c>
      <c r="BX118" s="6">
        <v>0</v>
      </c>
      <c r="BY118" s="6">
        <v>0</v>
      </c>
      <c r="BZ118" s="6">
        <v>0</v>
      </c>
      <c r="CA118" s="6">
        <v>0</v>
      </c>
      <c r="CB118" s="6">
        <v>0</v>
      </c>
      <c r="CC118" s="6">
        <f>IF(Table3[[#This Row],[Type]]="EM",IF((Table3[[#This Row],[Diameter]]/2)-Table3[[#This Row],[CornerRadius]]-0.012&gt;0,(Table3[[#This Row],[Diameter]]/2)-Table3[[#This Row],[CornerRadius]]-0.012,0),)</f>
        <v>0</v>
      </c>
      <c r="CE118" s="6" t="str">
        <f>IF(Table3[[#This Row],[ShoulderLength]]="","",IF(Table3[[#This Row],[ShoulderLength]]&lt;Table3[[#This Row],[LOC]],"FIX",""))</f>
        <v/>
      </c>
    </row>
    <row r="119" spans="1:83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0</v>
      </c>
      <c r="BO119" s="6">
        <v>0</v>
      </c>
      <c r="BP119" s="6">
        <v>0</v>
      </c>
      <c r="BQ119" s="6">
        <v>0</v>
      </c>
      <c r="BR119" s="6">
        <v>0</v>
      </c>
      <c r="BS119" s="6">
        <v>0</v>
      </c>
      <c r="BT119" s="6">
        <v>0</v>
      </c>
      <c r="BU119" s="6">
        <v>0</v>
      </c>
      <c r="BV119" s="6">
        <v>0</v>
      </c>
      <c r="BW119" s="6">
        <v>0</v>
      </c>
      <c r="BX119" s="6">
        <v>0</v>
      </c>
      <c r="BY119" s="6">
        <v>0</v>
      </c>
      <c r="BZ119" s="6">
        <v>0</v>
      </c>
      <c r="CA119" s="6">
        <v>0</v>
      </c>
      <c r="CB119" s="6">
        <v>0</v>
      </c>
      <c r="CC119" s="6">
        <f>IF(Table3[[#This Row],[Type]]="EM",IF((Table3[[#This Row],[Diameter]]/2)-Table3[[#This Row],[CornerRadius]]-0.012&gt;0,(Table3[[#This Row],[Diameter]]/2)-Table3[[#This Row],[CornerRadius]]-0.012,0),)</f>
        <v>0</v>
      </c>
      <c r="CE119" s="6" t="str">
        <f>IF(Table3[[#This Row],[ShoulderLength]]="","",IF(Table3[[#This Row],[ShoulderLength]]&lt;Table3[[#This Row],[LOC]],"FIX",""))</f>
        <v/>
      </c>
    </row>
    <row r="120" spans="1:83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v>0</v>
      </c>
      <c r="BN120" s="6">
        <v>0</v>
      </c>
      <c r="BO120" s="6">
        <v>0</v>
      </c>
      <c r="BP120" s="6">
        <v>0</v>
      </c>
      <c r="BQ120" s="6">
        <v>0</v>
      </c>
      <c r="BR120" s="6">
        <v>0</v>
      </c>
      <c r="BS120" s="6">
        <v>0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>
        <v>0</v>
      </c>
      <c r="CA120" s="6">
        <v>0</v>
      </c>
      <c r="CB120" s="6">
        <v>0</v>
      </c>
      <c r="CC120" s="6">
        <f>IF(Table3[[#This Row],[Type]]="EM",IF((Table3[[#This Row],[Diameter]]/2)-Table3[[#This Row],[CornerRadius]]-0.012&gt;0,(Table3[[#This Row],[Diameter]]/2)-Table3[[#This Row],[CornerRadius]]-0.012,0),)</f>
        <v>0</v>
      </c>
      <c r="CE120" s="6" t="str">
        <f>IF(Table3[[#This Row],[ShoulderLength]]="","",IF(Table3[[#This Row],[ShoulderLength]]&lt;Table3[[#This Row],[LOC]],"FIX",""))</f>
        <v/>
      </c>
    </row>
    <row r="121" spans="1:83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0</v>
      </c>
      <c r="BO121" s="6">
        <v>0</v>
      </c>
      <c r="BP121" s="6">
        <v>0</v>
      </c>
      <c r="BQ121" s="6">
        <v>0</v>
      </c>
      <c r="BR121" s="6">
        <v>0</v>
      </c>
      <c r="BS121" s="6">
        <v>0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>
        <v>0</v>
      </c>
      <c r="CA121" s="6">
        <v>0</v>
      </c>
      <c r="CB121" s="6">
        <v>0</v>
      </c>
      <c r="CC121" s="6">
        <f>IF(Table3[[#This Row],[Type]]="EM",IF((Table3[[#This Row],[Diameter]]/2)-Table3[[#This Row],[CornerRadius]]-0.012&gt;0,(Table3[[#This Row],[Diameter]]/2)-Table3[[#This Row],[CornerRadius]]-0.012,0),)</f>
        <v>0</v>
      </c>
      <c r="CE121" s="6" t="str">
        <f>IF(Table3[[#This Row],[ShoulderLength]]="","",IF(Table3[[#This Row],[ShoulderLength]]&lt;Table3[[#This Row],[LOC]],"FIX",""))</f>
        <v/>
      </c>
    </row>
    <row r="122" spans="1:83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v>0</v>
      </c>
      <c r="BN122" s="6">
        <v>0</v>
      </c>
      <c r="BO122" s="6">
        <v>0</v>
      </c>
      <c r="BP122" s="6">
        <v>0</v>
      </c>
      <c r="BQ122" s="6">
        <v>0</v>
      </c>
      <c r="BR122" s="6">
        <v>0</v>
      </c>
      <c r="BS122" s="6">
        <v>0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>
        <v>0</v>
      </c>
      <c r="CA122" s="6">
        <v>0</v>
      </c>
      <c r="CB122" s="6">
        <v>0</v>
      </c>
      <c r="CC122" s="6">
        <f>IF(Table3[[#This Row],[Type]]="EM",IF((Table3[[#This Row],[Diameter]]/2)-Table3[[#This Row],[CornerRadius]]-0.012&gt;0,(Table3[[#This Row],[Diameter]]/2)-Table3[[#This Row],[CornerRadius]]-0.012,0),)</f>
        <v>0</v>
      </c>
      <c r="CE122" s="6" t="str">
        <f>IF(Table3[[#This Row],[ShoulderLength]]="","",IF(Table3[[#This Row],[ShoulderLength]]&lt;Table3[[#This Row],[LOC]],"FIX",""))</f>
        <v/>
      </c>
    </row>
    <row r="123" spans="1:83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v>0</v>
      </c>
      <c r="BN123" s="6">
        <v>0</v>
      </c>
      <c r="BO123" s="6">
        <v>0</v>
      </c>
      <c r="BP123" s="6">
        <v>0</v>
      </c>
      <c r="BQ123" s="6">
        <v>0</v>
      </c>
      <c r="BR123" s="6">
        <v>0</v>
      </c>
      <c r="BS123" s="6">
        <v>0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>
        <v>0</v>
      </c>
      <c r="CA123" s="6">
        <v>0</v>
      </c>
      <c r="CB123" s="6">
        <v>0</v>
      </c>
      <c r="CC123" s="6">
        <f>IF(Table3[[#This Row],[Type]]="EM",IF((Table3[[#This Row],[Diameter]]/2)-Table3[[#This Row],[CornerRadius]]-0.012&gt;0,(Table3[[#This Row],[Diameter]]/2)-Table3[[#This Row],[CornerRadius]]-0.012,0),)</f>
        <v>0</v>
      </c>
      <c r="CE123" s="6" t="str">
        <f>IF(Table3[[#This Row],[ShoulderLength]]="","",IF(Table3[[#This Row],[ShoulderLength]]&lt;Table3[[#This Row],[LOC]],"FIX",""))</f>
        <v/>
      </c>
    </row>
    <row r="124" spans="1:83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v>0</v>
      </c>
      <c r="BN124" s="6">
        <v>0</v>
      </c>
      <c r="BO124" s="6">
        <v>0</v>
      </c>
      <c r="BP124" s="6">
        <v>0</v>
      </c>
      <c r="BQ124" s="6">
        <v>0</v>
      </c>
      <c r="BR124" s="6">
        <v>0</v>
      </c>
      <c r="BS124" s="6">
        <v>0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>
        <v>0</v>
      </c>
      <c r="CA124" s="6">
        <v>0</v>
      </c>
      <c r="CB124" s="6">
        <v>0</v>
      </c>
      <c r="CC124" s="6">
        <f>IF(Table3[[#This Row],[Type]]="EM",IF((Table3[[#This Row],[Diameter]]/2)-Table3[[#This Row],[CornerRadius]]-0.012&gt;0,(Table3[[#This Row],[Diameter]]/2)-Table3[[#This Row],[CornerRadius]]-0.012,0),)</f>
        <v>0</v>
      </c>
      <c r="CE124" s="6" t="str">
        <f>IF(Table3[[#This Row],[ShoulderLength]]="","",IF(Table3[[#This Row],[ShoulderLength]]&lt;Table3[[#This Row],[LOC]],"FIX",""))</f>
        <v/>
      </c>
    </row>
    <row r="125" spans="1:83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0</v>
      </c>
      <c r="BO125" s="6">
        <v>0</v>
      </c>
      <c r="BP125" s="6">
        <v>0</v>
      </c>
      <c r="BQ125" s="6">
        <v>0</v>
      </c>
      <c r="BR125" s="6">
        <v>0</v>
      </c>
      <c r="BS125" s="6">
        <v>0</v>
      </c>
      <c r="BT125" s="6">
        <v>0</v>
      </c>
      <c r="BU125" s="6">
        <v>0</v>
      </c>
      <c r="BV125" s="6">
        <v>0</v>
      </c>
      <c r="BW125" s="6">
        <v>0</v>
      </c>
      <c r="BX125" s="6">
        <v>0</v>
      </c>
      <c r="BY125" s="6">
        <v>0</v>
      </c>
      <c r="BZ125" s="6">
        <v>0</v>
      </c>
      <c r="CA125" s="6">
        <v>0</v>
      </c>
      <c r="CB125" s="6">
        <v>0</v>
      </c>
      <c r="CC125" s="6">
        <f>IF(Table3[[#This Row],[Type]]="EM",IF((Table3[[#This Row],[Diameter]]/2)-Table3[[#This Row],[CornerRadius]]-0.012&gt;0,(Table3[[#This Row],[Diameter]]/2)-Table3[[#This Row],[CornerRadius]]-0.012,0),)</f>
        <v>0</v>
      </c>
      <c r="CE125" s="6" t="str">
        <f>IF(Table3[[#This Row],[ShoulderLength]]="","",IF(Table3[[#This Row],[ShoulderLength]]&lt;Table3[[#This Row],[LOC]],"FIX",""))</f>
        <v/>
      </c>
    </row>
    <row r="126" spans="1:83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0</v>
      </c>
      <c r="BO126" s="6">
        <v>0</v>
      </c>
      <c r="BP126" s="6">
        <v>0</v>
      </c>
      <c r="BQ126" s="6">
        <v>0</v>
      </c>
      <c r="BR126" s="6">
        <v>0</v>
      </c>
      <c r="BS126" s="6">
        <v>0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>
        <v>0</v>
      </c>
      <c r="CA126" s="6">
        <v>0</v>
      </c>
      <c r="CB126" s="6">
        <v>0</v>
      </c>
      <c r="CC126" s="6">
        <f>IF(Table3[[#This Row],[Type]]="EM",IF((Table3[[#This Row],[Diameter]]/2)-Table3[[#This Row],[CornerRadius]]-0.012&gt;0,(Table3[[#This Row],[Diameter]]/2)-Table3[[#This Row],[CornerRadius]]-0.012,0),)</f>
        <v>0</v>
      </c>
      <c r="CE126" s="6" t="str">
        <f>IF(Table3[[#This Row],[ShoulderLength]]="","",IF(Table3[[#This Row],[ShoulderLength]]&lt;Table3[[#This Row],[LOC]],"FIX",""))</f>
        <v/>
      </c>
    </row>
    <row r="127" spans="1:83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0</v>
      </c>
      <c r="BO127" s="6">
        <v>0</v>
      </c>
      <c r="BP127" s="6">
        <v>0</v>
      </c>
      <c r="BQ127" s="6">
        <v>0</v>
      </c>
      <c r="BR127" s="6">
        <v>0</v>
      </c>
      <c r="BS127" s="6">
        <v>0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>
        <v>0</v>
      </c>
      <c r="CA127" s="6">
        <v>0</v>
      </c>
      <c r="CB127" s="6">
        <v>0</v>
      </c>
      <c r="CC127" s="6">
        <f>IF(Table3[[#This Row],[Type]]="EM",IF((Table3[[#This Row],[Diameter]]/2)-Table3[[#This Row],[CornerRadius]]-0.012&gt;0,(Table3[[#This Row],[Diameter]]/2)-Table3[[#This Row],[CornerRadius]]-0.012,0),)</f>
        <v>0</v>
      </c>
      <c r="CE127" s="6" t="str">
        <f>IF(Table3[[#This Row],[ShoulderLength]]="","",IF(Table3[[#This Row],[ShoulderLength]]&lt;Table3[[#This Row],[LOC]],"FIX",""))</f>
        <v/>
      </c>
    </row>
    <row r="128" spans="1:83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v>0</v>
      </c>
      <c r="BN128" s="6">
        <v>0</v>
      </c>
      <c r="BO128" s="6">
        <v>0</v>
      </c>
      <c r="BP128" s="6">
        <v>0</v>
      </c>
      <c r="BQ128" s="6">
        <v>0</v>
      </c>
      <c r="BR128" s="6">
        <v>0</v>
      </c>
      <c r="BS128" s="6">
        <v>0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>
        <v>0</v>
      </c>
      <c r="CA128" s="6">
        <v>0</v>
      </c>
      <c r="CB128" s="6">
        <v>0</v>
      </c>
      <c r="CC128" s="6">
        <f>IF(Table3[[#This Row],[Type]]="EM",IF((Table3[[#This Row],[Diameter]]/2)-Table3[[#This Row],[CornerRadius]]-0.012&gt;0,(Table3[[#This Row],[Diameter]]/2)-Table3[[#This Row],[CornerRadius]]-0.012,0),)</f>
        <v>0</v>
      </c>
      <c r="CE128" s="6" t="str">
        <f>IF(Table3[[#This Row],[ShoulderLength]]="","",IF(Table3[[#This Row],[ShoulderLength]]&lt;Table3[[#This Row],[LOC]],"FIX",""))</f>
        <v/>
      </c>
    </row>
    <row r="129" spans="1:83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0</v>
      </c>
      <c r="BO129" s="6">
        <v>0</v>
      </c>
      <c r="BP129" s="6">
        <v>0</v>
      </c>
      <c r="BQ129" s="6">
        <v>0</v>
      </c>
      <c r="BR129" s="6">
        <v>0</v>
      </c>
      <c r="BS129" s="6">
        <v>0</v>
      </c>
      <c r="BT129" s="6">
        <v>0</v>
      </c>
      <c r="BU129" s="6">
        <v>0</v>
      </c>
      <c r="BV129" s="6">
        <v>0</v>
      </c>
      <c r="BW129" s="6">
        <v>0</v>
      </c>
      <c r="BX129" s="6">
        <v>0</v>
      </c>
      <c r="BY129" s="6">
        <v>0</v>
      </c>
      <c r="BZ129" s="6">
        <v>0</v>
      </c>
      <c r="CA129" s="6">
        <v>0</v>
      </c>
      <c r="CB129" s="6">
        <v>0</v>
      </c>
      <c r="CC129" s="6">
        <f>IF(Table3[[#This Row],[Type]]="EM",IF((Table3[[#This Row],[Diameter]]/2)-Table3[[#This Row],[CornerRadius]]-0.012&gt;0,(Table3[[#This Row],[Diameter]]/2)-Table3[[#This Row],[CornerRadius]]-0.012,0),)</f>
        <v>0</v>
      </c>
      <c r="CE129" s="6" t="str">
        <f>IF(Table3[[#This Row],[ShoulderLength]]="","",IF(Table3[[#This Row],[ShoulderLength]]&lt;Table3[[#This Row],[LOC]],"FIX",""))</f>
        <v/>
      </c>
    </row>
    <row r="130" spans="1:83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0</v>
      </c>
      <c r="BO130" s="6">
        <v>0</v>
      </c>
      <c r="BP130" s="6">
        <v>0</v>
      </c>
      <c r="BQ130" s="6">
        <v>0</v>
      </c>
      <c r="BR130" s="6">
        <v>0</v>
      </c>
      <c r="BS130" s="6">
        <v>0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>
        <v>0</v>
      </c>
      <c r="CA130" s="6">
        <v>0</v>
      </c>
      <c r="CB130" s="6">
        <v>0</v>
      </c>
      <c r="CC130" s="6">
        <f>IF(Table3[[#This Row],[Type]]="EM",IF((Table3[[#This Row],[Diameter]]/2)-Table3[[#This Row],[CornerRadius]]-0.012&gt;0,(Table3[[#This Row],[Diameter]]/2)-Table3[[#This Row],[CornerRadius]]-0.012,0),)</f>
        <v>0</v>
      </c>
      <c r="CE130" s="6" t="str">
        <f>IF(Table3[[#This Row],[ShoulderLength]]="","",IF(Table3[[#This Row],[ShoulderLength]]&lt;Table3[[#This Row],[LOC]],"FIX",""))</f>
        <v/>
      </c>
    </row>
    <row r="131" spans="1:83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0</v>
      </c>
      <c r="BO131" s="6">
        <v>0</v>
      </c>
      <c r="BP131" s="6">
        <v>0</v>
      </c>
      <c r="BQ131" s="6">
        <v>0</v>
      </c>
      <c r="BR131" s="6">
        <v>0</v>
      </c>
      <c r="BS131" s="6">
        <v>0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>
        <v>0</v>
      </c>
      <c r="CA131" s="6">
        <v>0</v>
      </c>
      <c r="CB131" s="6">
        <v>0</v>
      </c>
      <c r="CC131" s="6">
        <f>IF(Table3[[#This Row],[Type]]="EM",IF((Table3[[#This Row],[Diameter]]/2)-Table3[[#This Row],[CornerRadius]]-0.012&gt;0,(Table3[[#This Row],[Diameter]]/2)-Table3[[#This Row],[CornerRadius]]-0.012,0),)</f>
        <v>0</v>
      </c>
      <c r="CE131" s="6" t="str">
        <f>IF(Table3[[#This Row],[ShoulderLength]]="","",IF(Table3[[#This Row],[ShoulderLength]]&lt;Table3[[#This Row],[LOC]],"FIX",""))</f>
        <v/>
      </c>
    </row>
    <row r="132" spans="1:83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0</v>
      </c>
      <c r="BO132" s="6">
        <v>0</v>
      </c>
      <c r="BP132" s="6">
        <v>0</v>
      </c>
      <c r="BQ132" s="6">
        <v>0</v>
      </c>
      <c r="BR132" s="6">
        <v>0</v>
      </c>
      <c r="BS132" s="6">
        <v>0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>
        <v>0</v>
      </c>
      <c r="CA132" s="6">
        <v>0</v>
      </c>
      <c r="CB132" s="6">
        <v>0</v>
      </c>
      <c r="CC132" s="6">
        <f>IF(Table3[[#This Row],[Type]]="EM",IF((Table3[[#This Row],[Diameter]]/2)-Table3[[#This Row],[CornerRadius]]-0.012&gt;0,(Table3[[#This Row],[Diameter]]/2)-Table3[[#This Row],[CornerRadius]]-0.012,0),)</f>
        <v>0</v>
      </c>
      <c r="CE132" s="6" t="str">
        <f>IF(Table3[[#This Row],[ShoulderLength]]="","",IF(Table3[[#This Row],[ShoulderLength]]&lt;Table3[[#This Row],[LOC]],"FIX",""))</f>
        <v/>
      </c>
    </row>
    <row r="133" spans="1:83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0</v>
      </c>
      <c r="BO133" s="6">
        <v>0</v>
      </c>
      <c r="BP133" s="6">
        <v>0</v>
      </c>
      <c r="BQ133" s="6">
        <v>0</v>
      </c>
      <c r="BR133" s="6">
        <v>0</v>
      </c>
      <c r="BS133" s="6">
        <v>0</v>
      </c>
      <c r="BT133" s="6">
        <v>0</v>
      </c>
      <c r="BU133" s="6">
        <v>0</v>
      </c>
      <c r="BV133" s="6">
        <v>0</v>
      </c>
      <c r="BW133" s="6">
        <v>0</v>
      </c>
      <c r="BX133" s="6">
        <v>0</v>
      </c>
      <c r="BY133" s="6">
        <v>0</v>
      </c>
      <c r="BZ133" s="6">
        <v>0</v>
      </c>
      <c r="CA133" s="6">
        <v>0</v>
      </c>
      <c r="CB133" s="6">
        <v>0</v>
      </c>
      <c r="CC133" s="6">
        <f>IF(Table3[[#This Row],[Type]]="EM",IF((Table3[[#This Row],[Diameter]]/2)-Table3[[#This Row],[CornerRadius]]-0.012&gt;0,(Table3[[#This Row],[Diameter]]/2)-Table3[[#This Row],[CornerRadius]]-0.012,0),)</f>
        <v>0</v>
      </c>
      <c r="CE133" s="6" t="str">
        <f>IF(Table3[[#This Row],[ShoulderLength]]="","",IF(Table3[[#This Row],[ShoulderLength]]&lt;Table3[[#This Row],[LOC]],"FIX",""))</f>
        <v/>
      </c>
    </row>
    <row r="134" spans="1:83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0</v>
      </c>
      <c r="BO134" s="6">
        <v>0</v>
      </c>
      <c r="BP134" s="6">
        <v>0</v>
      </c>
      <c r="BQ134" s="6">
        <v>0</v>
      </c>
      <c r="BR134" s="6">
        <v>0</v>
      </c>
      <c r="BS134" s="6">
        <v>0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>
        <v>0</v>
      </c>
      <c r="CA134" s="6">
        <v>0</v>
      </c>
      <c r="CB134" s="6">
        <v>0</v>
      </c>
      <c r="CC134" s="6">
        <f>IF(Table3[[#This Row],[Type]]="EM",IF((Table3[[#This Row],[Diameter]]/2)-Table3[[#This Row],[CornerRadius]]-0.012&gt;0,(Table3[[#This Row],[Diameter]]/2)-Table3[[#This Row],[CornerRadius]]-0.012,0),)</f>
        <v>0</v>
      </c>
      <c r="CE134" s="6" t="str">
        <f>IF(Table3[[#This Row],[ShoulderLength]]="","",IF(Table3[[#This Row],[ShoulderLength]]&lt;Table3[[#This Row],[LOC]],"FIX",""))</f>
        <v/>
      </c>
    </row>
    <row r="135" spans="1:83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v>0</v>
      </c>
      <c r="BN135" s="6">
        <v>0</v>
      </c>
      <c r="BO135" s="6">
        <v>0</v>
      </c>
      <c r="BP135" s="6">
        <v>0</v>
      </c>
      <c r="BQ135" s="6">
        <v>0</v>
      </c>
      <c r="BR135" s="6">
        <v>0</v>
      </c>
      <c r="BS135" s="6">
        <v>0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>
        <v>0</v>
      </c>
      <c r="CA135" s="6">
        <v>0</v>
      </c>
      <c r="CB135" s="6">
        <v>0</v>
      </c>
      <c r="CC135" s="6">
        <f>IF(Table3[[#This Row],[Type]]="EM",IF((Table3[[#This Row],[Diameter]]/2)-Table3[[#This Row],[CornerRadius]]-0.012&gt;0,(Table3[[#This Row],[Diameter]]/2)-Table3[[#This Row],[CornerRadius]]-0.012,0),)</f>
        <v>0</v>
      </c>
      <c r="CE135" s="6" t="str">
        <f>IF(Table3[[#This Row],[ShoulderLength]]="","",IF(Table3[[#This Row],[ShoulderLength]]&lt;Table3[[#This Row],[LOC]],"FIX",""))</f>
        <v/>
      </c>
    </row>
    <row r="136" spans="1:83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0</v>
      </c>
      <c r="BO136" s="6">
        <v>0</v>
      </c>
      <c r="BP136" s="6">
        <v>0</v>
      </c>
      <c r="BQ136" s="6">
        <v>0</v>
      </c>
      <c r="BR136" s="6">
        <v>0</v>
      </c>
      <c r="BS136" s="6">
        <v>0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>
        <v>0</v>
      </c>
      <c r="CA136" s="6">
        <v>0</v>
      </c>
      <c r="CB136" s="6">
        <v>0</v>
      </c>
      <c r="CC136" s="6">
        <f>IF(Table3[[#This Row],[Type]]="EM",IF((Table3[[#This Row],[Diameter]]/2)-Table3[[#This Row],[CornerRadius]]-0.012&gt;0,(Table3[[#This Row],[Diameter]]/2)-Table3[[#This Row],[CornerRadius]]-0.012,0),)</f>
        <v>0</v>
      </c>
      <c r="CE136" s="6" t="str">
        <f>IF(Table3[[#This Row],[ShoulderLength]]="","",IF(Table3[[#This Row],[ShoulderLength]]&lt;Table3[[#This Row],[LOC]],"FIX",""))</f>
        <v/>
      </c>
    </row>
    <row r="137" spans="1:83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0</v>
      </c>
      <c r="BO137" s="6">
        <v>0</v>
      </c>
      <c r="BP137" s="6">
        <v>0</v>
      </c>
      <c r="BQ137" s="6">
        <v>0</v>
      </c>
      <c r="BR137" s="6">
        <v>0</v>
      </c>
      <c r="BS137" s="6">
        <v>0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>
        <v>0</v>
      </c>
      <c r="CA137" s="6">
        <v>0</v>
      </c>
      <c r="CB137" s="6">
        <v>0</v>
      </c>
      <c r="CC137" s="6">
        <f>IF(Table3[[#This Row],[Type]]="EM",IF((Table3[[#This Row],[Diameter]]/2)-Table3[[#This Row],[CornerRadius]]-0.012&gt;0,(Table3[[#This Row],[Diameter]]/2)-Table3[[#This Row],[CornerRadius]]-0.012,0),)</f>
        <v>0</v>
      </c>
      <c r="CE137" s="6" t="str">
        <f>IF(Table3[[#This Row],[ShoulderLength]]="","",IF(Table3[[#This Row],[ShoulderLength]]&lt;Table3[[#This Row],[LOC]],"FIX",""))</f>
        <v/>
      </c>
    </row>
    <row r="138" spans="1:83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0</v>
      </c>
      <c r="BO138" s="6">
        <v>0</v>
      </c>
      <c r="BP138" s="6">
        <v>0</v>
      </c>
      <c r="BQ138" s="6">
        <v>0</v>
      </c>
      <c r="BR138" s="6">
        <v>0</v>
      </c>
      <c r="BS138" s="6">
        <v>0</v>
      </c>
      <c r="BT138" s="6">
        <v>0</v>
      </c>
      <c r="BU138" s="6">
        <v>0</v>
      </c>
      <c r="BV138" s="6">
        <v>0</v>
      </c>
      <c r="BW138" s="6">
        <v>0</v>
      </c>
      <c r="BX138" s="6">
        <v>0</v>
      </c>
      <c r="BY138" s="6">
        <v>0</v>
      </c>
      <c r="BZ138" s="6">
        <v>0</v>
      </c>
      <c r="CA138" s="6">
        <v>0</v>
      </c>
      <c r="CB138" s="6">
        <v>0</v>
      </c>
      <c r="CC138" s="6">
        <f>IF(Table3[[#This Row],[Type]]="EM",IF((Table3[[#This Row],[Diameter]]/2)-Table3[[#This Row],[CornerRadius]]-0.012&gt;0,(Table3[[#This Row],[Diameter]]/2)-Table3[[#This Row],[CornerRadius]]-0.012,0),)</f>
        <v>0</v>
      </c>
      <c r="CE138" s="6" t="str">
        <f>IF(Table3[[#This Row],[ShoulderLength]]="","",IF(Table3[[#This Row],[ShoulderLength]]&lt;Table3[[#This Row],[LOC]],"FIX",""))</f>
        <v/>
      </c>
    </row>
    <row r="139" spans="1:83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v>0</v>
      </c>
      <c r="BN139" s="6">
        <v>0</v>
      </c>
      <c r="BO139" s="6">
        <v>0</v>
      </c>
      <c r="BP139" s="6">
        <v>0</v>
      </c>
      <c r="BQ139" s="6">
        <v>0</v>
      </c>
      <c r="BR139" s="6">
        <v>0</v>
      </c>
      <c r="BS139" s="6">
        <v>0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>
        <v>0</v>
      </c>
      <c r="CA139" s="6">
        <v>0</v>
      </c>
      <c r="CB139" s="6">
        <v>0</v>
      </c>
      <c r="CC139" s="6">
        <f>IF(Table3[[#This Row],[Type]]="EM",IF((Table3[[#This Row],[Diameter]]/2)-Table3[[#This Row],[CornerRadius]]-0.012&gt;0,(Table3[[#This Row],[Diameter]]/2)-Table3[[#This Row],[CornerRadius]]-0.012,0),)</f>
        <v>0</v>
      </c>
      <c r="CE139" s="6" t="str">
        <f>IF(Table3[[#This Row],[ShoulderLength]]="","",IF(Table3[[#This Row],[ShoulderLength]]&lt;Table3[[#This Row],[LOC]],"FIX",""))</f>
        <v/>
      </c>
    </row>
    <row r="140" spans="1:83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v>0</v>
      </c>
      <c r="BN140" s="6">
        <v>0</v>
      </c>
      <c r="BO140" s="6">
        <v>0</v>
      </c>
      <c r="BP140" s="6">
        <v>0</v>
      </c>
      <c r="BQ140" s="6">
        <v>0</v>
      </c>
      <c r="BR140" s="6">
        <v>0</v>
      </c>
      <c r="BS140" s="6">
        <v>0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>
        <v>0</v>
      </c>
      <c r="CA140" s="6">
        <v>0</v>
      </c>
      <c r="CB140" s="6">
        <v>0</v>
      </c>
      <c r="CC140" s="6">
        <f>IF(Table3[[#This Row],[Type]]="EM",IF((Table3[[#This Row],[Diameter]]/2)-Table3[[#This Row],[CornerRadius]]-0.012&gt;0,(Table3[[#This Row],[Diameter]]/2)-Table3[[#This Row],[CornerRadius]]-0.012,0),)</f>
        <v>0</v>
      </c>
      <c r="CE140" s="6" t="str">
        <f>IF(Table3[[#This Row],[ShoulderLength]]="","",IF(Table3[[#This Row],[ShoulderLength]]&lt;Table3[[#This Row],[LOC]],"FIX",""))</f>
        <v/>
      </c>
    </row>
    <row r="141" spans="1:83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0</v>
      </c>
      <c r="BO141" s="6">
        <v>0</v>
      </c>
      <c r="BP141" s="6">
        <v>0</v>
      </c>
      <c r="BQ141" s="6">
        <v>0</v>
      </c>
      <c r="BR141" s="6">
        <v>0</v>
      </c>
      <c r="BS141" s="6">
        <v>0</v>
      </c>
      <c r="BT141" s="6">
        <v>0</v>
      </c>
      <c r="BU141" s="6">
        <v>0</v>
      </c>
      <c r="BV141" s="6">
        <v>0</v>
      </c>
      <c r="BW141" s="6">
        <v>0</v>
      </c>
      <c r="BX141" s="6">
        <v>0</v>
      </c>
      <c r="BY141" s="6">
        <v>0</v>
      </c>
      <c r="BZ141" s="6">
        <v>0</v>
      </c>
      <c r="CA141" s="6">
        <v>0</v>
      </c>
      <c r="CB141" s="6">
        <v>0</v>
      </c>
      <c r="CC141" s="6">
        <f>IF(Table3[[#This Row],[Type]]="EM",IF((Table3[[#This Row],[Diameter]]/2)-Table3[[#This Row],[CornerRadius]]-0.012&gt;0,(Table3[[#This Row],[Diameter]]/2)-Table3[[#This Row],[CornerRadius]]-0.012,0),)</f>
        <v>0</v>
      </c>
      <c r="CE141" s="6" t="str">
        <f>IF(Table3[[#This Row],[ShoulderLength]]="","",IF(Table3[[#This Row],[ShoulderLength]]&lt;Table3[[#This Row],[LOC]],"FIX",""))</f>
        <v/>
      </c>
    </row>
    <row r="142" spans="1:83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0</v>
      </c>
      <c r="BO142" s="6">
        <v>0</v>
      </c>
      <c r="BP142" s="6">
        <v>0</v>
      </c>
      <c r="BQ142" s="6">
        <v>0</v>
      </c>
      <c r="BR142" s="6">
        <v>0</v>
      </c>
      <c r="BS142" s="6">
        <v>0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>
        <v>0</v>
      </c>
      <c r="CA142" s="6">
        <v>0</v>
      </c>
      <c r="CB142" s="6">
        <v>0</v>
      </c>
      <c r="CC142" s="6">
        <f>IF(Table3[[#This Row],[Type]]="EM",IF((Table3[[#This Row],[Diameter]]/2)-Table3[[#This Row],[CornerRadius]]-0.012&gt;0,(Table3[[#This Row],[Diameter]]/2)-Table3[[#This Row],[CornerRadius]]-0.012,0),)</f>
        <v>0</v>
      </c>
      <c r="CE142" s="6" t="str">
        <f>IF(Table3[[#This Row],[ShoulderLength]]="","",IF(Table3[[#This Row],[ShoulderLength]]&lt;Table3[[#This Row],[LOC]],"FIX",""))</f>
        <v/>
      </c>
    </row>
    <row r="143" spans="1:83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v>0</v>
      </c>
      <c r="BN143" s="6">
        <v>0</v>
      </c>
      <c r="BO143" s="6">
        <v>0</v>
      </c>
      <c r="BP143" s="6">
        <v>0</v>
      </c>
      <c r="BQ143" s="6">
        <v>0</v>
      </c>
      <c r="BR143" s="6">
        <v>0</v>
      </c>
      <c r="BS143" s="6">
        <v>0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>
        <v>0</v>
      </c>
      <c r="CA143" s="6">
        <v>0</v>
      </c>
      <c r="CB143" s="6">
        <v>0</v>
      </c>
      <c r="CC143" s="6">
        <f>IF(Table3[[#This Row],[Type]]="EM",IF((Table3[[#This Row],[Diameter]]/2)-Table3[[#This Row],[CornerRadius]]-0.012&gt;0,(Table3[[#This Row],[Diameter]]/2)-Table3[[#This Row],[CornerRadius]]-0.012,0),)</f>
        <v>0</v>
      </c>
      <c r="CE143" s="6" t="str">
        <f>IF(Table3[[#This Row],[ShoulderLength]]="","",IF(Table3[[#This Row],[ShoulderLength]]&lt;Table3[[#This Row],[LOC]],"FIX",""))</f>
        <v/>
      </c>
    </row>
    <row r="144" spans="1:83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0</v>
      </c>
      <c r="BO144" s="6">
        <v>0</v>
      </c>
      <c r="BP144" s="6">
        <v>0</v>
      </c>
      <c r="BQ144" s="6">
        <v>0</v>
      </c>
      <c r="BR144" s="6">
        <v>0</v>
      </c>
      <c r="BS144" s="6">
        <v>0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>
        <v>0</v>
      </c>
      <c r="CA144" s="6">
        <v>0</v>
      </c>
      <c r="CB144" s="6">
        <v>0</v>
      </c>
      <c r="CC144" s="6">
        <f>IF(Table3[[#This Row],[Type]]="EM",IF((Table3[[#This Row],[Diameter]]/2)-Table3[[#This Row],[CornerRadius]]-0.012&gt;0,(Table3[[#This Row],[Diameter]]/2)-Table3[[#This Row],[CornerRadius]]-0.012,0),)</f>
        <v>0</v>
      </c>
      <c r="CE144" s="6" t="str">
        <f>IF(Table3[[#This Row],[ShoulderLength]]="","",IF(Table3[[#This Row],[ShoulderLength]]&lt;Table3[[#This Row],[LOC]],"FIX",""))</f>
        <v/>
      </c>
    </row>
    <row r="145" spans="1:83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v>0</v>
      </c>
      <c r="BN145" s="6">
        <v>0</v>
      </c>
      <c r="BO145" s="6">
        <v>0</v>
      </c>
      <c r="BP145" s="6">
        <v>0</v>
      </c>
      <c r="BQ145" s="6">
        <v>0</v>
      </c>
      <c r="BR145" s="6">
        <v>0</v>
      </c>
      <c r="BS145" s="6">
        <v>0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>
        <v>0</v>
      </c>
      <c r="CA145" s="6">
        <v>0</v>
      </c>
      <c r="CB145" s="6">
        <v>0</v>
      </c>
      <c r="CC145" s="6">
        <f>IF(Table3[[#This Row],[Type]]="EM",IF((Table3[[#This Row],[Diameter]]/2)-Table3[[#This Row],[CornerRadius]]-0.012&gt;0,(Table3[[#This Row],[Diameter]]/2)-Table3[[#This Row],[CornerRadius]]-0.012,0),)</f>
        <v>0</v>
      </c>
      <c r="CE145" s="6" t="str">
        <f>IF(Table3[[#This Row],[ShoulderLength]]="","",IF(Table3[[#This Row],[ShoulderLength]]&lt;Table3[[#This Row],[LOC]],"FIX",""))</f>
        <v/>
      </c>
    </row>
    <row r="146" spans="1:83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0</v>
      </c>
      <c r="BO146" s="6">
        <v>0</v>
      </c>
      <c r="BP146" s="6">
        <v>0</v>
      </c>
      <c r="BQ146" s="6">
        <v>0</v>
      </c>
      <c r="BR146" s="6">
        <v>0</v>
      </c>
      <c r="BS146" s="6">
        <v>0</v>
      </c>
      <c r="BT146" s="6">
        <v>0</v>
      </c>
      <c r="BU146" s="6">
        <v>0</v>
      </c>
      <c r="BV146" s="6">
        <v>0</v>
      </c>
      <c r="BW146" s="6">
        <v>0</v>
      </c>
      <c r="BX146" s="6">
        <v>0</v>
      </c>
      <c r="BY146" s="6">
        <v>0</v>
      </c>
      <c r="BZ146" s="6">
        <v>0</v>
      </c>
      <c r="CA146" s="6">
        <v>0</v>
      </c>
      <c r="CB146" s="6">
        <v>0</v>
      </c>
      <c r="CC146" s="6">
        <f>IF(Table3[[#This Row],[Type]]="EM",IF((Table3[[#This Row],[Diameter]]/2)-Table3[[#This Row],[CornerRadius]]-0.012&gt;0,(Table3[[#This Row],[Diameter]]/2)-Table3[[#This Row],[CornerRadius]]-0.012,0),)</f>
        <v>0</v>
      </c>
      <c r="CE146" s="6" t="str">
        <f>IF(Table3[[#This Row],[ShoulderLength]]="","",IF(Table3[[#This Row],[ShoulderLength]]&lt;Table3[[#This Row],[LOC]],"FIX",""))</f>
        <v/>
      </c>
    </row>
    <row r="147" spans="1:83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v>0</v>
      </c>
      <c r="BN147" s="6">
        <v>0</v>
      </c>
      <c r="BO147" s="6">
        <v>0</v>
      </c>
      <c r="BP147" s="6">
        <v>0</v>
      </c>
      <c r="BQ147" s="6">
        <v>0</v>
      </c>
      <c r="BR147" s="6">
        <v>0</v>
      </c>
      <c r="BS147" s="6">
        <v>0</v>
      </c>
      <c r="BT147" s="6">
        <v>0</v>
      </c>
      <c r="BU147" s="6">
        <v>0</v>
      </c>
      <c r="BV147" s="6">
        <v>0</v>
      </c>
      <c r="BW147" s="6">
        <v>0</v>
      </c>
      <c r="BX147" s="6">
        <v>0</v>
      </c>
      <c r="BY147" s="6">
        <v>0</v>
      </c>
      <c r="BZ147" s="6">
        <v>0</v>
      </c>
      <c r="CA147" s="6">
        <v>0</v>
      </c>
      <c r="CB147" s="6">
        <v>0</v>
      </c>
      <c r="CC147" s="6">
        <f>IF(Table3[[#This Row],[Type]]="EM",IF((Table3[[#This Row],[Diameter]]/2)-Table3[[#This Row],[CornerRadius]]-0.012&gt;0,(Table3[[#This Row],[Diameter]]/2)-Table3[[#This Row],[CornerRadius]]-0.012,0),)</f>
        <v>0</v>
      </c>
      <c r="CE147" s="6" t="str">
        <f>IF(Table3[[#This Row],[ShoulderLength]]="","",IF(Table3[[#This Row],[ShoulderLength]]&lt;Table3[[#This Row],[LOC]],"FIX",""))</f>
        <v/>
      </c>
    </row>
    <row r="148" spans="1:83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0</v>
      </c>
      <c r="BO148" s="6">
        <v>0</v>
      </c>
      <c r="BP148" s="6">
        <v>0</v>
      </c>
      <c r="BQ148" s="6">
        <v>0</v>
      </c>
      <c r="BR148" s="6">
        <v>0</v>
      </c>
      <c r="BS148" s="6">
        <v>0</v>
      </c>
      <c r="BT148" s="6">
        <v>0</v>
      </c>
      <c r="BU148" s="6">
        <v>0</v>
      </c>
      <c r="BV148" s="6">
        <v>0</v>
      </c>
      <c r="BW148" s="6">
        <v>0</v>
      </c>
      <c r="BX148" s="6">
        <v>0</v>
      </c>
      <c r="BY148" s="6">
        <v>0</v>
      </c>
      <c r="BZ148" s="6">
        <v>0</v>
      </c>
      <c r="CA148" s="6">
        <v>0</v>
      </c>
      <c r="CB148" s="6">
        <v>0</v>
      </c>
      <c r="CC148" s="6">
        <f>IF(Table3[[#This Row],[Type]]="EM",IF((Table3[[#This Row],[Diameter]]/2)-Table3[[#This Row],[CornerRadius]]-0.012&gt;0,(Table3[[#This Row],[Diameter]]/2)-Table3[[#This Row],[CornerRadius]]-0.012,0),)</f>
        <v>0</v>
      </c>
      <c r="CE148" s="6" t="str">
        <f>IF(Table3[[#This Row],[ShoulderLength]]="","",IF(Table3[[#This Row],[ShoulderLength]]&lt;Table3[[#This Row],[LOC]],"FIX",""))</f>
        <v/>
      </c>
    </row>
    <row r="149" spans="1:83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0</v>
      </c>
      <c r="BO149" s="6">
        <v>0</v>
      </c>
      <c r="BP149" s="6">
        <v>0</v>
      </c>
      <c r="BQ149" s="6">
        <v>0</v>
      </c>
      <c r="BR149" s="6">
        <v>0</v>
      </c>
      <c r="BS149" s="6">
        <v>0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>
        <v>0</v>
      </c>
      <c r="CA149" s="6">
        <v>0</v>
      </c>
      <c r="CB149" s="6">
        <v>0</v>
      </c>
      <c r="CC149" s="6">
        <f>IF(Table3[[#This Row],[Type]]="EM",IF((Table3[[#This Row],[Diameter]]/2)-Table3[[#This Row],[CornerRadius]]-0.012&gt;0,(Table3[[#This Row],[Diameter]]/2)-Table3[[#This Row],[CornerRadius]]-0.012,0),)</f>
        <v>0</v>
      </c>
      <c r="CE149" s="6" t="str">
        <f>IF(Table3[[#This Row],[ShoulderLength]]="","",IF(Table3[[#This Row],[ShoulderLength]]&lt;Table3[[#This Row],[LOC]],"FIX",""))</f>
        <v/>
      </c>
    </row>
    <row r="150" spans="1:83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0</v>
      </c>
      <c r="BO150" s="6">
        <v>0</v>
      </c>
      <c r="BP150" s="6">
        <v>0</v>
      </c>
      <c r="BQ150" s="6">
        <v>0</v>
      </c>
      <c r="BR150" s="6">
        <v>0</v>
      </c>
      <c r="BS150" s="6">
        <v>0</v>
      </c>
      <c r="BT150" s="6">
        <v>0</v>
      </c>
      <c r="BU150" s="6">
        <v>0</v>
      </c>
      <c r="BV150" s="6">
        <v>0</v>
      </c>
      <c r="BW150" s="6">
        <v>0</v>
      </c>
      <c r="BX150" s="6">
        <v>0</v>
      </c>
      <c r="BY150" s="6">
        <v>0</v>
      </c>
      <c r="BZ150" s="6">
        <v>0</v>
      </c>
      <c r="CA150" s="6">
        <v>0</v>
      </c>
      <c r="CB150" s="6">
        <v>0</v>
      </c>
      <c r="CC150" s="6">
        <f>IF(Table3[[#This Row],[Type]]="EM",IF((Table3[[#This Row],[Diameter]]/2)-Table3[[#This Row],[CornerRadius]]-0.012&gt;0,(Table3[[#This Row],[Diameter]]/2)-Table3[[#This Row],[CornerRadius]]-0.012,0),)</f>
        <v>0</v>
      </c>
      <c r="CE150" s="6" t="str">
        <f>IF(Table3[[#This Row],[ShoulderLength]]="","",IF(Table3[[#This Row],[ShoulderLength]]&lt;Table3[[#This Row],[LOC]],"FIX",""))</f>
        <v/>
      </c>
    </row>
    <row r="151" spans="1:83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0</v>
      </c>
      <c r="BO151" s="6">
        <v>0</v>
      </c>
      <c r="BP151" s="6">
        <v>0</v>
      </c>
      <c r="BQ151" s="6">
        <v>0</v>
      </c>
      <c r="BR151" s="6">
        <v>0</v>
      </c>
      <c r="BS151" s="6">
        <v>0</v>
      </c>
      <c r="BT151" s="6">
        <v>0</v>
      </c>
      <c r="BU151" s="6">
        <v>0</v>
      </c>
      <c r="BV151" s="6">
        <v>0</v>
      </c>
      <c r="BW151" s="6">
        <v>0</v>
      </c>
      <c r="BX151" s="6">
        <v>0</v>
      </c>
      <c r="BY151" s="6">
        <v>0</v>
      </c>
      <c r="BZ151" s="6">
        <v>0</v>
      </c>
      <c r="CA151" s="6">
        <v>0</v>
      </c>
      <c r="CB151" s="6">
        <v>0</v>
      </c>
      <c r="CC151" s="6">
        <f>IF(Table3[[#This Row],[Type]]="EM",IF((Table3[[#This Row],[Diameter]]/2)-Table3[[#This Row],[CornerRadius]]-0.012&gt;0,(Table3[[#This Row],[Diameter]]/2)-Table3[[#This Row],[CornerRadius]]-0.012,0),)</f>
        <v>0</v>
      </c>
      <c r="CE151" s="6" t="str">
        <f>IF(Table3[[#This Row],[ShoulderLength]]="","",IF(Table3[[#This Row],[ShoulderLength]]&lt;Table3[[#This Row],[LOC]],"FIX",""))</f>
        <v/>
      </c>
    </row>
    <row r="152" spans="1:83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v>0</v>
      </c>
      <c r="BN152" s="6">
        <v>0</v>
      </c>
      <c r="BO152" s="6">
        <v>0</v>
      </c>
      <c r="BP152" s="6">
        <v>0</v>
      </c>
      <c r="BQ152" s="6">
        <v>0</v>
      </c>
      <c r="BR152" s="6">
        <v>0</v>
      </c>
      <c r="BS152" s="6">
        <v>0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>
        <v>0</v>
      </c>
      <c r="CA152" s="6">
        <v>0</v>
      </c>
      <c r="CB152" s="6">
        <v>0</v>
      </c>
      <c r="CC152" s="6">
        <f>IF(Table3[[#This Row],[Type]]="EM",IF((Table3[[#This Row],[Diameter]]/2)-Table3[[#This Row],[CornerRadius]]-0.012&gt;0,(Table3[[#This Row],[Diameter]]/2)-Table3[[#This Row],[CornerRadius]]-0.012,0),)</f>
        <v>0</v>
      </c>
      <c r="CE152" s="6" t="str">
        <f>IF(Table3[[#This Row],[ShoulderLength]]="","",IF(Table3[[#This Row],[ShoulderLength]]&lt;Table3[[#This Row],[LOC]],"FIX",""))</f>
        <v/>
      </c>
    </row>
    <row r="153" spans="1:83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0</v>
      </c>
      <c r="BO153" s="6">
        <v>0</v>
      </c>
      <c r="BP153" s="6">
        <v>0</v>
      </c>
      <c r="BQ153" s="6">
        <v>0</v>
      </c>
      <c r="BR153" s="6">
        <v>0</v>
      </c>
      <c r="BS153" s="6">
        <v>0</v>
      </c>
      <c r="BT153" s="6">
        <v>0</v>
      </c>
      <c r="BU153" s="6">
        <v>0</v>
      </c>
      <c r="BV153" s="6">
        <v>0</v>
      </c>
      <c r="BW153" s="6">
        <v>0</v>
      </c>
      <c r="BX153" s="6">
        <v>0</v>
      </c>
      <c r="BY153" s="6">
        <v>0</v>
      </c>
      <c r="BZ153" s="6">
        <v>0</v>
      </c>
      <c r="CA153" s="6">
        <v>0</v>
      </c>
      <c r="CB153" s="6">
        <v>0</v>
      </c>
      <c r="CC153" s="6">
        <f>IF(Table3[[#This Row],[Type]]="EM",IF((Table3[[#This Row],[Diameter]]/2)-Table3[[#This Row],[CornerRadius]]-0.012&gt;0,(Table3[[#This Row],[Diameter]]/2)-Table3[[#This Row],[CornerRadius]]-0.012,0),)</f>
        <v>0</v>
      </c>
      <c r="CE153" s="6" t="str">
        <f>IF(Table3[[#This Row],[ShoulderLength]]="","",IF(Table3[[#This Row],[ShoulderLength]]&lt;Table3[[#This Row],[LOC]],"FIX",""))</f>
        <v/>
      </c>
    </row>
    <row r="154" spans="1:83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0</v>
      </c>
      <c r="BO154" s="6">
        <v>0</v>
      </c>
      <c r="BP154" s="6">
        <v>0</v>
      </c>
      <c r="BQ154" s="6">
        <v>0</v>
      </c>
      <c r="BR154" s="6">
        <v>0</v>
      </c>
      <c r="BS154" s="6">
        <v>0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>
        <v>0</v>
      </c>
      <c r="CA154" s="6">
        <v>0</v>
      </c>
      <c r="CB154" s="6">
        <v>0</v>
      </c>
      <c r="CC154" s="6">
        <f>IF(Table3[[#This Row],[Type]]="EM",IF((Table3[[#This Row],[Diameter]]/2)-Table3[[#This Row],[CornerRadius]]-0.012&gt;0,(Table3[[#This Row],[Diameter]]/2)-Table3[[#This Row],[CornerRadius]]-0.012,0),)</f>
        <v>0</v>
      </c>
      <c r="CE154" s="6" t="str">
        <f>IF(Table3[[#This Row],[ShoulderLength]]="","",IF(Table3[[#This Row],[ShoulderLength]]&lt;Table3[[#This Row],[LOC]],"FIX",""))</f>
        <v/>
      </c>
    </row>
    <row r="155" spans="1:83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0</v>
      </c>
      <c r="BO155" s="6">
        <v>0</v>
      </c>
      <c r="BP155" s="6">
        <v>0</v>
      </c>
      <c r="BQ155" s="6">
        <v>0</v>
      </c>
      <c r="BR155" s="6">
        <v>0</v>
      </c>
      <c r="BS155" s="6">
        <v>0</v>
      </c>
      <c r="BT155" s="6">
        <v>0</v>
      </c>
      <c r="BU155" s="6">
        <v>0</v>
      </c>
      <c r="BV155" s="6">
        <v>0</v>
      </c>
      <c r="BW155" s="6">
        <v>0</v>
      </c>
      <c r="BX155" s="6">
        <v>0</v>
      </c>
      <c r="BY155" s="6">
        <v>0</v>
      </c>
      <c r="BZ155" s="6">
        <v>0</v>
      </c>
      <c r="CA155" s="6">
        <v>0</v>
      </c>
      <c r="CB155" s="6">
        <v>0</v>
      </c>
      <c r="CC155" s="6">
        <f>IF(Table3[[#This Row],[Type]]="EM",IF((Table3[[#This Row],[Diameter]]/2)-Table3[[#This Row],[CornerRadius]]-0.012&gt;0,(Table3[[#This Row],[Diameter]]/2)-Table3[[#This Row],[CornerRadius]]-0.012,0),)</f>
        <v>0</v>
      </c>
      <c r="CE155" s="6" t="str">
        <f>IF(Table3[[#This Row],[ShoulderLength]]="","",IF(Table3[[#This Row],[ShoulderLength]]&lt;Table3[[#This Row],[LOC]],"FIX",""))</f>
        <v/>
      </c>
    </row>
    <row r="156" spans="1:83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0</v>
      </c>
      <c r="BO156" s="6">
        <v>0</v>
      </c>
      <c r="BP156" s="6">
        <v>0</v>
      </c>
      <c r="BQ156" s="6">
        <v>0</v>
      </c>
      <c r="BR156" s="6">
        <v>0</v>
      </c>
      <c r="BS156" s="6">
        <v>0</v>
      </c>
      <c r="BT156" s="6">
        <v>0</v>
      </c>
      <c r="BU156" s="6">
        <v>0</v>
      </c>
      <c r="BV156" s="6">
        <v>0</v>
      </c>
      <c r="BW156" s="6">
        <v>0</v>
      </c>
      <c r="BX156" s="6">
        <v>0</v>
      </c>
      <c r="BY156" s="6">
        <v>0</v>
      </c>
      <c r="BZ156" s="6">
        <v>0</v>
      </c>
      <c r="CA156" s="6">
        <v>0</v>
      </c>
      <c r="CB156" s="6">
        <v>0</v>
      </c>
      <c r="CC156" s="6">
        <f>IF(Table3[[#This Row],[Type]]="EM",IF((Table3[[#This Row],[Diameter]]/2)-Table3[[#This Row],[CornerRadius]]-0.012&gt;0,(Table3[[#This Row],[Diameter]]/2)-Table3[[#This Row],[CornerRadius]]-0.012,0),)</f>
        <v>0</v>
      </c>
      <c r="CE156" s="6" t="str">
        <f>IF(Table3[[#This Row],[ShoulderLength]]="","",IF(Table3[[#This Row],[ShoulderLength]]&lt;Table3[[#This Row],[LOC]],"FIX",""))</f>
        <v/>
      </c>
    </row>
    <row r="157" spans="1:83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0</v>
      </c>
      <c r="BO157" s="6">
        <v>0</v>
      </c>
      <c r="BP157" s="6">
        <v>0</v>
      </c>
      <c r="BQ157" s="6">
        <v>0</v>
      </c>
      <c r="BR157" s="6">
        <v>0</v>
      </c>
      <c r="BS157" s="6">
        <v>0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>
        <v>0</v>
      </c>
      <c r="CA157" s="6">
        <v>0</v>
      </c>
      <c r="CB157" s="6">
        <v>0</v>
      </c>
      <c r="CC157" s="6">
        <f>IF(Table3[[#This Row],[Type]]="EM",IF((Table3[[#This Row],[Diameter]]/2)-Table3[[#This Row],[CornerRadius]]-0.012&gt;0,(Table3[[#This Row],[Diameter]]/2)-Table3[[#This Row],[CornerRadius]]-0.012,0),)</f>
        <v>0</v>
      </c>
      <c r="CE157" s="6" t="str">
        <f>IF(Table3[[#This Row],[ShoulderLength]]="","",IF(Table3[[#This Row],[ShoulderLength]]&lt;Table3[[#This Row],[LOC]],"FIX",""))</f>
        <v/>
      </c>
    </row>
    <row r="158" spans="1:83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0</v>
      </c>
      <c r="BO158" s="6">
        <v>0</v>
      </c>
      <c r="BP158" s="6">
        <v>0</v>
      </c>
      <c r="BQ158" s="6">
        <v>0</v>
      </c>
      <c r="BR158" s="6">
        <v>0</v>
      </c>
      <c r="BS158" s="6">
        <v>0</v>
      </c>
      <c r="BT158" s="6">
        <v>0</v>
      </c>
      <c r="BU158" s="6">
        <v>0</v>
      </c>
      <c r="BV158" s="6">
        <v>0</v>
      </c>
      <c r="BW158" s="6">
        <v>0</v>
      </c>
      <c r="BX158" s="6">
        <v>0</v>
      </c>
      <c r="BY158" s="6">
        <v>0</v>
      </c>
      <c r="BZ158" s="6">
        <v>0</v>
      </c>
      <c r="CA158" s="6">
        <v>0</v>
      </c>
      <c r="CB158" s="6">
        <v>0</v>
      </c>
      <c r="CC158" s="6">
        <f>IF(Table3[[#This Row],[Type]]="EM",IF((Table3[[#This Row],[Diameter]]/2)-Table3[[#This Row],[CornerRadius]]-0.012&gt;0,(Table3[[#This Row],[Diameter]]/2)-Table3[[#This Row],[CornerRadius]]-0.012,0),)</f>
        <v>0</v>
      </c>
      <c r="CE158" s="6" t="str">
        <f>IF(Table3[[#This Row],[ShoulderLength]]="","",IF(Table3[[#This Row],[ShoulderLength]]&lt;Table3[[#This Row],[LOC]],"FIX",""))</f>
        <v/>
      </c>
    </row>
    <row r="159" spans="1:83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0</v>
      </c>
      <c r="BO159" s="6">
        <v>0</v>
      </c>
      <c r="BP159" s="6">
        <v>0</v>
      </c>
      <c r="BQ159" s="6">
        <v>0</v>
      </c>
      <c r="BR159" s="6">
        <v>0</v>
      </c>
      <c r="BS159" s="6">
        <v>0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>
        <v>0</v>
      </c>
      <c r="CA159" s="6">
        <v>0</v>
      </c>
      <c r="CB159" s="6">
        <v>0</v>
      </c>
      <c r="CC159" s="6">
        <f>IF(Table3[[#This Row],[Type]]="EM",IF((Table3[[#This Row],[Diameter]]/2)-Table3[[#This Row],[CornerRadius]]-0.012&gt;0,(Table3[[#This Row],[Diameter]]/2)-Table3[[#This Row],[CornerRadius]]-0.012,0),)</f>
        <v>0</v>
      </c>
      <c r="CE159" s="6" t="str">
        <f>IF(Table3[[#This Row],[ShoulderLength]]="","",IF(Table3[[#This Row],[ShoulderLength]]&lt;Table3[[#This Row],[LOC]],"FIX",""))</f>
        <v/>
      </c>
    </row>
    <row r="160" spans="1:83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0</v>
      </c>
      <c r="BN160" s="6">
        <v>0</v>
      </c>
      <c r="BO160" s="6">
        <v>0</v>
      </c>
      <c r="BP160" s="6">
        <v>0</v>
      </c>
      <c r="BQ160" s="6">
        <v>0</v>
      </c>
      <c r="BR160" s="6">
        <v>0</v>
      </c>
      <c r="BS160" s="6">
        <v>0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>
        <v>0</v>
      </c>
      <c r="CA160" s="6">
        <v>0</v>
      </c>
      <c r="CB160" s="6">
        <v>0</v>
      </c>
      <c r="CC160" s="6">
        <f>IF(Table3[[#This Row],[Type]]="EM",IF((Table3[[#This Row],[Diameter]]/2)-Table3[[#This Row],[CornerRadius]]-0.012&gt;0,(Table3[[#This Row],[Diameter]]/2)-Table3[[#This Row],[CornerRadius]]-0.012,0),)</f>
        <v>0</v>
      </c>
      <c r="CE160" s="6" t="str">
        <f>IF(Table3[[#This Row],[ShoulderLength]]="","",IF(Table3[[#This Row],[ShoulderLength]]&lt;Table3[[#This Row],[LOC]],"FIX",""))</f>
        <v/>
      </c>
    </row>
    <row r="161" spans="1:83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0</v>
      </c>
      <c r="BO161" s="6">
        <v>0</v>
      </c>
      <c r="BP161" s="6">
        <v>0</v>
      </c>
      <c r="BQ161" s="6">
        <v>0</v>
      </c>
      <c r="BR161" s="6">
        <v>0</v>
      </c>
      <c r="BS161" s="6">
        <v>0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>
        <v>0</v>
      </c>
      <c r="CA161" s="6">
        <v>0</v>
      </c>
      <c r="CB161" s="6">
        <v>0</v>
      </c>
      <c r="CC161" s="6">
        <f>IF(Table3[[#This Row],[Type]]="EM",IF((Table3[[#This Row],[Diameter]]/2)-Table3[[#This Row],[CornerRadius]]-0.012&gt;0,(Table3[[#This Row],[Diameter]]/2)-Table3[[#This Row],[CornerRadius]]-0.012,0),)</f>
        <v>0</v>
      </c>
      <c r="CE161" s="6" t="str">
        <f>IF(Table3[[#This Row],[ShoulderLength]]="","",IF(Table3[[#This Row],[ShoulderLength]]&lt;Table3[[#This Row],[LOC]],"FIX",""))</f>
        <v/>
      </c>
    </row>
    <row r="162" spans="1:83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0</v>
      </c>
      <c r="BO162" s="6">
        <v>0</v>
      </c>
      <c r="BP162" s="6">
        <v>0</v>
      </c>
      <c r="BQ162" s="6">
        <v>0</v>
      </c>
      <c r="BR162" s="6">
        <v>0</v>
      </c>
      <c r="BS162" s="6">
        <v>0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>
        <v>0</v>
      </c>
      <c r="CA162" s="6">
        <v>0</v>
      </c>
      <c r="CB162" s="6">
        <v>0</v>
      </c>
      <c r="CC162" s="6">
        <f>IF(Table3[[#This Row],[Type]]="EM",IF((Table3[[#This Row],[Diameter]]/2)-Table3[[#This Row],[CornerRadius]]-0.012&gt;0,(Table3[[#This Row],[Diameter]]/2)-Table3[[#This Row],[CornerRadius]]-0.012,0),)</f>
        <v>0</v>
      </c>
      <c r="CE162" s="6" t="str">
        <f>IF(Table3[[#This Row],[ShoulderLength]]="","",IF(Table3[[#This Row],[ShoulderLength]]&lt;Table3[[#This Row],[LOC]],"FIX",""))</f>
        <v/>
      </c>
    </row>
    <row r="163" spans="1:83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0</v>
      </c>
      <c r="BO163" s="6">
        <v>0</v>
      </c>
      <c r="BP163" s="6">
        <v>0</v>
      </c>
      <c r="BQ163" s="6">
        <v>0</v>
      </c>
      <c r="BR163" s="6">
        <v>0</v>
      </c>
      <c r="BS163" s="6">
        <v>0</v>
      </c>
      <c r="BT163" s="6">
        <v>0</v>
      </c>
      <c r="BU163" s="6">
        <v>0</v>
      </c>
      <c r="BV163" s="6">
        <v>0</v>
      </c>
      <c r="BW163" s="6">
        <v>0</v>
      </c>
      <c r="BX163" s="6">
        <v>0</v>
      </c>
      <c r="BY163" s="6">
        <v>0</v>
      </c>
      <c r="BZ163" s="6">
        <v>0</v>
      </c>
      <c r="CA163" s="6">
        <v>0</v>
      </c>
      <c r="CB163" s="6">
        <v>0</v>
      </c>
      <c r="CC163" s="6">
        <f>IF(Table3[[#This Row],[Type]]="EM",IF((Table3[[#This Row],[Diameter]]/2)-Table3[[#This Row],[CornerRadius]]-0.012&gt;0,(Table3[[#This Row],[Diameter]]/2)-Table3[[#This Row],[CornerRadius]]-0.012,0),)</f>
        <v>0</v>
      </c>
      <c r="CE163" s="6" t="str">
        <f>IF(Table3[[#This Row],[ShoulderLength]]="","",IF(Table3[[#This Row],[ShoulderLength]]&lt;Table3[[#This Row],[LOC]],"FIX",""))</f>
        <v/>
      </c>
    </row>
    <row r="164" spans="1:83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0</v>
      </c>
      <c r="BO164" s="6">
        <v>0</v>
      </c>
      <c r="BP164" s="6">
        <v>0</v>
      </c>
      <c r="BQ164" s="6">
        <v>0</v>
      </c>
      <c r="BR164" s="6">
        <v>0</v>
      </c>
      <c r="BS164" s="6">
        <v>0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>
        <v>0</v>
      </c>
      <c r="CA164" s="6">
        <v>0</v>
      </c>
      <c r="CB164" s="6">
        <v>0</v>
      </c>
      <c r="CC164" s="6">
        <f>IF(Table3[[#This Row],[Type]]="EM",IF((Table3[[#This Row],[Diameter]]/2)-Table3[[#This Row],[CornerRadius]]-0.012&gt;0,(Table3[[#This Row],[Diameter]]/2)-Table3[[#This Row],[CornerRadius]]-0.012,0),)</f>
        <v>0</v>
      </c>
      <c r="CE164" s="6" t="str">
        <f>IF(Table3[[#This Row],[ShoulderLength]]="","",IF(Table3[[#This Row],[ShoulderLength]]&lt;Table3[[#This Row],[LOC]],"FIX",""))</f>
        <v/>
      </c>
    </row>
    <row r="165" spans="1:83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0</v>
      </c>
      <c r="BO165" s="6">
        <v>0</v>
      </c>
      <c r="BP165" s="6">
        <v>0</v>
      </c>
      <c r="BQ165" s="6">
        <v>0</v>
      </c>
      <c r="BR165" s="6">
        <v>0</v>
      </c>
      <c r="BS165" s="6">
        <v>0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>
        <v>0</v>
      </c>
      <c r="CA165" s="6">
        <v>0</v>
      </c>
      <c r="CB165" s="6">
        <v>0</v>
      </c>
      <c r="CC165" s="6">
        <f>IF(Table3[[#This Row],[Type]]="EM",IF((Table3[[#This Row],[Diameter]]/2)-Table3[[#This Row],[CornerRadius]]-0.012&gt;0,(Table3[[#This Row],[Diameter]]/2)-Table3[[#This Row],[CornerRadius]]-0.012,0),)</f>
        <v>0</v>
      </c>
      <c r="CE165" s="6" t="str">
        <f>IF(Table3[[#This Row],[ShoulderLength]]="","",IF(Table3[[#This Row],[ShoulderLength]]&lt;Table3[[#This Row],[LOC]],"FIX",""))</f>
        <v/>
      </c>
    </row>
    <row r="166" spans="1:83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0</v>
      </c>
      <c r="BO166" s="6">
        <v>0</v>
      </c>
      <c r="BP166" s="6">
        <v>0</v>
      </c>
      <c r="BQ166" s="6">
        <v>0</v>
      </c>
      <c r="BR166" s="6">
        <v>0</v>
      </c>
      <c r="BS166" s="6">
        <v>0</v>
      </c>
      <c r="BT166" s="6">
        <v>0</v>
      </c>
      <c r="BU166" s="6">
        <v>0</v>
      </c>
      <c r="BV166" s="6">
        <v>0</v>
      </c>
      <c r="BW166" s="6">
        <v>0</v>
      </c>
      <c r="BX166" s="6">
        <v>0</v>
      </c>
      <c r="BY166" s="6">
        <v>0</v>
      </c>
      <c r="BZ166" s="6">
        <v>0</v>
      </c>
      <c r="CA166" s="6">
        <v>0</v>
      </c>
      <c r="CB166" s="6">
        <v>0</v>
      </c>
      <c r="CC166" s="6">
        <f>IF(Table3[[#This Row],[Type]]="EM",IF((Table3[[#This Row],[Diameter]]/2)-Table3[[#This Row],[CornerRadius]]-0.012&gt;0,(Table3[[#This Row],[Diameter]]/2)-Table3[[#This Row],[CornerRadius]]-0.012,0),)</f>
        <v>0</v>
      </c>
      <c r="CE166" s="6" t="str">
        <f>IF(Table3[[#This Row],[ShoulderLength]]="","",IF(Table3[[#This Row],[ShoulderLength]]&lt;Table3[[#This Row],[LOC]],"FIX",""))</f>
        <v/>
      </c>
    </row>
    <row r="167" spans="1:83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v>0</v>
      </c>
      <c r="BN167" s="6">
        <v>0</v>
      </c>
      <c r="BO167" s="6">
        <v>0</v>
      </c>
      <c r="BP167" s="6">
        <v>0</v>
      </c>
      <c r="BQ167" s="6">
        <v>0</v>
      </c>
      <c r="BR167" s="6">
        <v>0</v>
      </c>
      <c r="BS167" s="6">
        <v>0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>
        <v>0</v>
      </c>
      <c r="CA167" s="6">
        <v>0</v>
      </c>
      <c r="CB167" s="6">
        <v>0</v>
      </c>
      <c r="CC167" s="6">
        <f>IF(Table3[[#This Row],[Type]]="EM",IF((Table3[[#This Row],[Diameter]]/2)-Table3[[#This Row],[CornerRadius]]-0.012&gt;0,(Table3[[#This Row],[Diameter]]/2)-Table3[[#This Row],[CornerRadius]]-0.012,0),)</f>
        <v>0</v>
      </c>
      <c r="CE167" s="6" t="str">
        <f>IF(Table3[[#This Row],[ShoulderLength]]="","",IF(Table3[[#This Row],[ShoulderLength]]&lt;Table3[[#This Row],[LOC]],"FIX",""))</f>
        <v/>
      </c>
    </row>
    <row r="168" spans="1:83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0</v>
      </c>
      <c r="BO168" s="6">
        <v>0</v>
      </c>
      <c r="BP168" s="6">
        <v>0</v>
      </c>
      <c r="BQ168" s="6">
        <v>0</v>
      </c>
      <c r="BR168" s="6">
        <v>0</v>
      </c>
      <c r="BS168" s="6">
        <v>0</v>
      </c>
      <c r="BT168" s="6">
        <v>0</v>
      </c>
      <c r="BU168" s="6">
        <v>0</v>
      </c>
      <c r="BV168" s="6">
        <v>0</v>
      </c>
      <c r="BW168" s="6">
        <v>0</v>
      </c>
      <c r="BX168" s="6">
        <v>0</v>
      </c>
      <c r="BY168" s="6">
        <v>0</v>
      </c>
      <c r="BZ168" s="6">
        <v>0</v>
      </c>
      <c r="CA168" s="6">
        <v>0</v>
      </c>
      <c r="CB168" s="6">
        <v>0</v>
      </c>
      <c r="CC168" s="6">
        <f>IF(Table3[[#This Row],[Type]]="EM",IF((Table3[[#This Row],[Diameter]]/2)-Table3[[#This Row],[CornerRadius]]-0.012&gt;0,(Table3[[#This Row],[Diameter]]/2)-Table3[[#This Row],[CornerRadius]]-0.012,0),)</f>
        <v>0</v>
      </c>
      <c r="CE168" s="6" t="str">
        <f>IF(Table3[[#This Row],[ShoulderLength]]="","",IF(Table3[[#This Row],[ShoulderLength]]&lt;Table3[[#This Row],[LOC]],"FIX",""))</f>
        <v/>
      </c>
    </row>
    <row r="169" spans="1:83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0</v>
      </c>
      <c r="BO169" s="6">
        <v>0</v>
      </c>
      <c r="BP169" s="6">
        <v>0</v>
      </c>
      <c r="BQ169" s="6">
        <v>0</v>
      </c>
      <c r="BR169" s="6">
        <v>0</v>
      </c>
      <c r="BS169" s="6">
        <v>0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>
        <v>0</v>
      </c>
      <c r="CA169" s="6">
        <v>0</v>
      </c>
      <c r="CB169" s="6">
        <v>0</v>
      </c>
      <c r="CC169" s="6">
        <f>IF(Table3[[#This Row],[Type]]="EM",IF((Table3[[#This Row],[Diameter]]/2)-Table3[[#This Row],[CornerRadius]]-0.012&gt;0,(Table3[[#This Row],[Diameter]]/2)-Table3[[#This Row],[CornerRadius]]-0.012,0),)</f>
        <v>0</v>
      </c>
      <c r="CE169" s="6" t="str">
        <f>IF(Table3[[#This Row],[ShoulderLength]]="","",IF(Table3[[#This Row],[ShoulderLength]]&lt;Table3[[#This Row],[LOC]],"FIX",""))</f>
        <v/>
      </c>
    </row>
    <row r="170" spans="1:83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0</v>
      </c>
      <c r="BO170" s="6">
        <v>0</v>
      </c>
      <c r="BP170" s="6">
        <v>0</v>
      </c>
      <c r="BQ170" s="6">
        <v>0</v>
      </c>
      <c r="BR170" s="6">
        <v>0</v>
      </c>
      <c r="BS170" s="6">
        <v>0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>
        <v>0</v>
      </c>
      <c r="CA170" s="6">
        <v>0</v>
      </c>
      <c r="CB170" s="6">
        <v>0</v>
      </c>
      <c r="CC170" s="6">
        <f>IF(Table3[[#This Row],[Type]]="EM",IF((Table3[[#This Row],[Diameter]]/2)-Table3[[#This Row],[CornerRadius]]-0.012&gt;0,(Table3[[#This Row],[Diameter]]/2)-Table3[[#This Row],[CornerRadius]]-0.012,0),)</f>
        <v>0</v>
      </c>
      <c r="CE170" s="6" t="str">
        <f>IF(Table3[[#This Row],[ShoulderLength]]="","",IF(Table3[[#This Row],[ShoulderLength]]&lt;Table3[[#This Row],[LOC]],"FIX",""))</f>
        <v/>
      </c>
    </row>
    <row r="171" spans="1:83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0</v>
      </c>
      <c r="BO171" s="6">
        <v>0</v>
      </c>
      <c r="BP171" s="6">
        <v>0</v>
      </c>
      <c r="BQ171" s="6">
        <v>0</v>
      </c>
      <c r="BR171" s="6">
        <v>0</v>
      </c>
      <c r="BS171" s="6">
        <v>0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>
        <v>0</v>
      </c>
      <c r="CA171" s="6">
        <v>0</v>
      </c>
      <c r="CB171" s="6">
        <v>0</v>
      </c>
      <c r="CC171" s="6">
        <f>IF(Table3[[#This Row],[Type]]="EM",IF((Table3[[#This Row],[Diameter]]/2)-Table3[[#This Row],[CornerRadius]]-0.012&gt;0,(Table3[[#This Row],[Diameter]]/2)-Table3[[#This Row],[CornerRadius]]-0.012,0),)</f>
        <v>0</v>
      </c>
      <c r="CE171" s="6" t="str">
        <f>IF(Table3[[#This Row],[ShoulderLength]]="","",IF(Table3[[#This Row],[ShoulderLength]]&lt;Table3[[#This Row],[LOC]],"FIX",""))</f>
        <v/>
      </c>
    </row>
    <row r="172" spans="1:83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v>0</v>
      </c>
      <c r="BN172" s="6">
        <v>0</v>
      </c>
      <c r="BO172" s="6">
        <v>0</v>
      </c>
      <c r="BP172" s="6">
        <v>0</v>
      </c>
      <c r="BQ172" s="6">
        <v>0</v>
      </c>
      <c r="BR172" s="6">
        <v>0</v>
      </c>
      <c r="BS172" s="6">
        <v>0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>
        <v>0</v>
      </c>
      <c r="CA172" s="6">
        <v>0</v>
      </c>
      <c r="CB172" s="6">
        <v>0</v>
      </c>
      <c r="CC172" s="6">
        <f>IF(Table3[[#This Row],[Type]]="EM",IF((Table3[[#This Row],[Diameter]]/2)-Table3[[#This Row],[CornerRadius]]-0.012&gt;0,(Table3[[#This Row],[Diameter]]/2)-Table3[[#This Row],[CornerRadius]]-0.012,0),)</f>
        <v>0</v>
      </c>
      <c r="CE172" s="6" t="str">
        <f>IF(Table3[[#This Row],[ShoulderLength]]="","",IF(Table3[[#This Row],[ShoulderLength]]&lt;Table3[[#This Row],[LOC]],"FIX",""))</f>
        <v/>
      </c>
    </row>
    <row r="173" spans="1:83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0</v>
      </c>
      <c r="BN173" s="6">
        <v>0</v>
      </c>
      <c r="BO173" s="6">
        <v>0</v>
      </c>
      <c r="BP173" s="6">
        <v>0</v>
      </c>
      <c r="BQ173" s="6">
        <v>0</v>
      </c>
      <c r="BR173" s="6">
        <v>0</v>
      </c>
      <c r="BS173" s="6">
        <v>0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>
        <v>0</v>
      </c>
      <c r="CA173" s="6">
        <v>0</v>
      </c>
      <c r="CB173" s="6">
        <v>0</v>
      </c>
      <c r="CC173" s="6">
        <f>IF(Table3[[#This Row],[Type]]="EM",IF((Table3[[#This Row],[Diameter]]/2)-Table3[[#This Row],[CornerRadius]]-0.012&gt;0,(Table3[[#This Row],[Diameter]]/2)-Table3[[#This Row],[CornerRadius]]-0.012,0),)</f>
        <v>0</v>
      </c>
      <c r="CE173" s="6" t="str">
        <f>IF(Table3[[#This Row],[ShoulderLength]]="","",IF(Table3[[#This Row],[ShoulderLength]]&lt;Table3[[#This Row],[LOC]],"FIX",""))</f>
        <v/>
      </c>
    </row>
    <row r="174" spans="1:83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0</v>
      </c>
      <c r="BO174" s="6">
        <v>0</v>
      </c>
      <c r="BP174" s="6">
        <v>0</v>
      </c>
      <c r="BQ174" s="6">
        <v>0</v>
      </c>
      <c r="BR174" s="6">
        <v>0</v>
      </c>
      <c r="BS174" s="6">
        <v>0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>
        <v>0</v>
      </c>
      <c r="CA174" s="6">
        <v>0</v>
      </c>
      <c r="CB174" s="6">
        <v>0</v>
      </c>
      <c r="CC174" s="6">
        <f>IF(Table3[[#This Row],[Type]]="EM",IF((Table3[[#This Row],[Diameter]]/2)-Table3[[#This Row],[CornerRadius]]-0.012&gt;0,(Table3[[#This Row],[Diameter]]/2)-Table3[[#This Row],[CornerRadius]]-0.012,0),)</f>
        <v>0</v>
      </c>
      <c r="CE174" s="6" t="str">
        <f>IF(Table3[[#This Row],[ShoulderLength]]="","",IF(Table3[[#This Row],[ShoulderLength]]&lt;Table3[[#This Row],[LOC]],"FIX",""))</f>
        <v/>
      </c>
    </row>
    <row r="175" spans="1:83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0</v>
      </c>
      <c r="BO175" s="6">
        <v>0</v>
      </c>
      <c r="BP175" s="6">
        <v>0</v>
      </c>
      <c r="BQ175" s="6">
        <v>0</v>
      </c>
      <c r="BR175" s="6">
        <v>0</v>
      </c>
      <c r="BS175" s="6">
        <v>0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>
        <v>0</v>
      </c>
      <c r="CA175" s="6">
        <v>0</v>
      </c>
      <c r="CB175" s="6">
        <v>0</v>
      </c>
      <c r="CC175" s="6">
        <f>IF(Table3[[#This Row],[Type]]="EM",IF((Table3[[#This Row],[Diameter]]/2)-Table3[[#This Row],[CornerRadius]]-0.012&gt;0,(Table3[[#This Row],[Diameter]]/2)-Table3[[#This Row],[CornerRadius]]-0.012,0),)</f>
        <v>0</v>
      </c>
      <c r="CE175" s="6" t="str">
        <f>IF(Table3[[#This Row],[ShoulderLength]]="","",IF(Table3[[#This Row],[ShoulderLength]]&lt;Table3[[#This Row],[LOC]],"FIX",""))</f>
        <v/>
      </c>
    </row>
    <row r="176" spans="1:83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0</v>
      </c>
      <c r="BO176" s="6">
        <v>0</v>
      </c>
      <c r="BP176" s="6">
        <v>0</v>
      </c>
      <c r="BQ176" s="6">
        <v>0</v>
      </c>
      <c r="BR176" s="6">
        <v>0</v>
      </c>
      <c r="BS176" s="6">
        <v>0</v>
      </c>
      <c r="BT176" s="6">
        <v>0</v>
      </c>
      <c r="BU176" s="6">
        <v>0</v>
      </c>
      <c r="BV176" s="6">
        <v>0</v>
      </c>
      <c r="BW176" s="6">
        <v>0</v>
      </c>
      <c r="BX176" s="6">
        <v>0</v>
      </c>
      <c r="BY176" s="6">
        <v>0</v>
      </c>
      <c r="BZ176" s="6">
        <v>0</v>
      </c>
      <c r="CA176" s="6">
        <v>0</v>
      </c>
      <c r="CB176" s="6">
        <v>0</v>
      </c>
      <c r="CC176" s="6">
        <f>IF(Table3[[#This Row],[Type]]="EM",IF((Table3[[#This Row],[Diameter]]/2)-Table3[[#This Row],[CornerRadius]]-0.012&gt;0,(Table3[[#This Row],[Diameter]]/2)-Table3[[#This Row],[CornerRadius]]-0.012,0),)</f>
        <v>0</v>
      </c>
      <c r="CE176" s="6" t="str">
        <f>IF(Table3[[#This Row],[ShoulderLength]]="","",IF(Table3[[#This Row],[ShoulderLength]]&lt;Table3[[#This Row],[LOC]],"FIX",""))</f>
        <v/>
      </c>
    </row>
    <row r="177" spans="1:83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0</v>
      </c>
      <c r="BO177" s="6">
        <v>0</v>
      </c>
      <c r="BP177" s="6">
        <v>0</v>
      </c>
      <c r="BQ177" s="6">
        <v>0</v>
      </c>
      <c r="BR177" s="6">
        <v>0</v>
      </c>
      <c r="BS177" s="6">
        <v>0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>
        <v>0</v>
      </c>
      <c r="CA177" s="6">
        <v>0</v>
      </c>
      <c r="CB177" s="6">
        <v>0</v>
      </c>
      <c r="CC177" s="6">
        <f>IF(Table3[[#This Row],[Type]]="EM",IF((Table3[[#This Row],[Diameter]]/2)-Table3[[#This Row],[CornerRadius]]-0.012&gt;0,(Table3[[#This Row],[Diameter]]/2)-Table3[[#This Row],[CornerRadius]]-0.012,0),)</f>
        <v>0</v>
      </c>
      <c r="CE177" s="6" t="str">
        <f>IF(Table3[[#This Row],[ShoulderLength]]="","",IF(Table3[[#This Row],[ShoulderLength]]&lt;Table3[[#This Row],[LOC]],"FIX",""))</f>
        <v/>
      </c>
    </row>
    <row r="178" spans="1:83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v>0</v>
      </c>
      <c r="BN178" s="6">
        <v>0</v>
      </c>
      <c r="BO178" s="6">
        <v>0</v>
      </c>
      <c r="BP178" s="6">
        <v>0</v>
      </c>
      <c r="BQ178" s="6">
        <v>0</v>
      </c>
      <c r="BR178" s="6">
        <v>0</v>
      </c>
      <c r="BS178" s="6">
        <v>0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>
        <v>0</v>
      </c>
      <c r="CA178" s="6">
        <v>0</v>
      </c>
      <c r="CB178" s="6">
        <v>0</v>
      </c>
      <c r="CC178" s="6">
        <f>IF(Table3[[#This Row],[Type]]="EM",IF((Table3[[#This Row],[Diameter]]/2)-Table3[[#This Row],[CornerRadius]]-0.012&gt;0,(Table3[[#This Row],[Diameter]]/2)-Table3[[#This Row],[CornerRadius]]-0.012,0),)</f>
        <v>0</v>
      </c>
      <c r="CE178" s="6" t="str">
        <f>IF(Table3[[#This Row],[ShoulderLength]]="","",IF(Table3[[#This Row],[ShoulderLength]]&lt;Table3[[#This Row],[LOC]],"FIX",""))</f>
        <v/>
      </c>
    </row>
    <row r="179" spans="1:83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0</v>
      </c>
      <c r="BO179" s="6">
        <v>0</v>
      </c>
      <c r="BP179" s="6">
        <v>0</v>
      </c>
      <c r="BQ179" s="6">
        <v>0</v>
      </c>
      <c r="BR179" s="6">
        <v>0</v>
      </c>
      <c r="BS179" s="6">
        <v>0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>
        <v>0</v>
      </c>
      <c r="CA179" s="6">
        <v>0</v>
      </c>
      <c r="CB179" s="6">
        <v>0</v>
      </c>
      <c r="CC179" s="6">
        <f>IF(Table3[[#This Row],[Type]]="EM",IF((Table3[[#This Row],[Diameter]]/2)-Table3[[#This Row],[CornerRadius]]-0.012&gt;0,(Table3[[#This Row],[Diameter]]/2)-Table3[[#This Row],[CornerRadius]]-0.012,0),)</f>
        <v>0</v>
      </c>
      <c r="CE179" s="6" t="str">
        <f>IF(Table3[[#This Row],[ShoulderLength]]="","",IF(Table3[[#This Row],[ShoulderLength]]&lt;Table3[[#This Row],[LOC]],"FIX",""))</f>
        <v/>
      </c>
    </row>
    <row r="180" spans="1:83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0</v>
      </c>
      <c r="BO180" s="6">
        <v>0</v>
      </c>
      <c r="BP180" s="6">
        <v>0</v>
      </c>
      <c r="BQ180" s="6">
        <v>0</v>
      </c>
      <c r="BR180" s="6">
        <v>0</v>
      </c>
      <c r="BS180" s="6">
        <v>0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>
        <v>0</v>
      </c>
      <c r="CA180" s="6">
        <v>0</v>
      </c>
      <c r="CB180" s="6">
        <v>0</v>
      </c>
      <c r="CC180" s="6">
        <f>IF(Table3[[#This Row],[Type]]="EM",IF((Table3[[#This Row],[Diameter]]/2)-Table3[[#This Row],[CornerRadius]]-0.012&gt;0,(Table3[[#This Row],[Diameter]]/2)-Table3[[#This Row],[CornerRadius]]-0.012,0),)</f>
        <v>0</v>
      </c>
      <c r="CE180" s="6" t="str">
        <f>IF(Table3[[#This Row],[ShoulderLength]]="","",IF(Table3[[#This Row],[ShoulderLength]]&lt;Table3[[#This Row],[LOC]],"FIX",""))</f>
        <v/>
      </c>
    </row>
    <row r="181" spans="1:83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0</v>
      </c>
      <c r="BO181" s="6">
        <v>0</v>
      </c>
      <c r="BP181" s="6">
        <v>0</v>
      </c>
      <c r="BQ181" s="6">
        <v>0</v>
      </c>
      <c r="BR181" s="6">
        <v>0</v>
      </c>
      <c r="BS181" s="6">
        <v>0</v>
      </c>
      <c r="BT181" s="6">
        <v>0</v>
      </c>
      <c r="BU181" s="6">
        <v>0</v>
      </c>
      <c r="BV181" s="6">
        <v>0</v>
      </c>
      <c r="BW181" s="6">
        <v>0</v>
      </c>
      <c r="BX181" s="6">
        <v>0</v>
      </c>
      <c r="BY181" s="6">
        <v>0</v>
      </c>
      <c r="BZ181" s="6">
        <v>0</v>
      </c>
      <c r="CA181" s="6">
        <v>0</v>
      </c>
      <c r="CB181" s="6">
        <v>0</v>
      </c>
      <c r="CC181" s="6">
        <f>IF(Table3[[#This Row],[Type]]="EM",IF((Table3[[#This Row],[Diameter]]/2)-Table3[[#This Row],[CornerRadius]]-0.012&gt;0,(Table3[[#This Row],[Diameter]]/2)-Table3[[#This Row],[CornerRadius]]-0.012,0),)</f>
        <v>0</v>
      </c>
      <c r="CE181" s="6" t="str">
        <f>IF(Table3[[#This Row],[ShoulderLength]]="","",IF(Table3[[#This Row],[ShoulderLength]]&lt;Table3[[#This Row],[LOC]],"FIX",""))</f>
        <v/>
      </c>
    </row>
    <row r="182" spans="1:83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0</v>
      </c>
      <c r="BO182" s="6">
        <v>0</v>
      </c>
      <c r="BP182" s="6">
        <v>0</v>
      </c>
      <c r="BQ182" s="6">
        <v>0</v>
      </c>
      <c r="BR182" s="6">
        <v>0</v>
      </c>
      <c r="BS182" s="6">
        <v>0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>
        <v>0</v>
      </c>
      <c r="CA182" s="6">
        <v>0</v>
      </c>
      <c r="CB182" s="6">
        <v>0</v>
      </c>
      <c r="CC182" s="6">
        <f>IF(Table3[[#This Row],[Type]]="EM",IF((Table3[[#This Row],[Diameter]]/2)-Table3[[#This Row],[CornerRadius]]-0.012&gt;0,(Table3[[#This Row],[Diameter]]/2)-Table3[[#This Row],[CornerRadius]]-0.012,0),)</f>
        <v>0</v>
      </c>
      <c r="CE182" s="6" t="str">
        <f>IF(Table3[[#This Row],[ShoulderLength]]="","",IF(Table3[[#This Row],[ShoulderLength]]&lt;Table3[[#This Row],[LOC]],"FIX",""))</f>
        <v/>
      </c>
    </row>
    <row r="183" spans="1:83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0</v>
      </c>
      <c r="BO183" s="6">
        <v>0</v>
      </c>
      <c r="BP183" s="6">
        <v>0</v>
      </c>
      <c r="BQ183" s="6">
        <v>0</v>
      </c>
      <c r="BR183" s="6">
        <v>0</v>
      </c>
      <c r="BS183" s="6">
        <v>0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>
        <v>0</v>
      </c>
      <c r="CA183" s="6">
        <v>0</v>
      </c>
      <c r="CB183" s="6">
        <v>0</v>
      </c>
      <c r="CC183" s="6">
        <f>IF(Table3[[#This Row],[Type]]="EM",IF((Table3[[#This Row],[Diameter]]/2)-Table3[[#This Row],[CornerRadius]]-0.012&gt;0,(Table3[[#This Row],[Diameter]]/2)-Table3[[#This Row],[CornerRadius]]-0.012,0),)</f>
        <v>0</v>
      </c>
      <c r="CE183" s="6" t="str">
        <f>IF(Table3[[#This Row],[ShoulderLength]]="","",IF(Table3[[#This Row],[ShoulderLength]]&lt;Table3[[#This Row],[LOC]],"FIX",""))</f>
        <v/>
      </c>
    </row>
    <row r="184" spans="1:83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v>0</v>
      </c>
      <c r="BN184" s="6">
        <v>0</v>
      </c>
      <c r="BO184" s="6">
        <v>0</v>
      </c>
      <c r="BP184" s="6">
        <v>0</v>
      </c>
      <c r="BQ184" s="6">
        <v>0</v>
      </c>
      <c r="BR184" s="6">
        <v>0</v>
      </c>
      <c r="BS184" s="6">
        <v>0</v>
      </c>
      <c r="BT184" s="6">
        <v>0</v>
      </c>
      <c r="BU184" s="6">
        <v>0</v>
      </c>
      <c r="BV184" s="6">
        <v>0</v>
      </c>
      <c r="BW184" s="6">
        <v>0</v>
      </c>
      <c r="BX184" s="6">
        <v>0</v>
      </c>
      <c r="BY184" s="6">
        <v>0</v>
      </c>
      <c r="BZ184" s="6">
        <v>0</v>
      </c>
      <c r="CA184" s="6">
        <v>0</v>
      </c>
      <c r="CB184" s="6">
        <v>0</v>
      </c>
      <c r="CC184" s="6">
        <f>IF(Table3[[#This Row],[Type]]="EM",IF((Table3[[#This Row],[Diameter]]/2)-Table3[[#This Row],[CornerRadius]]-0.012&gt;0,(Table3[[#This Row],[Diameter]]/2)-Table3[[#This Row],[CornerRadius]]-0.012,0),)</f>
        <v>0</v>
      </c>
      <c r="CE184" s="6" t="str">
        <f>IF(Table3[[#This Row],[ShoulderLength]]="","",IF(Table3[[#This Row],[ShoulderLength]]&lt;Table3[[#This Row],[LOC]],"FIX",""))</f>
        <v/>
      </c>
    </row>
    <row r="185" spans="1:83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0</v>
      </c>
      <c r="BO185" s="6">
        <v>0</v>
      </c>
      <c r="BP185" s="6">
        <v>0</v>
      </c>
      <c r="BQ185" s="6">
        <v>0</v>
      </c>
      <c r="BR185" s="6">
        <v>0</v>
      </c>
      <c r="BS185" s="6">
        <v>0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>
        <v>0</v>
      </c>
      <c r="CA185" s="6">
        <v>0</v>
      </c>
      <c r="CB185" s="6">
        <v>0</v>
      </c>
      <c r="CC185" s="6">
        <f>IF(Table3[[#This Row],[Type]]="EM",IF((Table3[[#This Row],[Diameter]]/2)-Table3[[#This Row],[CornerRadius]]-0.012&gt;0,(Table3[[#This Row],[Diameter]]/2)-Table3[[#This Row],[CornerRadius]]-0.012,0),)</f>
        <v>0</v>
      </c>
      <c r="CE185" s="6" t="str">
        <f>IF(Table3[[#This Row],[ShoulderLength]]="","",IF(Table3[[#This Row],[ShoulderLength]]&lt;Table3[[#This Row],[LOC]],"FIX",""))</f>
        <v/>
      </c>
    </row>
    <row r="186" spans="1:83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0</v>
      </c>
      <c r="BO186" s="6">
        <v>0</v>
      </c>
      <c r="BP186" s="6">
        <v>0</v>
      </c>
      <c r="BQ186" s="6">
        <v>0</v>
      </c>
      <c r="BR186" s="6">
        <v>0</v>
      </c>
      <c r="BS186" s="6">
        <v>0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>
        <v>0</v>
      </c>
      <c r="CA186" s="6">
        <v>0</v>
      </c>
      <c r="CB186" s="6">
        <v>0</v>
      </c>
      <c r="CC186" s="6">
        <f>IF(Table3[[#This Row],[Type]]="EM",IF((Table3[[#This Row],[Diameter]]/2)-Table3[[#This Row],[CornerRadius]]-0.012&gt;0,(Table3[[#This Row],[Diameter]]/2)-Table3[[#This Row],[CornerRadius]]-0.012,0),)</f>
        <v>0</v>
      </c>
      <c r="CE186" s="6" t="str">
        <f>IF(Table3[[#This Row],[ShoulderLength]]="","",IF(Table3[[#This Row],[ShoulderLength]]&lt;Table3[[#This Row],[LOC]],"FIX",""))</f>
        <v/>
      </c>
    </row>
    <row r="187" spans="1:83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0</v>
      </c>
      <c r="BO187" s="6">
        <v>0</v>
      </c>
      <c r="BP187" s="6">
        <v>0</v>
      </c>
      <c r="BQ187" s="6">
        <v>0</v>
      </c>
      <c r="BR187" s="6">
        <v>0</v>
      </c>
      <c r="BS187" s="6">
        <v>0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>
        <v>0</v>
      </c>
      <c r="CA187" s="6">
        <v>0</v>
      </c>
      <c r="CB187" s="6">
        <v>0</v>
      </c>
      <c r="CC187" s="6">
        <f>IF(Table3[[#This Row],[Type]]="EM",IF((Table3[[#This Row],[Diameter]]/2)-Table3[[#This Row],[CornerRadius]]-0.012&gt;0,(Table3[[#This Row],[Diameter]]/2)-Table3[[#This Row],[CornerRadius]]-0.012,0),)</f>
        <v>0</v>
      </c>
      <c r="CE187" s="6" t="str">
        <f>IF(Table3[[#This Row],[ShoulderLength]]="","",IF(Table3[[#This Row],[ShoulderLength]]&lt;Table3[[#This Row],[LOC]],"FIX",""))</f>
        <v/>
      </c>
    </row>
    <row r="188" spans="1:83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v>0</v>
      </c>
      <c r="BN188" s="6">
        <v>0</v>
      </c>
      <c r="BO188" s="6">
        <v>0</v>
      </c>
      <c r="BP188" s="6">
        <v>0</v>
      </c>
      <c r="BQ188" s="6">
        <v>0</v>
      </c>
      <c r="BR188" s="6">
        <v>0</v>
      </c>
      <c r="BS188" s="6">
        <v>0</v>
      </c>
      <c r="BT188" s="6">
        <v>0</v>
      </c>
      <c r="BU188" s="6">
        <v>0</v>
      </c>
      <c r="BV188" s="6">
        <v>0</v>
      </c>
      <c r="BW188" s="6">
        <v>0</v>
      </c>
      <c r="BX188" s="6">
        <v>0</v>
      </c>
      <c r="BY188" s="6">
        <v>0</v>
      </c>
      <c r="BZ188" s="6">
        <v>0</v>
      </c>
      <c r="CA188" s="6">
        <v>0</v>
      </c>
      <c r="CB188" s="6">
        <v>0</v>
      </c>
      <c r="CC188" s="6">
        <f>IF(Table3[[#This Row],[Type]]="EM",IF((Table3[[#This Row],[Diameter]]/2)-Table3[[#This Row],[CornerRadius]]-0.012&gt;0,(Table3[[#This Row],[Diameter]]/2)-Table3[[#This Row],[CornerRadius]]-0.012,0),)</f>
        <v>0</v>
      </c>
      <c r="CE188" s="6" t="str">
        <f>IF(Table3[[#This Row],[ShoulderLength]]="","",IF(Table3[[#This Row],[ShoulderLength]]&lt;Table3[[#This Row],[LOC]],"FIX",""))</f>
        <v/>
      </c>
    </row>
    <row r="189" spans="1:83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v>0</v>
      </c>
      <c r="BN189" s="6">
        <v>0</v>
      </c>
      <c r="BO189" s="6">
        <v>0</v>
      </c>
      <c r="BP189" s="6">
        <v>0</v>
      </c>
      <c r="BQ189" s="6">
        <v>0</v>
      </c>
      <c r="BR189" s="6">
        <v>0</v>
      </c>
      <c r="BS189" s="6">
        <v>0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>
        <v>0</v>
      </c>
      <c r="CA189" s="6">
        <v>0</v>
      </c>
      <c r="CB189" s="6">
        <v>0</v>
      </c>
      <c r="CC189" s="6">
        <f>IF(Table3[[#This Row],[Type]]="EM",IF((Table3[[#This Row],[Diameter]]/2)-Table3[[#This Row],[CornerRadius]]-0.012&gt;0,(Table3[[#This Row],[Diameter]]/2)-Table3[[#This Row],[CornerRadius]]-0.012,0),)</f>
        <v>0</v>
      </c>
      <c r="CE189" s="6" t="str">
        <f>IF(Table3[[#This Row],[ShoulderLength]]="","",IF(Table3[[#This Row],[ShoulderLength]]&lt;Table3[[#This Row],[LOC]],"FIX",""))</f>
        <v/>
      </c>
    </row>
    <row r="190" spans="1:83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0</v>
      </c>
      <c r="BO190" s="6">
        <v>0</v>
      </c>
      <c r="BP190" s="6">
        <v>0</v>
      </c>
      <c r="BQ190" s="6">
        <v>0</v>
      </c>
      <c r="BR190" s="6">
        <v>0</v>
      </c>
      <c r="BS190" s="6">
        <v>0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>
        <v>0</v>
      </c>
      <c r="CA190" s="6">
        <v>0</v>
      </c>
      <c r="CB190" s="6">
        <v>0</v>
      </c>
      <c r="CC190" s="6">
        <f>IF(Table3[[#This Row],[Type]]="EM",IF((Table3[[#This Row],[Diameter]]/2)-Table3[[#This Row],[CornerRadius]]-0.012&gt;0,(Table3[[#This Row],[Diameter]]/2)-Table3[[#This Row],[CornerRadius]]-0.012,0),)</f>
        <v>0</v>
      </c>
      <c r="CE190" s="6" t="str">
        <f>IF(Table3[[#This Row],[ShoulderLength]]="","",IF(Table3[[#This Row],[ShoulderLength]]&lt;Table3[[#This Row],[LOC]],"FIX",""))</f>
        <v/>
      </c>
    </row>
    <row r="191" spans="1:83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0</v>
      </c>
      <c r="BO191" s="6">
        <v>0</v>
      </c>
      <c r="BP191" s="6">
        <v>0</v>
      </c>
      <c r="BQ191" s="6">
        <v>0</v>
      </c>
      <c r="BR191" s="6">
        <v>0</v>
      </c>
      <c r="BS191" s="6">
        <v>0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>
        <v>0</v>
      </c>
      <c r="CA191" s="6">
        <v>0</v>
      </c>
      <c r="CB191" s="6">
        <v>0</v>
      </c>
      <c r="CC191" s="6">
        <f>IF(Table3[[#This Row],[Type]]="EM",IF((Table3[[#This Row],[Diameter]]/2)-Table3[[#This Row],[CornerRadius]]-0.012&gt;0,(Table3[[#This Row],[Diameter]]/2)-Table3[[#This Row],[CornerRadius]]-0.012,0),)</f>
        <v>0</v>
      </c>
      <c r="CE191" s="6" t="str">
        <f>IF(Table3[[#This Row],[ShoulderLength]]="","",IF(Table3[[#This Row],[ShoulderLength]]&lt;Table3[[#This Row],[LOC]],"FIX",""))</f>
        <v/>
      </c>
    </row>
    <row r="192" spans="1:83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0</v>
      </c>
      <c r="BO192" s="6">
        <v>0</v>
      </c>
      <c r="BP192" s="6">
        <v>0</v>
      </c>
      <c r="BQ192" s="6">
        <v>0</v>
      </c>
      <c r="BR192" s="6">
        <v>0</v>
      </c>
      <c r="BS192" s="6">
        <v>0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>
        <v>0</v>
      </c>
      <c r="CA192" s="6">
        <v>0</v>
      </c>
      <c r="CB192" s="6">
        <v>0</v>
      </c>
      <c r="CC192" s="6">
        <f>IF(Table3[[#This Row],[Type]]="EM",IF((Table3[[#This Row],[Diameter]]/2)-Table3[[#This Row],[CornerRadius]]-0.012&gt;0,(Table3[[#This Row],[Diameter]]/2)-Table3[[#This Row],[CornerRadius]]-0.012,0),)</f>
        <v>0</v>
      </c>
      <c r="CE192" s="6" t="str">
        <f>IF(Table3[[#This Row],[ShoulderLength]]="","",IF(Table3[[#This Row],[ShoulderLength]]&lt;Table3[[#This Row],[LOC]],"FIX",""))</f>
        <v/>
      </c>
    </row>
    <row r="193" spans="1:83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0</v>
      </c>
      <c r="BO193" s="6">
        <v>0</v>
      </c>
      <c r="BP193" s="6">
        <v>0</v>
      </c>
      <c r="BQ193" s="6">
        <v>0</v>
      </c>
      <c r="BR193" s="6">
        <v>0</v>
      </c>
      <c r="BS193" s="6">
        <v>0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>
        <v>0</v>
      </c>
      <c r="CA193" s="6">
        <v>0</v>
      </c>
      <c r="CB193" s="6">
        <v>0</v>
      </c>
      <c r="CC193" s="6">
        <f>IF(Table3[[#This Row],[Type]]="EM",IF((Table3[[#This Row],[Diameter]]/2)-Table3[[#This Row],[CornerRadius]]-0.012&gt;0,(Table3[[#This Row],[Diameter]]/2)-Table3[[#This Row],[CornerRadius]]-0.012,0),)</f>
        <v>0</v>
      </c>
      <c r="CE193" s="6" t="str">
        <f>IF(Table3[[#This Row],[ShoulderLength]]="","",IF(Table3[[#This Row],[ShoulderLength]]&lt;Table3[[#This Row],[LOC]],"FIX",""))</f>
        <v/>
      </c>
    </row>
    <row r="194" spans="1:83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0</v>
      </c>
      <c r="BO194" s="6">
        <v>0</v>
      </c>
      <c r="BP194" s="6">
        <v>0</v>
      </c>
      <c r="BQ194" s="6">
        <v>0</v>
      </c>
      <c r="BR194" s="6">
        <v>0</v>
      </c>
      <c r="BS194" s="6">
        <v>0</v>
      </c>
      <c r="BT194" s="6">
        <v>0</v>
      </c>
      <c r="BU194" s="6">
        <v>0</v>
      </c>
      <c r="BV194" s="6">
        <v>0</v>
      </c>
      <c r="BW194" s="6">
        <v>0</v>
      </c>
      <c r="BX194" s="6">
        <v>0</v>
      </c>
      <c r="BY194" s="6">
        <v>0</v>
      </c>
      <c r="BZ194" s="6">
        <v>0</v>
      </c>
      <c r="CA194" s="6">
        <v>0</v>
      </c>
      <c r="CB194" s="6">
        <v>0</v>
      </c>
      <c r="CC194" s="6">
        <f>IF(Table3[[#This Row],[Type]]="EM",IF((Table3[[#This Row],[Diameter]]/2)-Table3[[#This Row],[CornerRadius]]-0.012&gt;0,(Table3[[#This Row],[Diameter]]/2)-Table3[[#This Row],[CornerRadius]]-0.012,0),)</f>
        <v>0</v>
      </c>
      <c r="CE194" s="6" t="str">
        <f>IF(Table3[[#This Row],[ShoulderLength]]="","",IF(Table3[[#This Row],[ShoulderLength]]&lt;Table3[[#This Row],[LOC]],"FIX",""))</f>
        <v/>
      </c>
    </row>
    <row r="195" spans="1:83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0</v>
      </c>
      <c r="BO195" s="6">
        <v>0</v>
      </c>
      <c r="BP195" s="6">
        <v>0</v>
      </c>
      <c r="BQ195" s="6">
        <v>0</v>
      </c>
      <c r="BR195" s="6">
        <v>0</v>
      </c>
      <c r="BS195" s="6">
        <v>0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>
        <v>0</v>
      </c>
      <c r="CA195" s="6">
        <v>0</v>
      </c>
      <c r="CB195" s="6">
        <v>0</v>
      </c>
      <c r="CC195" s="6">
        <f>IF(Table3[[#This Row],[Type]]="EM",IF((Table3[[#This Row],[Diameter]]/2)-Table3[[#This Row],[CornerRadius]]-0.012&gt;0,(Table3[[#This Row],[Diameter]]/2)-Table3[[#This Row],[CornerRadius]]-0.012,0),)</f>
        <v>0</v>
      </c>
      <c r="CE195" s="6" t="str">
        <f>IF(Table3[[#This Row],[ShoulderLength]]="","",IF(Table3[[#This Row],[ShoulderLength]]&lt;Table3[[#This Row],[LOC]],"FIX",""))</f>
        <v/>
      </c>
    </row>
    <row r="196" spans="1:83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0</v>
      </c>
      <c r="BO196" s="6">
        <v>0</v>
      </c>
      <c r="BP196" s="6">
        <v>0</v>
      </c>
      <c r="BQ196" s="6">
        <v>0</v>
      </c>
      <c r="BR196" s="6">
        <v>0</v>
      </c>
      <c r="BS196" s="6">
        <v>0</v>
      </c>
      <c r="BT196" s="6">
        <v>0</v>
      </c>
      <c r="BU196" s="6">
        <v>0</v>
      </c>
      <c r="BV196" s="6">
        <v>0</v>
      </c>
      <c r="BW196" s="6">
        <v>0</v>
      </c>
      <c r="BX196" s="6">
        <v>0</v>
      </c>
      <c r="BY196" s="6">
        <v>0</v>
      </c>
      <c r="BZ196" s="6">
        <v>0</v>
      </c>
      <c r="CA196" s="6">
        <v>0</v>
      </c>
      <c r="CB196" s="6">
        <v>0</v>
      </c>
      <c r="CC196" s="6">
        <f>IF(Table3[[#This Row],[Type]]="EM",IF((Table3[[#This Row],[Diameter]]/2)-Table3[[#This Row],[CornerRadius]]-0.012&gt;0,(Table3[[#This Row],[Diameter]]/2)-Table3[[#This Row],[CornerRadius]]-0.012,0),)</f>
        <v>0</v>
      </c>
      <c r="CE196" s="6" t="str">
        <f>IF(Table3[[#This Row],[ShoulderLength]]="","",IF(Table3[[#This Row],[ShoulderLength]]&lt;Table3[[#This Row],[LOC]],"FIX",""))</f>
        <v/>
      </c>
    </row>
    <row r="197" spans="1:83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0</v>
      </c>
      <c r="BO197" s="6">
        <v>0</v>
      </c>
      <c r="BP197" s="6">
        <v>0</v>
      </c>
      <c r="BQ197" s="6">
        <v>0</v>
      </c>
      <c r="BR197" s="6">
        <v>0</v>
      </c>
      <c r="BS197" s="6">
        <v>0</v>
      </c>
      <c r="BT197" s="6">
        <v>0</v>
      </c>
      <c r="BU197" s="6">
        <v>0</v>
      </c>
      <c r="BV197" s="6">
        <v>0</v>
      </c>
      <c r="BW197" s="6">
        <v>0</v>
      </c>
      <c r="BX197" s="6">
        <v>0</v>
      </c>
      <c r="BY197" s="6">
        <v>0</v>
      </c>
      <c r="BZ197" s="6">
        <v>0</v>
      </c>
      <c r="CA197" s="6">
        <v>0</v>
      </c>
      <c r="CB197" s="6">
        <v>0</v>
      </c>
      <c r="CC197" s="6">
        <f>IF(Table3[[#This Row],[Type]]="EM",IF((Table3[[#This Row],[Diameter]]/2)-Table3[[#This Row],[CornerRadius]]-0.012&gt;0,(Table3[[#This Row],[Diameter]]/2)-Table3[[#This Row],[CornerRadius]]-0.012,0),)</f>
        <v>0</v>
      </c>
      <c r="CE197" s="6" t="str">
        <f>IF(Table3[[#This Row],[ShoulderLength]]="","",IF(Table3[[#This Row],[ShoulderLength]]&lt;Table3[[#This Row],[LOC]],"FIX",""))</f>
        <v/>
      </c>
    </row>
    <row r="198" spans="1:83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v>0</v>
      </c>
      <c r="BN198" s="6">
        <v>0</v>
      </c>
      <c r="BO198" s="6">
        <v>0</v>
      </c>
      <c r="BP198" s="6">
        <v>0</v>
      </c>
      <c r="BQ198" s="6">
        <v>0</v>
      </c>
      <c r="BR198" s="6">
        <v>0</v>
      </c>
      <c r="BS198" s="6">
        <v>0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>
        <v>0</v>
      </c>
      <c r="CA198" s="6">
        <v>0</v>
      </c>
      <c r="CB198" s="6">
        <v>0</v>
      </c>
      <c r="CC198" s="6">
        <f>IF(Table3[[#This Row],[Type]]="EM",IF((Table3[[#This Row],[Diameter]]/2)-Table3[[#This Row],[CornerRadius]]-0.012&gt;0,(Table3[[#This Row],[Diameter]]/2)-Table3[[#This Row],[CornerRadius]]-0.012,0),)</f>
        <v>0</v>
      </c>
      <c r="CE198" s="6" t="str">
        <f>IF(Table3[[#This Row],[ShoulderLength]]="","",IF(Table3[[#This Row],[ShoulderLength]]&lt;Table3[[#This Row],[LOC]],"FIX",""))</f>
        <v/>
      </c>
    </row>
    <row r="199" spans="1:83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v>0</v>
      </c>
      <c r="BN199" s="6">
        <v>0</v>
      </c>
      <c r="BO199" s="6">
        <v>0</v>
      </c>
      <c r="BP199" s="6">
        <v>0</v>
      </c>
      <c r="BQ199" s="6">
        <v>0</v>
      </c>
      <c r="BR199" s="6">
        <v>0</v>
      </c>
      <c r="BS199" s="6">
        <v>0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>
        <v>0</v>
      </c>
      <c r="CA199" s="6">
        <v>0</v>
      </c>
      <c r="CB199" s="6">
        <v>0</v>
      </c>
      <c r="CC199" s="6">
        <f>IF(Table3[[#This Row],[Type]]="EM",IF((Table3[[#This Row],[Diameter]]/2)-Table3[[#This Row],[CornerRadius]]-0.012&gt;0,(Table3[[#This Row],[Diameter]]/2)-Table3[[#This Row],[CornerRadius]]-0.012,0),)</f>
        <v>0</v>
      </c>
      <c r="CE199" s="6" t="str">
        <f>IF(Table3[[#This Row],[ShoulderLength]]="","",IF(Table3[[#This Row],[ShoulderLength]]&lt;Table3[[#This Row],[LOC]],"FIX",""))</f>
        <v/>
      </c>
    </row>
    <row r="200" spans="1:83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0</v>
      </c>
      <c r="BO200" s="6">
        <v>0</v>
      </c>
      <c r="BP200" s="6">
        <v>0</v>
      </c>
      <c r="BQ200" s="6">
        <v>0</v>
      </c>
      <c r="BR200" s="6">
        <v>0</v>
      </c>
      <c r="BS200" s="6">
        <v>0</v>
      </c>
      <c r="BT200" s="6">
        <v>0</v>
      </c>
      <c r="BU200" s="6">
        <v>0</v>
      </c>
      <c r="BV200" s="6">
        <v>0</v>
      </c>
      <c r="BW200" s="6">
        <v>0</v>
      </c>
      <c r="BX200" s="6">
        <v>0</v>
      </c>
      <c r="BY200" s="6">
        <v>0</v>
      </c>
      <c r="BZ200" s="6">
        <v>0</v>
      </c>
      <c r="CA200" s="6">
        <v>0</v>
      </c>
      <c r="CB200" s="6">
        <v>0</v>
      </c>
      <c r="CC200" s="6">
        <f>IF(Table3[[#This Row],[Type]]="EM",IF((Table3[[#This Row],[Diameter]]/2)-Table3[[#This Row],[CornerRadius]]-0.012&gt;0,(Table3[[#This Row],[Diameter]]/2)-Table3[[#This Row],[CornerRadius]]-0.012,0),)</f>
        <v>0</v>
      </c>
      <c r="CE200" s="6" t="str">
        <f>IF(Table3[[#This Row],[ShoulderLength]]="","",IF(Table3[[#This Row],[ShoulderLength]]&lt;Table3[[#This Row],[LOC]],"FIX",""))</f>
        <v/>
      </c>
    </row>
    <row r="201" spans="1:83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0</v>
      </c>
      <c r="BO201" s="6">
        <v>0</v>
      </c>
      <c r="BP201" s="6">
        <v>0</v>
      </c>
      <c r="BQ201" s="6">
        <v>0</v>
      </c>
      <c r="BR201" s="6">
        <v>0</v>
      </c>
      <c r="BS201" s="6">
        <v>0</v>
      </c>
      <c r="BT201" s="6">
        <v>0</v>
      </c>
      <c r="BU201" s="6">
        <v>0</v>
      </c>
      <c r="BV201" s="6">
        <v>0</v>
      </c>
      <c r="BW201" s="6">
        <v>0</v>
      </c>
      <c r="BX201" s="6">
        <v>0</v>
      </c>
      <c r="BY201" s="6">
        <v>0</v>
      </c>
      <c r="BZ201" s="6">
        <v>0</v>
      </c>
      <c r="CA201" s="6">
        <v>0</v>
      </c>
      <c r="CB201" s="6">
        <v>0</v>
      </c>
      <c r="CC201" s="6">
        <f>IF(Table3[[#This Row],[Type]]="EM",IF((Table3[[#This Row],[Diameter]]/2)-Table3[[#This Row],[CornerRadius]]-0.012&gt;0,(Table3[[#This Row],[Diameter]]/2)-Table3[[#This Row],[CornerRadius]]-0.012,0),)</f>
        <v>0</v>
      </c>
      <c r="CE201" s="6" t="str">
        <f>IF(Table3[[#This Row],[ShoulderLength]]="","",IF(Table3[[#This Row],[ShoulderLength]]&lt;Table3[[#This Row],[LOC]],"FIX",""))</f>
        <v/>
      </c>
    </row>
    <row r="202" spans="1:83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v>0</v>
      </c>
      <c r="BN202" s="6">
        <v>0</v>
      </c>
      <c r="BO202" s="6">
        <v>0</v>
      </c>
      <c r="BP202" s="6">
        <v>0</v>
      </c>
      <c r="BQ202" s="6">
        <v>0</v>
      </c>
      <c r="BR202" s="6">
        <v>0</v>
      </c>
      <c r="BS202" s="6">
        <v>0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>
        <v>0</v>
      </c>
      <c r="CA202" s="6">
        <v>0</v>
      </c>
      <c r="CB202" s="6">
        <v>0</v>
      </c>
      <c r="CC202" s="6">
        <f>IF(Table3[[#This Row],[Type]]="EM",IF((Table3[[#This Row],[Diameter]]/2)-Table3[[#This Row],[CornerRadius]]-0.012&gt;0,(Table3[[#This Row],[Diameter]]/2)-Table3[[#This Row],[CornerRadius]]-0.012,0),)</f>
        <v>0</v>
      </c>
      <c r="CE202" s="6" t="str">
        <f>IF(Table3[[#This Row],[ShoulderLength]]="","",IF(Table3[[#This Row],[ShoulderLength]]&lt;Table3[[#This Row],[LOC]],"FIX",""))</f>
        <v/>
      </c>
    </row>
    <row r="203" spans="1:83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0</v>
      </c>
      <c r="BO203" s="6">
        <v>0</v>
      </c>
      <c r="BP203" s="6">
        <v>0</v>
      </c>
      <c r="BQ203" s="6">
        <v>0</v>
      </c>
      <c r="BR203" s="6">
        <v>0</v>
      </c>
      <c r="BS203" s="6">
        <v>0</v>
      </c>
      <c r="BT203" s="6">
        <v>0</v>
      </c>
      <c r="BU203" s="6">
        <v>0</v>
      </c>
      <c r="BV203" s="6">
        <v>0</v>
      </c>
      <c r="BW203" s="6">
        <v>0</v>
      </c>
      <c r="BX203" s="6">
        <v>0</v>
      </c>
      <c r="BY203" s="6">
        <v>0</v>
      </c>
      <c r="BZ203" s="6">
        <v>0</v>
      </c>
      <c r="CA203" s="6">
        <v>0</v>
      </c>
      <c r="CB203" s="6">
        <v>0</v>
      </c>
      <c r="CC203" s="6">
        <f>IF(Table3[[#This Row],[Type]]="EM",IF((Table3[[#This Row],[Diameter]]/2)-Table3[[#This Row],[CornerRadius]]-0.012&gt;0,(Table3[[#This Row],[Diameter]]/2)-Table3[[#This Row],[CornerRadius]]-0.012,0),)</f>
        <v>0</v>
      </c>
      <c r="CE203" s="6" t="str">
        <f>IF(Table3[[#This Row],[ShoulderLength]]="","",IF(Table3[[#This Row],[ShoulderLength]]&lt;Table3[[#This Row],[LOC]],"FIX",""))</f>
        <v/>
      </c>
    </row>
    <row r="204" spans="1:83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0</v>
      </c>
      <c r="BO204" s="6">
        <v>0</v>
      </c>
      <c r="BP204" s="6">
        <v>0</v>
      </c>
      <c r="BQ204" s="6">
        <v>0</v>
      </c>
      <c r="BR204" s="6">
        <v>0</v>
      </c>
      <c r="BS204" s="6">
        <v>0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>
        <v>0</v>
      </c>
      <c r="CA204" s="6">
        <v>0</v>
      </c>
      <c r="CB204" s="6">
        <v>0</v>
      </c>
      <c r="CC204" s="6">
        <f>IF(Table3[[#This Row],[Type]]="EM",IF((Table3[[#This Row],[Diameter]]/2)-Table3[[#This Row],[CornerRadius]]-0.012&gt;0,(Table3[[#This Row],[Diameter]]/2)-Table3[[#This Row],[CornerRadius]]-0.012,0),)</f>
        <v>0</v>
      </c>
      <c r="CE204" s="6" t="str">
        <f>IF(Table3[[#This Row],[ShoulderLength]]="","",IF(Table3[[#This Row],[ShoulderLength]]&lt;Table3[[#This Row],[LOC]],"FIX",""))</f>
        <v/>
      </c>
    </row>
    <row r="205" spans="1:83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0</v>
      </c>
      <c r="BO205" s="6">
        <v>0</v>
      </c>
      <c r="BP205" s="6">
        <v>0</v>
      </c>
      <c r="BQ205" s="6">
        <v>0</v>
      </c>
      <c r="BR205" s="6">
        <v>0</v>
      </c>
      <c r="BS205" s="6">
        <v>0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>
        <v>0</v>
      </c>
      <c r="CA205" s="6">
        <v>0</v>
      </c>
      <c r="CB205" s="6">
        <v>0</v>
      </c>
      <c r="CC205" s="6">
        <f>IF(Table3[[#This Row],[Type]]="EM",IF((Table3[[#This Row],[Diameter]]/2)-Table3[[#This Row],[CornerRadius]]-0.012&gt;0,(Table3[[#This Row],[Diameter]]/2)-Table3[[#This Row],[CornerRadius]]-0.012,0),)</f>
        <v>0</v>
      </c>
      <c r="CE205" s="6" t="str">
        <f>IF(Table3[[#This Row],[ShoulderLength]]="","",IF(Table3[[#This Row],[ShoulderLength]]&lt;Table3[[#This Row],[LOC]],"FIX",""))</f>
        <v/>
      </c>
    </row>
    <row r="206" spans="1:83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0</v>
      </c>
      <c r="BO206" s="6">
        <v>0</v>
      </c>
      <c r="BP206" s="6">
        <v>0</v>
      </c>
      <c r="BQ206" s="6">
        <v>0</v>
      </c>
      <c r="BR206" s="6">
        <v>0</v>
      </c>
      <c r="BS206" s="6">
        <v>0</v>
      </c>
      <c r="BT206" s="6">
        <v>0</v>
      </c>
      <c r="BU206" s="6">
        <v>0</v>
      </c>
      <c r="BV206" s="6">
        <v>0</v>
      </c>
      <c r="BW206" s="6">
        <v>0</v>
      </c>
      <c r="BX206" s="6">
        <v>0</v>
      </c>
      <c r="BY206" s="6">
        <v>0</v>
      </c>
      <c r="BZ206" s="6">
        <v>0</v>
      </c>
      <c r="CA206" s="6">
        <v>0</v>
      </c>
      <c r="CB206" s="6">
        <v>0</v>
      </c>
      <c r="CC206" s="6">
        <f>IF(Table3[[#This Row],[Type]]="EM",IF((Table3[[#This Row],[Diameter]]/2)-Table3[[#This Row],[CornerRadius]]-0.012&gt;0,(Table3[[#This Row],[Diameter]]/2)-Table3[[#This Row],[CornerRadius]]-0.012,0),)</f>
        <v>0</v>
      </c>
      <c r="CE206" s="6" t="str">
        <f>IF(Table3[[#This Row],[ShoulderLength]]="","",IF(Table3[[#This Row],[ShoulderLength]]&lt;Table3[[#This Row],[LOC]],"FIX",""))</f>
        <v/>
      </c>
    </row>
    <row r="207" spans="1:83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0</v>
      </c>
      <c r="BO207" s="6">
        <v>0</v>
      </c>
      <c r="BP207" s="6">
        <v>0</v>
      </c>
      <c r="BQ207" s="6">
        <v>0</v>
      </c>
      <c r="BR207" s="6">
        <v>0</v>
      </c>
      <c r="BS207" s="6">
        <v>0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0</v>
      </c>
      <c r="BZ207" s="6">
        <v>0</v>
      </c>
      <c r="CA207" s="6">
        <v>0</v>
      </c>
      <c r="CB207" s="6">
        <v>0</v>
      </c>
      <c r="CC207" s="6">
        <f>IF(Table3[[#This Row],[Type]]="EM",IF((Table3[[#This Row],[Diameter]]/2)-Table3[[#This Row],[CornerRadius]]-0.012&gt;0,(Table3[[#This Row],[Diameter]]/2)-Table3[[#This Row],[CornerRadius]]-0.012,0),)</f>
        <v>0</v>
      </c>
      <c r="CE207" s="6" t="str">
        <f>IF(Table3[[#This Row],[ShoulderLength]]="","",IF(Table3[[#This Row],[ShoulderLength]]&lt;Table3[[#This Row],[LOC]],"FIX",""))</f>
        <v/>
      </c>
    </row>
    <row r="208" spans="1:83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0</v>
      </c>
      <c r="BO208" s="6">
        <v>0</v>
      </c>
      <c r="BP208" s="6">
        <v>0</v>
      </c>
      <c r="BQ208" s="6">
        <v>0</v>
      </c>
      <c r="BR208" s="6">
        <v>0</v>
      </c>
      <c r="BS208" s="6">
        <v>0</v>
      </c>
      <c r="BT208" s="6">
        <v>0</v>
      </c>
      <c r="BU208" s="6">
        <v>0</v>
      </c>
      <c r="BV208" s="6">
        <v>0</v>
      </c>
      <c r="BW208" s="6">
        <v>0</v>
      </c>
      <c r="BX208" s="6">
        <v>0</v>
      </c>
      <c r="BY208" s="6">
        <v>0</v>
      </c>
      <c r="BZ208" s="6">
        <v>0</v>
      </c>
      <c r="CA208" s="6">
        <v>0</v>
      </c>
      <c r="CB208" s="6">
        <v>0</v>
      </c>
      <c r="CC208" s="6">
        <f>IF(Table3[[#This Row],[Type]]="EM",IF((Table3[[#This Row],[Diameter]]/2)-Table3[[#This Row],[CornerRadius]]-0.012&gt;0,(Table3[[#This Row],[Diameter]]/2)-Table3[[#This Row],[CornerRadius]]-0.012,0),)</f>
        <v>0</v>
      </c>
      <c r="CE208" s="6" t="str">
        <f>IF(Table3[[#This Row],[ShoulderLength]]="","",IF(Table3[[#This Row],[ShoulderLength]]&lt;Table3[[#This Row],[LOC]],"FIX",""))</f>
        <v/>
      </c>
    </row>
    <row r="209" spans="1:83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v>0</v>
      </c>
      <c r="BN209" s="6">
        <v>0</v>
      </c>
      <c r="BO209" s="6">
        <v>0</v>
      </c>
      <c r="BP209" s="6">
        <v>0</v>
      </c>
      <c r="BQ209" s="6">
        <v>0</v>
      </c>
      <c r="BR209" s="6">
        <v>0</v>
      </c>
      <c r="BS209" s="6">
        <v>0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>
        <v>0</v>
      </c>
      <c r="CA209" s="6">
        <v>0</v>
      </c>
      <c r="CB209" s="6">
        <v>0</v>
      </c>
      <c r="CC209" s="6">
        <f>IF(Table3[[#This Row],[Type]]="EM",IF((Table3[[#This Row],[Diameter]]/2)-Table3[[#This Row],[CornerRadius]]-0.012&gt;0,(Table3[[#This Row],[Diameter]]/2)-Table3[[#This Row],[CornerRadius]]-0.012,0),)</f>
        <v>0</v>
      </c>
      <c r="CE209" s="6" t="str">
        <f>IF(Table3[[#This Row],[ShoulderLength]]="","",IF(Table3[[#This Row],[ShoulderLength]]&lt;Table3[[#This Row],[LOC]],"FIX",""))</f>
        <v/>
      </c>
    </row>
    <row r="210" spans="1:83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0</v>
      </c>
      <c r="BO210" s="6">
        <v>0</v>
      </c>
      <c r="BP210" s="6">
        <v>0</v>
      </c>
      <c r="BQ210" s="6">
        <v>0</v>
      </c>
      <c r="BR210" s="6">
        <v>0</v>
      </c>
      <c r="BS210" s="6">
        <v>0</v>
      </c>
      <c r="BT210" s="6">
        <v>0</v>
      </c>
      <c r="BU210" s="6">
        <v>0</v>
      </c>
      <c r="BV210" s="6">
        <v>0</v>
      </c>
      <c r="BW210" s="6">
        <v>0</v>
      </c>
      <c r="BX210" s="6">
        <v>0</v>
      </c>
      <c r="BY210" s="6">
        <v>0</v>
      </c>
      <c r="BZ210" s="6">
        <v>0</v>
      </c>
      <c r="CA210" s="6">
        <v>0</v>
      </c>
      <c r="CB210" s="6">
        <v>0</v>
      </c>
      <c r="CC210" s="6">
        <f>IF(Table3[[#This Row],[Type]]="EM",IF((Table3[[#This Row],[Diameter]]/2)-Table3[[#This Row],[CornerRadius]]-0.012&gt;0,(Table3[[#This Row],[Diameter]]/2)-Table3[[#This Row],[CornerRadius]]-0.012,0),)</f>
        <v>0</v>
      </c>
      <c r="CE210" s="6" t="str">
        <f>IF(Table3[[#This Row],[ShoulderLength]]="","",IF(Table3[[#This Row],[ShoulderLength]]&lt;Table3[[#This Row],[LOC]],"FIX",""))</f>
        <v/>
      </c>
    </row>
    <row r="211" spans="1:83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v>0</v>
      </c>
      <c r="BN211" s="6">
        <v>0</v>
      </c>
      <c r="BO211" s="6">
        <v>0</v>
      </c>
      <c r="BP211" s="6">
        <v>0</v>
      </c>
      <c r="BQ211" s="6">
        <v>0</v>
      </c>
      <c r="BR211" s="6">
        <v>0</v>
      </c>
      <c r="BS211" s="6">
        <v>0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>
        <v>0</v>
      </c>
      <c r="CA211" s="6">
        <v>0</v>
      </c>
      <c r="CB211" s="6">
        <v>0</v>
      </c>
      <c r="CC211" s="6">
        <f>IF(Table3[[#This Row],[Type]]="EM",IF((Table3[[#This Row],[Diameter]]/2)-Table3[[#This Row],[CornerRadius]]-0.012&gt;0,(Table3[[#This Row],[Diameter]]/2)-Table3[[#This Row],[CornerRadius]]-0.012,0),)</f>
        <v>0</v>
      </c>
      <c r="CE211" s="6" t="str">
        <f>IF(Table3[[#This Row],[ShoulderLength]]="","",IF(Table3[[#This Row],[ShoulderLength]]&lt;Table3[[#This Row],[LOC]],"FIX",""))</f>
        <v/>
      </c>
    </row>
    <row r="212" spans="1:83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0</v>
      </c>
      <c r="BO212" s="6">
        <v>0</v>
      </c>
      <c r="BP212" s="6">
        <v>0</v>
      </c>
      <c r="BQ212" s="6">
        <v>0</v>
      </c>
      <c r="BR212" s="6">
        <v>0</v>
      </c>
      <c r="BS212" s="6">
        <v>0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>
        <v>0</v>
      </c>
      <c r="CA212" s="6">
        <v>0</v>
      </c>
      <c r="CB212" s="6">
        <v>0</v>
      </c>
      <c r="CC212" s="6">
        <f>IF(Table3[[#This Row],[Type]]="EM",IF((Table3[[#This Row],[Diameter]]/2)-Table3[[#This Row],[CornerRadius]]-0.012&gt;0,(Table3[[#This Row],[Diameter]]/2)-Table3[[#This Row],[CornerRadius]]-0.012,0),)</f>
        <v>0</v>
      </c>
      <c r="CE212" s="6" t="str">
        <f>IF(Table3[[#This Row],[ShoulderLength]]="","",IF(Table3[[#This Row],[ShoulderLength]]&lt;Table3[[#This Row],[LOC]],"FIX",""))</f>
        <v/>
      </c>
    </row>
    <row r="213" spans="1:83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v>0</v>
      </c>
      <c r="BN213" s="6">
        <v>0</v>
      </c>
      <c r="BO213" s="6">
        <v>0</v>
      </c>
      <c r="BP213" s="6">
        <v>0</v>
      </c>
      <c r="BQ213" s="6">
        <v>0</v>
      </c>
      <c r="BR213" s="6">
        <v>0</v>
      </c>
      <c r="BS213" s="6">
        <v>0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>
        <v>0</v>
      </c>
      <c r="CA213" s="6">
        <v>0</v>
      </c>
      <c r="CB213" s="6">
        <v>0</v>
      </c>
      <c r="CC213" s="6">
        <f>IF(Table3[[#This Row],[Type]]="EM",IF((Table3[[#This Row],[Diameter]]/2)-Table3[[#This Row],[CornerRadius]]-0.012&gt;0,(Table3[[#This Row],[Diameter]]/2)-Table3[[#This Row],[CornerRadius]]-0.012,0),)</f>
        <v>0</v>
      </c>
      <c r="CE213" s="6" t="str">
        <f>IF(Table3[[#This Row],[ShoulderLength]]="","",IF(Table3[[#This Row],[ShoulderLength]]&lt;Table3[[#This Row],[LOC]],"FIX",""))</f>
        <v/>
      </c>
    </row>
    <row r="214" spans="1:83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0</v>
      </c>
      <c r="BO214" s="6">
        <v>0</v>
      </c>
      <c r="BP214" s="6">
        <v>0</v>
      </c>
      <c r="BQ214" s="6">
        <v>0</v>
      </c>
      <c r="BR214" s="6">
        <v>0</v>
      </c>
      <c r="BS214" s="6">
        <v>0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>
        <v>0</v>
      </c>
      <c r="CA214" s="6">
        <v>0</v>
      </c>
      <c r="CB214" s="6">
        <v>0</v>
      </c>
      <c r="CC214" s="6">
        <f>IF(Table3[[#This Row],[Type]]="EM",IF((Table3[[#This Row],[Diameter]]/2)-Table3[[#This Row],[CornerRadius]]-0.012&gt;0,(Table3[[#This Row],[Diameter]]/2)-Table3[[#This Row],[CornerRadius]]-0.012,0),)</f>
        <v>0</v>
      </c>
      <c r="CE214" s="6" t="str">
        <f>IF(Table3[[#This Row],[ShoulderLength]]="","",IF(Table3[[#This Row],[ShoulderLength]]&lt;Table3[[#This Row],[LOC]],"FIX",""))</f>
        <v/>
      </c>
    </row>
    <row r="215" spans="1:83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0</v>
      </c>
      <c r="BO215" s="6">
        <v>0</v>
      </c>
      <c r="BP215" s="6">
        <v>0</v>
      </c>
      <c r="BQ215" s="6">
        <v>0</v>
      </c>
      <c r="BR215" s="6">
        <v>0</v>
      </c>
      <c r="BS215" s="6">
        <v>0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>
        <v>0</v>
      </c>
      <c r="CA215" s="6">
        <v>0</v>
      </c>
      <c r="CB215" s="6">
        <v>0</v>
      </c>
      <c r="CC215" s="6">
        <f>IF(Table3[[#This Row],[Type]]="EM",IF((Table3[[#This Row],[Diameter]]/2)-Table3[[#This Row],[CornerRadius]]-0.012&gt;0,(Table3[[#This Row],[Diameter]]/2)-Table3[[#This Row],[CornerRadius]]-0.012,0),)</f>
        <v>0</v>
      </c>
      <c r="CE215" s="6" t="str">
        <f>IF(Table3[[#This Row],[ShoulderLength]]="","",IF(Table3[[#This Row],[ShoulderLength]]&lt;Table3[[#This Row],[LOC]],"FIX",""))</f>
        <v/>
      </c>
    </row>
    <row r="216" spans="1:83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0</v>
      </c>
      <c r="BO216" s="6">
        <v>0</v>
      </c>
      <c r="BP216" s="6">
        <v>0</v>
      </c>
      <c r="BQ216" s="6">
        <v>0</v>
      </c>
      <c r="BR216" s="6">
        <v>0</v>
      </c>
      <c r="BS216" s="6">
        <v>0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>
        <v>0</v>
      </c>
      <c r="CA216" s="6">
        <v>0</v>
      </c>
      <c r="CB216" s="6">
        <v>0</v>
      </c>
      <c r="CC216" s="6">
        <f>IF(Table3[[#This Row],[Type]]="EM",IF((Table3[[#This Row],[Diameter]]/2)-Table3[[#This Row],[CornerRadius]]-0.012&gt;0,(Table3[[#This Row],[Diameter]]/2)-Table3[[#This Row],[CornerRadius]]-0.012,0),)</f>
        <v>0</v>
      </c>
      <c r="CE216" s="6" t="str">
        <f>IF(Table3[[#This Row],[ShoulderLength]]="","",IF(Table3[[#This Row],[ShoulderLength]]&lt;Table3[[#This Row],[LOC]],"FIX",""))</f>
        <v/>
      </c>
    </row>
    <row r="217" spans="1:83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v>0</v>
      </c>
      <c r="BN217" s="6">
        <v>0</v>
      </c>
      <c r="BO217" s="6">
        <v>0</v>
      </c>
      <c r="BP217" s="6">
        <v>0</v>
      </c>
      <c r="BQ217" s="6">
        <v>0</v>
      </c>
      <c r="BR217" s="6">
        <v>0</v>
      </c>
      <c r="BS217" s="6">
        <v>0</v>
      </c>
      <c r="BT217" s="6">
        <v>0</v>
      </c>
      <c r="BU217" s="6">
        <v>0</v>
      </c>
      <c r="BV217" s="6">
        <v>0</v>
      </c>
      <c r="BW217" s="6">
        <v>0</v>
      </c>
      <c r="BX217" s="6">
        <v>0</v>
      </c>
      <c r="BY217" s="6">
        <v>0</v>
      </c>
      <c r="BZ217" s="6">
        <v>0</v>
      </c>
      <c r="CA217" s="6">
        <v>0</v>
      </c>
      <c r="CB217" s="6">
        <v>0</v>
      </c>
      <c r="CC217" s="6">
        <f>IF(Table3[[#This Row],[Type]]="EM",IF((Table3[[#This Row],[Diameter]]/2)-Table3[[#This Row],[CornerRadius]]-0.012&gt;0,(Table3[[#This Row],[Diameter]]/2)-Table3[[#This Row],[CornerRadius]]-0.012,0),)</f>
        <v>0</v>
      </c>
      <c r="CE217" s="6" t="str">
        <f>IF(Table3[[#This Row],[ShoulderLength]]="","",IF(Table3[[#This Row],[ShoulderLength]]&lt;Table3[[#This Row],[LOC]],"FIX",""))</f>
        <v/>
      </c>
    </row>
    <row r="218" spans="1:83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v>0</v>
      </c>
      <c r="BN218" s="6">
        <v>0</v>
      </c>
      <c r="BO218" s="6">
        <v>0</v>
      </c>
      <c r="BP218" s="6">
        <v>0</v>
      </c>
      <c r="BQ218" s="6">
        <v>0</v>
      </c>
      <c r="BR218" s="6">
        <v>0</v>
      </c>
      <c r="BS218" s="6">
        <v>0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>
        <v>0</v>
      </c>
      <c r="CA218" s="6">
        <v>0</v>
      </c>
      <c r="CB218" s="6">
        <v>0</v>
      </c>
      <c r="CC218" s="6">
        <f>IF(Table3[[#This Row],[Type]]="EM",IF((Table3[[#This Row],[Diameter]]/2)-Table3[[#This Row],[CornerRadius]]-0.012&gt;0,(Table3[[#This Row],[Diameter]]/2)-Table3[[#This Row],[CornerRadius]]-0.012,0),)</f>
        <v>0</v>
      </c>
      <c r="CE218" s="6" t="str">
        <f>IF(Table3[[#This Row],[ShoulderLength]]="","",IF(Table3[[#This Row],[ShoulderLength]]&lt;Table3[[#This Row],[LOC]],"FIX",""))</f>
        <v/>
      </c>
    </row>
    <row r="219" spans="1:83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0</v>
      </c>
      <c r="BO219" s="6">
        <v>0</v>
      </c>
      <c r="BP219" s="6">
        <v>0</v>
      </c>
      <c r="BQ219" s="6">
        <v>0</v>
      </c>
      <c r="BR219" s="6">
        <v>0</v>
      </c>
      <c r="BS219" s="6">
        <v>0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>
        <v>0</v>
      </c>
      <c r="CA219" s="6">
        <v>0</v>
      </c>
      <c r="CB219" s="6">
        <v>0</v>
      </c>
      <c r="CC219" s="6">
        <f>IF(Table3[[#This Row],[Type]]="EM",IF((Table3[[#This Row],[Diameter]]/2)-Table3[[#This Row],[CornerRadius]]-0.012&gt;0,(Table3[[#This Row],[Diameter]]/2)-Table3[[#This Row],[CornerRadius]]-0.012,0),)</f>
        <v>0</v>
      </c>
      <c r="CE219" s="6" t="str">
        <f>IF(Table3[[#This Row],[ShoulderLength]]="","",IF(Table3[[#This Row],[ShoulderLength]]&lt;Table3[[#This Row],[LOC]],"FIX",""))</f>
        <v/>
      </c>
    </row>
    <row r="220" spans="1:83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0</v>
      </c>
      <c r="BO220" s="6">
        <v>0</v>
      </c>
      <c r="BP220" s="6">
        <v>0</v>
      </c>
      <c r="BQ220" s="6">
        <v>0</v>
      </c>
      <c r="BR220" s="6">
        <v>0</v>
      </c>
      <c r="BS220" s="6">
        <v>0</v>
      </c>
      <c r="BT220" s="6">
        <v>0</v>
      </c>
      <c r="BU220" s="6">
        <v>0</v>
      </c>
      <c r="BV220" s="6">
        <v>0</v>
      </c>
      <c r="BW220" s="6">
        <v>0</v>
      </c>
      <c r="BX220" s="6">
        <v>0</v>
      </c>
      <c r="BY220" s="6">
        <v>0</v>
      </c>
      <c r="BZ220" s="6">
        <v>0</v>
      </c>
      <c r="CA220" s="6">
        <v>0</v>
      </c>
      <c r="CB220" s="6">
        <v>0</v>
      </c>
      <c r="CC220" s="6">
        <f>IF(Table3[[#This Row],[Type]]="EM",IF((Table3[[#This Row],[Diameter]]/2)-Table3[[#This Row],[CornerRadius]]-0.012&gt;0,(Table3[[#This Row],[Diameter]]/2)-Table3[[#This Row],[CornerRadius]]-0.012,0),)</f>
        <v>0</v>
      </c>
      <c r="CE220" s="6" t="str">
        <f>IF(Table3[[#This Row],[ShoulderLength]]="","",IF(Table3[[#This Row],[ShoulderLength]]&lt;Table3[[#This Row],[LOC]],"FIX",""))</f>
        <v/>
      </c>
    </row>
    <row r="221" spans="1:83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0</v>
      </c>
      <c r="BO221" s="6">
        <v>0</v>
      </c>
      <c r="BP221" s="6">
        <v>0</v>
      </c>
      <c r="BQ221" s="6">
        <v>0</v>
      </c>
      <c r="BR221" s="6">
        <v>0</v>
      </c>
      <c r="BS221" s="6">
        <v>0</v>
      </c>
      <c r="BT221" s="6">
        <v>0</v>
      </c>
      <c r="BU221" s="6">
        <v>0</v>
      </c>
      <c r="BV221" s="6">
        <v>0</v>
      </c>
      <c r="BW221" s="6">
        <v>0</v>
      </c>
      <c r="BX221" s="6">
        <v>0</v>
      </c>
      <c r="BY221" s="6">
        <v>0</v>
      </c>
      <c r="BZ221" s="6">
        <v>0</v>
      </c>
      <c r="CA221" s="6">
        <v>0</v>
      </c>
      <c r="CB221" s="6">
        <v>0</v>
      </c>
      <c r="CC221" s="6">
        <f>IF(Table3[[#This Row],[Type]]="EM",IF((Table3[[#This Row],[Diameter]]/2)-Table3[[#This Row],[CornerRadius]]-0.012&gt;0,(Table3[[#This Row],[Diameter]]/2)-Table3[[#This Row],[CornerRadius]]-0.012,0),)</f>
        <v>0</v>
      </c>
      <c r="CE221" s="6" t="str">
        <f>IF(Table3[[#This Row],[ShoulderLength]]="","",IF(Table3[[#This Row],[ShoulderLength]]&lt;Table3[[#This Row],[LOC]],"FIX",""))</f>
        <v/>
      </c>
    </row>
    <row r="222" spans="1:83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0</v>
      </c>
      <c r="BO222" s="6">
        <v>0</v>
      </c>
      <c r="BP222" s="6">
        <v>0</v>
      </c>
      <c r="BQ222" s="6">
        <v>0</v>
      </c>
      <c r="BR222" s="6">
        <v>0</v>
      </c>
      <c r="BS222" s="6">
        <v>0</v>
      </c>
      <c r="BT222" s="6">
        <v>0</v>
      </c>
      <c r="BU222" s="6">
        <v>0</v>
      </c>
      <c r="BV222" s="6">
        <v>0</v>
      </c>
      <c r="BW222" s="6">
        <v>0</v>
      </c>
      <c r="BX222" s="6">
        <v>0</v>
      </c>
      <c r="BY222" s="6">
        <v>0</v>
      </c>
      <c r="BZ222" s="6">
        <v>0</v>
      </c>
      <c r="CA222" s="6">
        <v>0</v>
      </c>
      <c r="CB222" s="6">
        <v>0</v>
      </c>
      <c r="CC222" s="6">
        <f>IF(Table3[[#This Row],[Type]]="EM",IF((Table3[[#This Row],[Diameter]]/2)-Table3[[#This Row],[CornerRadius]]-0.012&gt;0,(Table3[[#This Row],[Diameter]]/2)-Table3[[#This Row],[CornerRadius]]-0.012,0),)</f>
        <v>0</v>
      </c>
      <c r="CE222" s="6" t="str">
        <f>IF(Table3[[#This Row],[ShoulderLength]]="","",IF(Table3[[#This Row],[ShoulderLength]]&lt;Table3[[#This Row],[LOC]],"FIX",""))</f>
        <v/>
      </c>
    </row>
    <row r="223" spans="1:83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0</v>
      </c>
      <c r="BO223" s="6">
        <v>0</v>
      </c>
      <c r="BP223" s="6">
        <v>0</v>
      </c>
      <c r="BQ223" s="6">
        <v>0</v>
      </c>
      <c r="BR223" s="6">
        <v>0</v>
      </c>
      <c r="BS223" s="6">
        <v>0</v>
      </c>
      <c r="BT223" s="6">
        <v>0</v>
      </c>
      <c r="BU223" s="6">
        <v>0</v>
      </c>
      <c r="BV223" s="6">
        <v>0</v>
      </c>
      <c r="BW223" s="6">
        <v>0</v>
      </c>
      <c r="BX223" s="6">
        <v>0</v>
      </c>
      <c r="BY223" s="6">
        <v>0</v>
      </c>
      <c r="BZ223" s="6">
        <v>0</v>
      </c>
      <c r="CA223" s="6">
        <v>0</v>
      </c>
      <c r="CB223" s="6">
        <v>0</v>
      </c>
      <c r="CC223" s="6">
        <f>IF(Table3[[#This Row],[Type]]="EM",IF((Table3[[#This Row],[Diameter]]/2)-Table3[[#This Row],[CornerRadius]]-0.012&gt;0,(Table3[[#This Row],[Diameter]]/2)-Table3[[#This Row],[CornerRadius]]-0.012,0),)</f>
        <v>0</v>
      </c>
      <c r="CE223" s="6" t="str">
        <f>IF(Table3[[#This Row],[ShoulderLength]]="","",IF(Table3[[#This Row],[ShoulderLength]]&lt;Table3[[#This Row],[LOC]],"FIX",""))</f>
        <v/>
      </c>
    </row>
    <row r="224" spans="1:83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0</v>
      </c>
      <c r="BO224" s="6">
        <v>0</v>
      </c>
      <c r="BP224" s="6">
        <v>0</v>
      </c>
      <c r="BQ224" s="6">
        <v>0</v>
      </c>
      <c r="BR224" s="6">
        <v>0</v>
      </c>
      <c r="BS224" s="6">
        <v>0</v>
      </c>
      <c r="BT224" s="6">
        <v>0</v>
      </c>
      <c r="BU224" s="6">
        <v>0</v>
      </c>
      <c r="BV224" s="6">
        <v>0</v>
      </c>
      <c r="BW224" s="6">
        <v>0</v>
      </c>
      <c r="BX224" s="6">
        <v>0</v>
      </c>
      <c r="BY224" s="6">
        <v>0</v>
      </c>
      <c r="BZ224" s="6">
        <v>0</v>
      </c>
      <c r="CA224" s="6">
        <v>0</v>
      </c>
      <c r="CB224" s="6">
        <v>0</v>
      </c>
      <c r="CC224" s="6">
        <f>IF(Table3[[#This Row],[Type]]="EM",IF((Table3[[#This Row],[Diameter]]/2)-Table3[[#This Row],[CornerRadius]]-0.012&gt;0,(Table3[[#This Row],[Diameter]]/2)-Table3[[#This Row],[CornerRadius]]-0.012,0),)</f>
        <v>0</v>
      </c>
      <c r="CE224" s="6" t="str">
        <f>IF(Table3[[#This Row],[ShoulderLength]]="","",IF(Table3[[#This Row],[ShoulderLength]]&lt;Table3[[#This Row],[LOC]],"FIX",""))</f>
        <v/>
      </c>
    </row>
    <row r="225" spans="1:83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0</v>
      </c>
      <c r="BO225" s="6">
        <v>0</v>
      </c>
      <c r="BP225" s="6">
        <v>0</v>
      </c>
      <c r="BQ225" s="6">
        <v>0</v>
      </c>
      <c r="BR225" s="6">
        <v>0</v>
      </c>
      <c r="BS225" s="6">
        <v>0</v>
      </c>
      <c r="BT225" s="6">
        <v>0</v>
      </c>
      <c r="BU225" s="6">
        <v>0</v>
      </c>
      <c r="BV225" s="6">
        <v>0</v>
      </c>
      <c r="BW225" s="6">
        <v>0</v>
      </c>
      <c r="BX225" s="6">
        <v>0</v>
      </c>
      <c r="BY225" s="6">
        <v>0</v>
      </c>
      <c r="BZ225" s="6">
        <v>0</v>
      </c>
      <c r="CA225" s="6">
        <v>0</v>
      </c>
      <c r="CB225" s="6">
        <v>0</v>
      </c>
      <c r="CC225" s="6">
        <f>IF(Table3[[#This Row],[Type]]="EM",IF((Table3[[#This Row],[Diameter]]/2)-Table3[[#This Row],[CornerRadius]]-0.012&gt;0,(Table3[[#This Row],[Diameter]]/2)-Table3[[#This Row],[CornerRadius]]-0.012,0),)</f>
        <v>0</v>
      </c>
      <c r="CE225" s="6" t="str">
        <f>IF(Table3[[#This Row],[ShoulderLength]]="","",IF(Table3[[#This Row],[ShoulderLength]]&lt;Table3[[#This Row],[LOC]],"FIX",""))</f>
        <v/>
      </c>
    </row>
    <row r="226" spans="1:83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0</v>
      </c>
      <c r="BO226" s="6">
        <v>0</v>
      </c>
      <c r="BP226" s="6">
        <v>0</v>
      </c>
      <c r="BQ226" s="6">
        <v>0</v>
      </c>
      <c r="BR226" s="6">
        <v>0</v>
      </c>
      <c r="BS226" s="6">
        <v>0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>
        <v>0</v>
      </c>
      <c r="CA226" s="6">
        <v>0</v>
      </c>
      <c r="CB226" s="6">
        <v>0</v>
      </c>
      <c r="CC226" s="6">
        <f>IF(Table3[[#This Row],[Type]]="EM",IF((Table3[[#This Row],[Diameter]]/2)-Table3[[#This Row],[CornerRadius]]-0.012&gt;0,(Table3[[#This Row],[Diameter]]/2)-Table3[[#This Row],[CornerRadius]]-0.012,0),)</f>
        <v>0</v>
      </c>
      <c r="CE226" s="6" t="str">
        <f>IF(Table3[[#This Row],[ShoulderLength]]="","",IF(Table3[[#This Row],[ShoulderLength]]&lt;Table3[[#This Row],[LOC]],"FIX",""))</f>
        <v/>
      </c>
    </row>
    <row r="227" spans="1:83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0</v>
      </c>
      <c r="BO227" s="6">
        <v>0</v>
      </c>
      <c r="BP227" s="6">
        <v>0</v>
      </c>
      <c r="BQ227" s="6">
        <v>0</v>
      </c>
      <c r="BR227" s="6">
        <v>0</v>
      </c>
      <c r="BS227" s="6">
        <v>0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>
        <v>0</v>
      </c>
      <c r="CA227" s="6">
        <v>0</v>
      </c>
      <c r="CB227" s="6">
        <v>0</v>
      </c>
      <c r="CC227" s="6">
        <f>IF(Table3[[#This Row],[Type]]="EM",IF((Table3[[#This Row],[Diameter]]/2)-Table3[[#This Row],[CornerRadius]]-0.012&gt;0,(Table3[[#This Row],[Diameter]]/2)-Table3[[#This Row],[CornerRadius]]-0.012,0),)</f>
        <v>0</v>
      </c>
      <c r="CE227" s="6" t="str">
        <f>IF(Table3[[#This Row],[ShoulderLength]]="","",IF(Table3[[#This Row],[ShoulderLength]]&lt;Table3[[#This Row],[LOC]],"FIX",""))</f>
        <v/>
      </c>
    </row>
    <row r="228" spans="1:83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0</v>
      </c>
      <c r="BO228" s="6">
        <v>0</v>
      </c>
      <c r="BP228" s="6">
        <v>0</v>
      </c>
      <c r="BQ228" s="6">
        <v>0</v>
      </c>
      <c r="BR228" s="6">
        <v>0</v>
      </c>
      <c r="BS228" s="6">
        <v>0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>
        <v>0</v>
      </c>
      <c r="CA228" s="6">
        <v>0</v>
      </c>
      <c r="CB228" s="6">
        <v>0</v>
      </c>
      <c r="CC228" s="6">
        <f>IF(Table3[[#This Row],[Type]]="EM",IF((Table3[[#This Row],[Diameter]]/2)-Table3[[#This Row],[CornerRadius]]-0.012&gt;0,(Table3[[#This Row],[Diameter]]/2)-Table3[[#This Row],[CornerRadius]]-0.012,0),)</f>
        <v>0</v>
      </c>
      <c r="CE228" s="6" t="str">
        <f>IF(Table3[[#This Row],[ShoulderLength]]="","",IF(Table3[[#This Row],[ShoulderLength]]&lt;Table3[[#This Row],[LOC]],"FIX",""))</f>
        <v/>
      </c>
    </row>
    <row r="229" spans="1:83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0</v>
      </c>
      <c r="BO229" s="6">
        <v>0</v>
      </c>
      <c r="BP229" s="6">
        <v>0</v>
      </c>
      <c r="BQ229" s="6">
        <v>0</v>
      </c>
      <c r="BR229" s="6">
        <v>0</v>
      </c>
      <c r="BS229" s="6">
        <v>0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>
        <v>0</v>
      </c>
      <c r="CA229" s="6">
        <v>0</v>
      </c>
      <c r="CB229" s="6">
        <v>0</v>
      </c>
      <c r="CC229" s="6">
        <f>IF(Table3[[#This Row],[Type]]="EM",IF((Table3[[#This Row],[Diameter]]/2)-Table3[[#This Row],[CornerRadius]]-0.012&gt;0,(Table3[[#This Row],[Diameter]]/2)-Table3[[#This Row],[CornerRadius]]-0.012,0),)</f>
        <v>0</v>
      </c>
      <c r="CE229" s="6" t="str">
        <f>IF(Table3[[#This Row],[ShoulderLength]]="","",IF(Table3[[#This Row],[ShoulderLength]]&lt;Table3[[#This Row],[LOC]],"FIX",""))</f>
        <v/>
      </c>
    </row>
    <row r="230" spans="1:83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0</v>
      </c>
      <c r="BO230" s="6">
        <v>0</v>
      </c>
      <c r="BP230" s="6">
        <v>0</v>
      </c>
      <c r="BQ230" s="6">
        <v>0</v>
      </c>
      <c r="BR230" s="6">
        <v>0</v>
      </c>
      <c r="BS230" s="6">
        <v>0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>
        <v>0</v>
      </c>
      <c r="CA230" s="6">
        <v>0</v>
      </c>
      <c r="CB230" s="6">
        <v>0</v>
      </c>
      <c r="CC230" s="6">
        <f>IF(Table3[[#This Row],[Type]]="EM",IF((Table3[[#This Row],[Diameter]]/2)-Table3[[#This Row],[CornerRadius]]-0.012&gt;0,(Table3[[#This Row],[Diameter]]/2)-Table3[[#This Row],[CornerRadius]]-0.012,0),)</f>
        <v>0</v>
      </c>
      <c r="CE230" s="6" t="str">
        <f>IF(Table3[[#This Row],[ShoulderLength]]="","",IF(Table3[[#This Row],[ShoulderLength]]&lt;Table3[[#This Row],[LOC]],"FIX",""))</f>
        <v/>
      </c>
    </row>
    <row r="231" spans="1:83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0</v>
      </c>
      <c r="BO231" s="6">
        <v>0</v>
      </c>
      <c r="BP231" s="6">
        <v>0</v>
      </c>
      <c r="BQ231" s="6">
        <v>0</v>
      </c>
      <c r="BR231" s="6">
        <v>0</v>
      </c>
      <c r="BS231" s="6">
        <v>0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>
        <v>0</v>
      </c>
      <c r="CA231" s="6">
        <v>0</v>
      </c>
      <c r="CB231" s="6">
        <v>0</v>
      </c>
      <c r="CC231" s="6">
        <f>IF(Table3[[#This Row],[Type]]="EM",IF((Table3[[#This Row],[Diameter]]/2)-Table3[[#This Row],[CornerRadius]]-0.012&gt;0,(Table3[[#This Row],[Diameter]]/2)-Table3[[#This Row],[CornerRadius]]-0.012,0),)</f>
        <v>0</v>
      </c>
      <c r="CE231" s="6" t="str">
        <f>IF(Table3[[#This Row],[ShoulderLength]]="","",IF(Table3[[#This Row],[ShoulderLength]]&lt;Table3[[#This Row],[LOC]],"FIX",""))</f>
        <v/>
      </c>
    </row>
    <row r="232" spans="1:83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0</v>
      </c>
      <c r="BO232" s="6">
        <v>0</v>
      </c>
      <c r="BP232" s="6">
        <v>0</v>
      </c>
      <c r="BQ232" s="6">
        <v>0</v>
      </c>
      <c r="BR232" s="6">
        <v>0</v>
      </c>
      <c r="BS232" s="6">
        <v>0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>
        <v>0</v>
      </c>
      <c r="CA232" s="6">
        <v>0</v>
      </c>
      <c r="CB232" s="6">
        <v>0</v>
      </c>
      <c r="CC232" s="6">
        <f>IF(Table3[[#This Row],[Type]]="EM",IF((Table3[[#This Row],[Diameter]]/2)-Table3[[#This Row],[CornerRadius]]-0.012&gt;0,(Table3[[#This Row],[Diameter]]/2)-Table3[[#This Row],[CornerRadius]]-0.012,0),)</f>
        <v>0</v>
      </c>
      <c r="CE232" s="6" t="str">
        <f>IF(Table3[[#This Row],[ShoulderLength]]="","",IF(Table3[[#This Row],[ShoulderLength]]&lt;Table3[[#This Row],[LOC]],"FIX",""))</f>
        <v/>
      </c>
    </row>
    <row r="233" spans="1:83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0</v>
      </c>
      <c r="BO233" s="6">
        <v>0</v>
      </c>
      <c r="BP233" s="6">
        <v>0</v>
      </c>
      <c r="BQ233" s="6">
        <v>0</v>
      </c>
      <c r="BR233" s="6">
        <v>0</v>
      </c>
      <c r="BS233" s="6">
        <v>0</v>
      </c>
      <c r="BT233" s="6">
        <v>0</v>
      </c>
      <c r="BU233" s="6">
        <v>0</v>
      </c>
      <c r="BV233" s="6">
        <v>0</v>
      </c>
      <c r="BW233" s="6">
        <v>0</v>
      </c>
      <c r="BX233" s="6">
        <v>0</v>
      </c>
      <c r="BY233" s="6">
        <v>0</v>
      </c>
      <c r="BZ233" s="6">
        <v>0</v>
      </c>
      <c r="CA233" s="6">
        <v>0</v>
      </c>
      <c r="CB233" s="6">
        <v>0</v>
      </c>
      <c r="CC233" s="6">
        <f>IF(Table3[[#This Row],[Type]]="EM",IF((Table3[[#This Row],[Diameter]]/2)-Table3[[#This Row],[CornerRadius]]-0.012&gt;0,(Table3[[#This Row],[Diameter]]/2)-Table3[[#This Row],[CornerRadius]]-0.012,0),)</f>
        <v>0</v>
      </c>
      <c r="CE233" s="6" t="str">
        <f>IF(Table3[[#This Row],[ShoulderLength]]="","",IF(Table3[[#This Row],[ShoulderLength]]&lt;Table3[[#This Row],[LOC]],"FIX",""))</f>
        <v/>
      </c>
    </row>
    <row r="234" spans="1:83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v>0</v>
      </c>
      <c r="BN234" s="6">
        <v>0</v>
      </c>
      <c r="BO234" s="6">
        <v>0</v>
      </c>
      <c r="BP234" s="6">
        <v>0</v>
      </c>
      <c r="BQ234" s="6">
        <v>0</v>
      </c>
      <c r="BR234" s="6">
        <v>0</v>
      </c>
      <c r="BS234" s="6">
        <v>0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0</v>
      </c>
      <c r="BZ234" s="6">
        <v>0</v>
      </c>
      <c r="CA234" s="6">
        <v>0</v>
      </c>
      <c r="CB234" s="6">
        <v>0</v>
      </c>
      <c r="CC234" s="6">
        <f>IF(Table3[[#This Row],[Type]]="EM",IF((Table3[[#This Row],[Diameter]]/2)-Table3[[#This Row],[CornerRadius]]-0.012&gt;0,(Table3[[#This Row],[Diameter]]/2)-Table3[[#This Row],[CornerRadius]]-0.012,0),)</f>
        <v>0</v>
      </c>
      <c r="CE234" s="6" t="str">
        <f>IF(Table3[[#This Row],[ShoulderLength]]="","",IF(Table3[[#This Row],[ShoulderLength]]&lt;Table3[[#This Row],[LOC]],"FIX",""))</f>
        <v/>
      </c>
    </row>
    <row r="235" spans="1:83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0</v>
      </c>
      <c r="BO235" s="6">
        <v>0</v>
      </c>
      <c r="BP235" s="6">
        <v>0</v>
      </c>
      <c r="BQ235" s="6">
        <v>0</v>
      </c>
      <c r="BR235" s="6">
        <v>0</v>
      </c>
      <c r="BS235" s="6">
        <v>0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>
        <v>0</v>
      </c>
      <c r="CA235" s="6">
        <v>0</v>
      </c>
      <c r="CB235" s="6">
        <v>0</v>
      </c>
      <c r="CC235" s="6">
        <f>IF(Table3[[#This Row],[Type]]="EM",IF((Table3[[#This Row],[Diameter]]/2)-Table3[[#This Row],[CornerRadius]]-0.012&gt;0,(Table3[[#This Row],[Diameter]]/2)-Table3[[#This Row],[CornerRadius]]-0.012,0),)</f>
        <v>0</v>
      </c>
      <c r="CE235" s="6" t="str">
        <f>IF(Table3[[#This Row],[ShoulderLength]]="","",IF(Table3[[#This Row],[ShoulderLength]]&lt;Table3[[#This Row],[LOC]],"FIX",""))</f>
        <v/>
      </c>
    </row>
    <row r="236" spans="1:83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0</v>
      </c>
      <c r="BO236" s="6">
        <v>0</v>
      </c>
      <c r="BP236" s="6">
        <v>0</v>
      </c>
      <c r="BQ236" s="6">
        <v>0</v>
      </c>
      <c r="BR236" s="6">
        <v>0</v>
      </c>
      <c r="BS236" s="6">
        <v>0</v>
      </c>
      <c r="BT236" s="6">
        <v>0</v>
      </c>
      <c r="BU236" s="6">
        <v>0</v>
      </c>
      <c r="BV236" s="6">
        <v>0</v>
      </c>
      <c r="BW236" s="6">
        <v>0</v>
      </c>
      <c r="BX236" s="6">
        <v>0</v>
      </c>
      <c r="BY236" s="6">
        <v>0</v>
      </c>
      <c r="BZ236" s="6">
        <v>0</v>
      </c>
      <c r="CA236" s="6">
        <v>0</v>
      </c>
      <c r="CB236" s="6">
        <v>0</v>
      </c>
      <c r="CC236" s="6">
        <f>IF(Table3[[#This Row],[Type]]="EM",IF((Table3[[#This Row],[Diameter]]/2)-Table3[[#This Row],[CornerRadius]]-0.012&gt;0,(Table3[[#This Row],[Diameter]]/2)-Table3[[#This Row],[CornerRadius]]-0.012,0),)</f>
        <v>0</v>
      </c>
      <c r="CE236" s="6" t="str">
        <f>IF(Table3[[#This Row],[ShoulderLength]]="","",IF(Table3[[#This Row],[ShoulderLength]]&lt;Table3[[#This Row],[LOC]],"FIX",""))</f>
        <v/>
      </c>
    </row>
    <row r="237" spans="1:83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0</v>
      </c>
      <c r="BO237" s="6">
        <v>0</v>
      </c>
      <c r="BP237" s="6">
        <v>0</v>
      </c>
      <c r="BQ237" s="6">
        <v>0</v>
      </c>
      <c r="BR237" s="6">
        <v>0</v>
      </c>
      <c r="BS237" s="6">
        <v>0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>
        <v>0</v>
      </c>
      <c r="CA237" s="6">
        <v>0</v>
      </c>
      <c r="CB237" s="6">
        <v>0</v>
      </c>
      <c r="CC237" s="6">
        <f>IF(Table3[[#This Row],[Type]]="EM",IF((Table3[[#This Row],[Diameter]]/2)-Table3[[#This Row],[CornerRadius]]-0.012&gt;0,(Table3[[#This Row],[Diameter]]/2)-Table3[[#This Row],[CornerRadius]]-0.012,0),)</f>
        <v>0</v>
      </c>
      <c r="CE237" s="6" t="str">
        <f>IF(Table3[[#This Row],[ShoulderLength]]="","",IF(Table3[[#This Row],[ShoulderLength]]&lt;Table3[[#This Row],[LOC]],"FIX",""))</f>
        <v/>
      </c>
    </row>
    <row r="238" spans="1:83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0</v>
      </c>
      <c r="BO238" s="6">
        <v>0</v>
      </c>
      <c r="BP238" s="6">
        <v>0</v>
      </c>
      <c r="BQ238" s="6">
        <v>0</v>
      </c>
      <c r="BR238" s="6">
        <v>0</v>
      </c>
      <c r="BS238" s="6">
        <v>0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>
        <v>0</v>
      </c>
      <c r="CA238" s="6">
        <v>0</v>
      </c>
      <c r="CB238" s="6">
        <v>0</v>
      </c>
      <c r="CC238" s="6">
        <f>IF(Table3[[#This Row],[Type]]="EM",IF((Table3[[#This Row],[Diameter]]/2)-Table3[[#This Row],[CornerRadius]]-0.012&gt;0,(Table3[[#This Row],[Diameter]]/2)-Table3[[#This Row],[CornerRadius]]-0.012,0),)</f>
        <v>0</v>
      </c>
      <c r="CE238" s="6" t="str">
        <f>IF(Table3[[#This Row],[ShoulderLength]]="","",IF(Table3[[#This Row],[ShoulderLength]]&lt;Table3[[#This Row],[LOC]],"FIX",""))</f>
        <v/>
      </c>
    </row>
    <row r="239" spans="1:83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v>0</v>
      </c>
      <c r="BN239" s="6">
        <v>0</v>
      </c>
      <c r="BO239" s="6">
        <v>0</v>
      </c>
      <c r="BP239" s="6">
        <v>0</v>
      </c>
      <c r="BQ239" s="6">
        <v>0</v>
      </c>
      <c r="BR239" s="6">
        <v>0</v>
      </c>
      <c r="BS239" s="6">
        <v>0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>
        <v>0</v>
      </c>
      <c r="CA239" s="6">
        <v>0</v>
      </c>
      <c r="CB239" s="6">
        <v>0</v>
      </c>
      <c r="CC239" s="6">
        <f>IF(Table3[[#This Row],[Type]]="EM",IF((Table3[[#This Row],[Diameter]]/2)-Table3[[#This Row],[CornerRadius]]-0.012&gt;0,(Table3[[#This Row],[Diameter]]/2)-Table3[[#This Row],[CornerRadius]]-0.012,0),)</f>
        <v>0</v>
      </c>
      <c r="CE239" s="6" t="str">
        <f>IF(Table3[[#This Row],[ShoulderLength]]="","",IF(Table3[[#This Row],[ShoulderLength]]&lt;Table3[[#This Row],[LOC]],"FIX",""))</f>
        <v/>
      </c>
    </row>
    <row r="240" spans="1:83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0</v>
      </c>
      <c r="BO240" s="6">
        <v>0</v>
      </c>
      <c r="BP240" s="6">
        <v>0</v>
      </c>
      <c r="BQ240" s="6">
        <v>0</v>
      </c>
      <c r="BR240" s="6">
        <v>0</v>
      </c>
      <c r="BS240" s="6">
        <v>0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>
        <v>0</v>
      </c>
      <c r="CA240" s="6">
        <v>0</v>
      </c>
      <c r="CB240" s="6">
        <v>0</v>
      </c>
      <c r="CC240" s="6">
        <f>IF(Table3[[#This Row],[Type]]="EM",IF((Table3[[#This Row],[Diameter]]/2)-Table3[[#This Row],[CornerRadius]]-0.012&gt;0,(Table3[[#This Row],[Diameter]]/2)-Table3[[#This Row],[CornerRadius]]-0.012,0),)</f>
        <v>0</v>
      </c>
      <c r="CE240" s="6" t="str">
        <f>IF(Table3[[#This Row],[ShoulderLength]]="","",IF(Table3[[#This Row],[ShoulderLength]]&lt;Table3[[#This Row],[LOC]],"FIX",""))</f>
        <v/>
      </c>
    </row>
    <row r="241" spans="1:83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0</v>
      </c>
      <c r="BO241" s="6">
        <v>0</v>
      </c>
      <c r="BP241" s="6">
        <v>0</v>
      </c>
      <c r="BQ241" s="6">
        <v>0</v>
      </c>
      <c r="BR241" s="6">
        <v>0</v>
      </c>
      <c r="BS241" s="6">
        <v>0</v>
      </c>
      <c r="BT241" s="6">
        <v>0</v>
      </c>
      <c r="BU241" s="6">
        <v>0</v>
      </c>
      <c r="BV241" s="6">
        <v>0</v>
      </c>
      <c r="BW241" s="6">
        <v>0</v>
      </c>
      <c r="BX241" s="6">
        <v>0</v>
      </c>
      <c r="BY241" s="6">
        <v>0</v>
      </c>
      <c r="BZ241" s="6">
        <v>0</v>
      </c>
      <c r="CA241" s="6">
        <v>0</v>
      </c>
      <c r="CB241" s="6">
        <v>0</v>
      </c>
      <c r="CC241" s="6">
        <f>IF(Table3[[#This Row],[Type]]="EM",IF((Table3[[#This Row],[Diameter]]/2)-Table3[[#This Row],[CornerRadius]]-0.012&gt;0,(Table3[[#This Row],[Diameter]]/2)-Table3[[#This Row],[CornerRadius]]-0.012,0),)</f>
        <v>0</v>
      </c>
      <c r="CE241" s="6" t="str">
        <f>IF(Table3[[#This Row],[ShoulderLength]]="","",IF(Table3[[#This Row],[ShoulderLength]]&lt;Table3[[#This Row],[LOC]],"FIX",""))</f>
        <v/>
      </c>
    </row>
    <row r="242" spans="1:83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0</v>
      </c>
      <c r="BO242" s="6">
        <v>0</v>
      </c>
      <c r="BP242" s="6">
        <v>0</v>
      </c>
      <c r="BQ242" s="6">
        <v>0</v>
      </c>
      <c r="BR242" s="6">
        <v>0</v>
      </c>
      <c r="BS242" s="6">
        <v>0</v>
      </c>
      <c r="BT242" s="6">
        <v>0</v>
      </c>
      <c r="BU242" s="6">
        <v>0</v>
      </c>
      <c r="BV242" s="6">
        <v>0</v>
      </c>
      <c r="BW242" s="6">
        <v>0</v>
      </c>
      <c r="BX242" s="6">
        <v>0</v>
      </c>
      <c r="BY242" s="6">
        <v>0</v>
      </c>
      <c r="BZ242" s="6">
        <v>0</v>
      </c>
      <c r="CA242" s="6">
        <v>0</v>
      </c>
      <c r="CB242" s="6">
        <v>0</v>
      </c>
      <c r="CC242" s="6">
        <f>IF(Table3[[#This Row],[Type]]="EM",IF((Table3[[#This Row],[Diameter]]/2)-Table3[[#This Row],[CornerRadius]]-0.012&gt;0,(Table3[[#This Row],[Diameter]]/2)-Table3[[#This Row],[CornerRadius]]-0.012,0),)</f>
        <v>0</v>
      </c>
      <c r="CE242" s="6" t="str">
        <f>IF(Table3[[#This Row],[ShoulderLength]]="","",IF(Table3[[#This Row],[ShoulderLength]]&lt;Table3[[#This Row],[LOC]],"FIX",""))</f>
        <v/>
      </c>
    </row>
    <row r="243" spans="1:83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0</v>
      </c>
      <c r="BO243" s="6">
        <v>0</v>
      </c>
      <c r="BP243" s="6">
        <v>0</v>
      </c>
      <c r="BQ243" s="6">
        <v>0</v>
      </c>
      <c r="BR243" s="6">
        <v>0</v>
      </c>
      <c r="BS243" s="6">
        <v>0</v>
      </c>
      <c r="BT243" s="6">
        <v>0</v>
      </c>
      <c r="BU243" s="6">
        <v>0</v>
      </c>
      <c r="BV243" s="6">
        <v>0</v>
      </c>
      <c r="BW243" s="6">
        <v>0</v>
      </c>
      <c r="BX243" s="6">
        <v>0</v>
      </c>
      <c r="BY243" s="6">
        <v>0</v>
      </c>
      <c r="BZ243" s="6">
        <v>0</v>
      </c>
      <c r="CA243" s="6">
        <v>0</v>
      </c>
      <c r="CB243" s="6">
        <v>0</v>
      </c>
      <c r="CC243" s="6">
        <f>IF(Table3[[#This Row],[Type]]="EM",IF((Table3[[#This Row],[Diameter]]/2)-Table3[[#This Row],[CornerRadius]]-0.012&gt;0,(Table3[[#This Row],[Diameter]]/2)-Table3[[#This Row],[CornerRadius]]-0.012,0),)</f>
        <v>0</v>
      </c>
      <c r="CE243" s="6" t="str">
        <f>IF(Table3[[#This Row],[ShoulderLength]]="","",IF(Table3[[#This Row],[ShoulderLength]]&lt;Table3[[#This Row],[LOC]],"FIX",""))</f>
        <v/>
      </c>
    </row>
    <row r="244" spans="1:83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0</v>
      </c>
      <c r="BO244" s="6">
        <v>0</v>
      </c>
      <c r="BP244" s="6">
        <v>0</v>
      </c>
      <c r="BQ244" s="6">
        <v>0</v>
      </c>
      <c r="BR244" s="6">
        <v>0</v>
      </c>
      <c r="BS244" s="6">
        <v>0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>
        <v>0</v>
      </c>
      <c r="CA244" s="6">
        <v>0</v>
      </c>
      <c r="CB244" s="6">
        <v>0</v>
      </c>
      <c r="CC244" s="6">
        <f>IF(Table3[[#This Row],[Type]]="EM",IF((Table3[[#This Row],[Diameter]]/2)-Table3[[#This Row],[CornerRadius]]-0.012&gt;0,(Table3[[#This Row],[Diameter]]/2)-Table3[[#This Row],[CornerRadius]]-0.012,0),)</f>
        <v>0</v>
      </c>
      <c r="CE244" s="6" t="str">
        <f>IF(Table3[[#This Row],[ShoulderLength]]="","",IF(Table3[[#This Row],[ShoulderLength]]&lt;Table3[[#This Row],[LOC]],"FIX",""))</f>
        <v/>
      </c>
    </row>
    <row r="245" spans="1:83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0</v>
      </c>
      <c r="BO245" s="6">
        <v>0</v>
      </c>
      <c r="BP245" s="6">
        <v>0</v>
      </c>
      <c r="BQ245" s="6">
        <v>0</v>
      </c>
      <c r="BR245" s="6">
        <v>0</v>
      </c>
      <c r="BS245" s="6">
        <v>0</v>
      </c>
      <c r="BT245" s="6">
        <v>0</v>
      </c>
      <c r="BU245" s="6">
        <v>0</v>
      </c>
      <c r="BV245" s="6">
        <v>0</v>
      </c>
      <c r="BW245" s="6">
        <v>0</v>
      </c>
      <c r="BX245" s="6">
        <v>0</v>
      </c>
      <c r="BY245" s="6">
        <v>0</v>
      </c>
      <c r="BZ245" s="6">
        <v>0</v>
      </c>
      <c r="CA245" s="6">
        <v>0</v>
      </c>
      <c r="CB245" s="6">
        <v>0</v>
      </c>
      <c r="CC245" s="6">
        <f>IF(Table3[[#This Row],[Type]]="EM",IF((Table3[[#This Row],[Diameter]]/2)-Table3[[#This Row],[CornerRadius]]-0.012&gt;0,(Table3[[#This Row],[Diameter]]/2)-Table3[[#This Row],[CornerRadius]]-0.012,0),)</f>
        <v>0</v>
      </c>
      <c r="CE245" s="6" t="str">
        <f>IF(Table3[[#This Row],[ShoulderLength]]="","",IF(Table3[[#This Row],[ShoulderLength]]&lt;Table3[[#This Row],[LOC]],"FIX",""))</f>
        <v/>
      </c>
    </row>
    <row r="246" spans="1:83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0</v>
      </c>
      <c r="BO246" s="6">
        <v>0</v>
      </c>
      <c r="BP246" s="6">
        <v>0</v>
      </c>
      <c r="BQ246" s="6">
        <v>0</v>
      </c>
      <c r="BR246" s="6">
        <v>0</v>
      </c>
      <c r="BS246" s="6">
        <v>0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>
        <v>0</v>
      </c>
      <c r="CA246" s="6">
        <v>0</v>
      </c>
      <c r="CB246" s="6">
        <v>0</v>
      </c>
      <c r="CC246" s="6">
        <f>IF(Table3[[#This Row],[Type]]="EM",IF((Table3[[#This Row],[Diameter]]/2)-Table3[[#This Row],[CornerRadius]]-0.012&gt;0,(Table3[[#This Row],[Diameter]]/2)-Table3[[#This Row],[CornerRadius]]-0.012,0),)</f>
        <v>0</v>
      </c>
      <c r="CE246" s="6" t="str">
        <f>IF(Table3[[#This Row],[ShoulderLength]]="","",IF(Table3[[#This Row],[ShoulderLength]]&lt;Table3[[#This Row],[LOC]],"FIX",""))</f>
        <v/>
      </c>
    </row>
    <row r="247" spans="1:83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0</v>
      </c>
      <c r="BO247" s="6">
        <v>0</v>
      </c>
      <c r="BP247" s="6">
        <v>0</v>
      </c>
      <c r="BQ247" s="6">
        <v>0</v>
      </c>
      <c r="BR247" s="6">
        <v>0</v>
      </c>
      <c r="BS247" s="6">
        <v>0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>
        <v>0</v>
      </c>
      <c r="CA247" s="6">
        <v>0</v>
      </c>
      <c r="CB247" s="6">
        <v>0</v>
      </c>
      <c r="CC247" s="6">
        <f>IF(Table3[[#This Row],[Type]]="EM",IF((Table3[[#This Row],[Diameter]]/2)-Table3[[#This Row],[CornerRadius]]-0.012&gt;0,(Table3[[#This Row],[Diameter]]/2)-Table3[[#This Row],[CornerRadius]]-0.012,0),)</f>
        <v>0</v>
      </c>
      <c r="CE247" s="6" t="str">
        <f>IF(Table3[[#This Row],[ShoulderLength]]="","",IF(Table3[[#This Row],[ShoulderLength]]&lt;Table3[[#This Row],[LOC]],"FIX",""))</f>
        <v/>
      </c>
    </row>
    <row r="248" spans="1:83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0</v>
      </c>
      <c r="BO248" s="6">
        <v>0</v>
      </c>
      <c r="BP248" s="6">
        <v>0</v>
      </c>
      <c r="BQ248" s="6">
        <v>0</v>
      </c>
      <c r="BR248" s="6">
        <v>0</v>
      </c>
      <c r="BS248" s="6">
        <v>0</v>
      </c>
      <c r="BT248" s="6">
        <v>0</v>
      </c>
      <c r="BU248" s="6">
        <v>0</v>
      </c>
      <c r="BV248" s="6">
        <v>0</v>
      </c>
      <c r="BW248" s="6">
        <v>0</v>
      </c>
      <c r="BX248" s="6">
        <v>0</v>
      </c>
      <c r="BY248" s="6">
        <v>0</v>
      </c>
      <c r="BZ248" s="6">
        <v>0</v>
      </c>
      <c r="CA248" s="6">
        <v>0</v>
      </c>
      <c r="CB248" s="6">
        <v>0</v>
      </c>
      <c r="CC248" s="6">
        <f>IF(Table3[[#This Row],[Type]]="EM",IF((Table3[[#This Row],[Diameter]]/2)-Table3[[#This Row],[CornerRadius]]-0.012&gt;0,(Table3[[#This Row],[Diameter]]/2)-Table3[[#This Row],[CornerRadius]]-0.012,0),)</f>
        <v>0</v>
      </c>
      <c r="CE248" s="6" t="str">
        <f>IF(Table3[[#This Row],[ShoulderLength]]="","",IF(Table3[[#This Row],[ShoulderLength]]&lt;Table3[[#This Row],[LOC]],"FIX",""))</f>
        <v/>
      </c>
    </row>
    <row r="249" spans="1:83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0</v>
      </c>
      <c r="BO249" s="6">
        <v>0</v>
      </c>
      <c r="BP249" s="6">
        <v>0</v>
      </c>
      <c r="BQ249" s="6">
        <v>0</v>
      </c>
      <c r="BR249" s="6">
        <v>0</v>
      </c>
      <c r="BS249" s="6">
        <v>0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>
        <v>0</v>
      </c>
      <c r="CA249" s="6">
        <v>0</v>
      </c>
      <c r="CB249" s="6">
        <v>0</v>
      </c>
      <c r="CC249" s="6">
        <f>IF(Table3[[#This Row],[Type]]="EM",IF((Table3[[#This Row],[Diameter]]/2)-Table3[[#This Row],[CornerRadius]]-0.012&gt;0,(Table3[[#This Row],[Diameter]]/2)-Table3[[#This Row],[CornerRadius]]-0.012,0),)</f>
        <v>0</v>
      </c>
      <c r="CE249" s="6" t="str">
        <f>IF(Table3[[#This Row],[ShoulderLength]]="","",IF(Table3[[#This Row],[ShoulderLength]]&lt;Table3[[#This Row],[LOC]],"FIX",""))</f>
        <v/>
      </c>
    </row>
    <row r="250" spans="1:83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0</v>
      </c>
      <c r="BO250" s="6">
        <v>0</v>
      </c>
      <c r="BP250" s="6">
        <v>0</v>
      </c>
      <c r="BQ250" s="6">
        <v>0</v>
      </c>
      <c r="BR250" s="6">
        <v>0</v>
      </c>
      <c r="BS250" s="6">
        <v>0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>
        <v>0</v>
      </c>
      <c r="CA250" s="6">
        <v>0</v>
      </c>
      <c r="CB250" s="6">
        <v>0</v>
      </c>
      <c r="CC250" s="6">
        <f>IF(Table3[[#This Row],[Type]]="EM",IF((Table3[[#This Row],[Diameter]]/2)-Table3[[#This Row],[CornerRadius]]-0.012&gt;0,(Table3[[#This Row],[Diameter]]/2)-Table3[[#This Row],[CornerRadius]]-0.012,0),)</f>
        <v>0</v>
      </c>
      <c r="CE250" s="6" t="str">
        <f>IF(Table3[[#This Row],[ShoulderLength]]="","",IF(Table3[[#This Row],[ShoulderLength]]&lt;Table3[[#This Row],[LOC]],"FIX",""))</f>
        <v/>
      </c>
    </row>
    <row r="251" spans="1:83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0</v>
      </c>
      <c r="BO251" s="6">
        <v>0</v>
      </c>
      <c r="BP251" s="6">
        <v>0</v>
      </c>
      <c r="BQ251" s="6">
        <v>0</v>
      </c>
      <c r="BR251" s="6">
        <v>0</v>
      </c>
      <c r="BS251" s="6">
        <v>0</v>
      </c>
      <c r="BT251" s="6">
        <v>0</v>
      </c>
      <c r="BU251" s="6">
        <v>0</v>
      </c>
      <c r="BV251" s="6">
        <v>0</v>
      </c>
      <c r="BW251" s="6">
        <v>0</v>
      </c>
      <c r="BX251" s="6">
        <v>0</v>
      </c>
      <c r="BY251" s="6">
        <v>0</v>
      </c>
      <c r="BZ251" s="6">
        <v>0</v>
      </c>
      <c r="CA251" s="6">
        <v>0</v>
      </c>
      <c r="CB251" s="6">
        <v>0</v>
      </c>
      <c r="CC251" s="6">
        <f>IF(Table3[[#This Row],[Type]]="EM",IF((Table3[[#This Row],[Diameter]]/2)-Table3[[#This Row],[CornerRadius]]-0.012&gt;0,(Table3[[#This Row],[Diameter]]/2)-Table3[[#This Row],[CornerRadius]]-0.012,0),)</f>
        <v>0</v>
      </c>
      <c r="CE251" s="6" t="str">
        <f>IF(Table3[[#This Row],[ShoulderLength]]="","",IF(Table3[[#This Row],[ShoulderLength]]&lt;Table3[[#This Row],[LOC]],"FIX",""))</f>
        <v/>
      </c>
    </row>
    <row r="252" spans="1:83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0</v>
      </c>
      <c r="BO252" s="6">
        <v>0</v>
      </c>
      <c r="BP252" s="6">
        <v>0</v>
      </c>
      <c r="BQ252" s="6">
        <v>0</v>
      </c>
      <c r="BR252" s="6">
        <v>0</v>
      </c>
      <c r="BS252" s="6">
        <v>0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>
        <v>0</v>
      </c>
      <c r="CA252" s="6">
        <v>0</v>
      </c>
      <c r="CB252" s="6">
        <v>0</v>
      </c>
      <c r="CC252" s="6">
        <f>IF(Table3[[#This Row],[Type]]="EM",IF((Table3[[#This Row],[Diameter]]/2)-Table3[[#This Row],[CornerRadius]]-0.012&gt;0,(Table3[[#This Row],[Diameter]]/2)-Table3[[#This Row],[CornerRadius]]-0.012,0),)</f>
        <v>0</v>
      </c>
      <c r="CE252" s="6" t="str">
        <f>IF(Table3[[#This Row],[ShoulderLength]]="","",IF(Table3[[#This Row],[ShoulderLength]]&lt;Table3[[#This Row],[LOC]],"FIX",""))</f>
        <v/>
      </c>
    </row>
    <row r="253" spans="1:83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0</v>
      </c>
      <c r="BO253" s="6">
        <v>0</v>
      </c>
      <c r="BP253" s="6">
        <v>0</v>
      </c>
      <c r="BQ253" s="6">
        <v>0</v>
      </c>
      <c r="BR253" s="6">
        <v>0</v>
      </c>
      <c r="BS253" s="6">
        <v>0</v>
      </c>
      <c r="BT253" s="6">
        <v>0</v>
      </c>
      <c r="BU253" s="6">
        <v>0</v>
      </c>
      <c r="BV253" s="6">
        <v>0</v>
      </c>
      <c r="BW253" s="6">
        <v>0</v>
      </c>
      <c r="BX253" s="6">
        <v>0</v>
      </c>
      <c r="BY253" s="6">
        <v>0</v>
      </c>
      <c r="BZ253" s="6">
        <v>0</v>
      </c>
      <c r="CA253" s="6">
        <v>0</v>
      </c>
      <c r="CB253" s="6">
        <v>0</v>
      </c>
      <c r="CC253" s="6">
        <f>IF(Table3[[#This Row],[Type]]="EM",IF((Table3[[#This Row],[Diameter]]/2)-Table3[[#This Row],[CornerRadius]]-0.012&gt;0,(Table3[[#This Row],[Diameter]]/2)-Table3[[#This Row],[CornerRadius]]-0.012,0),)</f>
        <v>0</v>
      </c>
      <c r="CE253" s="6" t="str">
        <f>IF(Table3[[#This Row],[ShoulderLength]]="","",IF(Table3[[#This Row],[ShoulderLength]]&lt;Table3[[#This Row],[LOC]],"FIX",""))</f>
        <v/>
      </c>
    </row>
    <row r="254" spans="1:83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v>0</v>
      </c>
      <c r="BN254" s="6">
        <v>0</v>
      </c>
      <c r="BO254" s="6">
        <v>0</v>
      </c>
      <c r="BP254" s="6">
        <v>0</v>
      </c>
      <c r="BQ254" s="6">
        <v>0</v>
      </c>
      <c r="BR254" s="6">
        <v>0</v>
      </c>
      <c r="BS254" s="6">
        <v>0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>
        <v>0</v>
      </c>
      <c r="CA254" s="6">
        <v>0</v>
      </c>
      <c r="CB254" s="6">
        <v>0</v>
      </c>
      <c r="CC254" s="6">
        <f>IF(Table3[[#This Row],[Type]]="EM",IF((Table3[[#This Row],[Diameter]]/2)-Table3[[#This Row],[CornerRadius]]-0.012&gt;0,(Table3[[#This Row],[Diameter]]/2)-Table3[[#This Row],[CornerRadius]]-0.012,0),)</f>
        <v>0</v>
      </c>
      <c r="CE254" s="6" t="str">
        <f>IF(Table3[[#This Row],[ShoulderLength]]="","",IF(Table3[[#This Row],[ShoulderLength]]&lt;Table3[[#This Row],[LOC]],"FIX",""))</f>
        <v/>
      </c>
    </row>
    <row r="255" spans="1:83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0</v>
      </c>
      <c r="BO255" s="6">
        <v>0</v>
      </c>
      <c r="BP255" s="6">
        <v>0</v>
      </c>
      <c r="BQ255" s="6">
        <v>0</v>
      </c>
      <c r="BR255" s="6">
        <v>0</v>
      </c>
      <c r="BS255" s="6">
        <v>0</v>
      </c>
      <c r="BT255" s="6">
        <v>0</v>
      </c>
      <c r="BU255" s="6">
        <v>0</v>
      </c>
      <c r="BV255" s="6">
        <v>0</v>
      </c>
      <c r="BW255" s="6">
        <v>0</v>
      </c>
      <c r="BX255" s="6">
        <v>0</v>
      </c>
      <c r="BY255" s="6">
        <v>0</v>
      </c>
      <c r="BZ255" s="6">
        <v>0</v>
      </c>
      <c r="CA255" s="6">
        <v>0</v>
      </c>
      <c r="CB255" s="6">
        <v>0</v>
      </c>
      <c r="CC255" s="6">
        <f>IF(Table3[[#This Row],[Type]]="EM",IF((Table3[[#This Row],[Diameter]]/2)-Table3[[#This Row],[CornerRadius]]-0.012&gt;0,(Table3[[#This Row],[Diameter]]/2)-Table3[[#This Row],[CornerRadius]]-0.012,0),)</f>
        <v>0</v>
      </c>
      <c r="CE255" s="6" t="str">
        <f>IF(Table3[[#This Row],[ShoulderLength]]="","",IF(Table3[[#This Row],[ShoulderLength]]&lt;Table3[[#This Row],[LOC]],"FIX",""))</f>
        <v/>
      </c>
    </row>
    <row r="256" spans="1:83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v>0</v>
      </c>
      <c r="BN256" s="6">
        <v>0</v>
      </c>
      <c r="BO256" s="6">
        <v>0</v>
      </c>
      <c r="BP256" s="6">
        <v>0</v>
      </c>
      <c r="BQ256" s="6">
        <v>0</v>
      </c>
      <c r="BR256" s="6">
        <v>0</v>
      </c>
      <c r="BS256" s="6">
        <v>0</v>
      </c>
      <c r="BT256" s="6">
        <v>0</v>
      </c>
      <c r="BU256" s="6">
        <v>0</v>
      </c>
      <c r="BV256" s="6">
        <v>0</v>
      </c>
      <c r="BW256" s="6">
        <v>0</v>
      </c>
      <c r="BX256" s="6">
        <v>0</v>
      </c>
      <c r="BY256" s="6">
        <v>0</v>
      </c>
      <c r="BZ256" s="6">
        <v>0</v>
      </c>
      <c r="CA256" s="6">
        <v>0</v>
      </c>
      <c r="CB256" s="6">
        <v>0</v>
      </c>
      <c r="CC256" s="6">
        <f>IF(Table3[[#This Row],[Type]]="EM",IF((Table3[[#This Row],[Diameter]]/2)-Table3[[#This Row],[CornerRadius]]-0.012&gt;0,(Table3[[#This Row],[Diameter]]/2)-Table3[[#This Row],[CornerRadius]]-0.012,0),)</f>
        <v>0</v>
      </c>
      <c r="CE256" s="6" t="str">
        <f>IF(Table3[[#This Row],[ShoulderLength]]="","",IF(Table3[[#This Row],[ShoulderLength]]&lt;Table3[[#This Row],[LOC]],"FIX",""))</f>
        <v/>
      </c>
    </row>
    <row r="257" spans="1:83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0</v>
      </c>
      <c r="BO257" s="6">
        <v>0</v>
      </c>
      <c r="BP257" s="6">
        <v>0</v>
      </c>
      <c r="BQ257" s="6">
        <v>0</v>
      </c>
      <c r="BR257" s="6">
        <v>0</v>
      </c>
      <c r="BS257" s="6">
        <v>0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>
        <v>0</v>
      </c>
      <c r="CA257" s="6">
        <v>0</v>
      </c>
      <c r="CB257" s="6">
        <v>0</v>
      </c>
      <c r="CC257" s="6">
        <f>IF(Table3[[#This Row],[Type]]="EM",IF((Table3[[#This Row],[Diameter]]/2)-Table3[[#This Row],[CornerRadius]]-0.012&gt;0,(Table3[[#This Row],[Diameter]]/2)-Table3[[#This Row],[CornerRadius]]-0.012,0),)</f>
        <v>0</v>
      </c>
      <c r="CE257" s="6" t="str">
        <f>IF(Table3[[#This Row],[ShoulderLength]]="","",IF(Table3[[#This Row],[ShoulderLength]]&lt;Table3[[#This Row],[LOC]],"FIX",""))</f>
        <v/>
      </c>
    </row>
    <row r="258" spans="1:83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v>0</v>
      </c>
      <c r="BN258" s="6">
        <v>0</v>
      </c>
      <c r="BO258" s="6">
        <v>0</v>
      </c>
      <c r="BP258" s="6">
        <v>0</v>
      </c>
      <c r="BQ258" s="6">
        <v>0</v>
      </c>
      <c r="BR258" s="6">
        <v>0</v>
      </c>
      <c r="BS258" s="6">
        <v>0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>
        <v>0</v>
      </c>
      <c r="CA258" s="6">
        <v>0</v>
      </c>
      <c r="CB258" s="6">
        <v>0</v>
      </c>
      <c r="CC258" s="6">
        <f>IF(Table3[[#This Row],[Type]]="EM",IF((Table3[[#This Row],[Diameter]]/2)-Table3[[#This Row],[CornerRadius]]-0.012&gt;0,(Table3[[#This Row],[Diameter]]/2)-Table3[[#This Row],[CornerRadius]]-0.012,0),)</f>
        <v>0</v>
      </c>
      <c r="CE258" s="6" t="str">
        <f>IF(Table3[[#This Row],[ShoulderLength]]="","",IF(Table3[[#This Row],[ShoulderLength]]&lt;Table3[[#This Row],[LOC]],"FIX",""))</f>
        <v/>
      </c>
    </row>
    <row r="259" spans="1:83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v>0</v>
      </c>
      <c r="BN259" s="6">
        <v>0</v>
      </c>
      <c r="BO259" s="6">
        <v>0</v>
      </c>
      <c r="BP259" s="6">
        <v>0</v>
      </c>
      <c r="BQ259" s="6">
        <v>0</v>
      </c>
      <c r="BR259" s="6">
        <v>0</v>
      </c>
      <c r="BS259" s="6">
        <v>0</v>
      </c>
      <c r="BT259" s="6">
        <v>0</v>
      </c>
      <c r="BU259" s="6">
        <v>0</v>
      </c>
      <c r="BV259" s="6">
        <v>0</v>
      </c>
      <c r="BW259" s="6">
        <v>0</v>
      </c>
      <c r="BX259" s="6">
        <v>0</v>
      </c>
      <c r="BY259" s="6">
        <v>0</v>
      </c>
      <c r="BZ259" s="6">
        <v>0</v>
      </c>
      <c r="CA259" s="6">
        <v>0</v>
      </c>
      <c r="CB259" s="6">
        <v>0</v>
      </c>
      <c r="CC259" s="6">
        <f>IF(Table3[[#This Row],[Type]]="EM",IF((Table3[[#This Row],[Diameter]]/2)-Table3[[#This Row],[CornerRadius]]-0.012&gt;0,(Table3[[#This Row],[Diameter]]/2)-Table3[[#This Row],[CornerRadius]]-0.012,0),)</f>
        <v>0</v>
      </c>
      <c r="CE259" s="6" t="str">
        <f>IF(Table3[[#This Row],[ShoulderLength]]="","",IF(Table3[[#This Row],[ShoulderLength]]&lt;Table3[[#This Row],[LOC]],"FIX",""))</f>
        <v/>
      </c>
    </row>
    <row r="260" spans="1:83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0</v>
      </c>
      <c r="BO260" s="6">
        <v>0</v>
      </c>
      <c r="BP260" s="6">
        <v>0</v>
      </c>
      <c r="BQ260" s="6">
        <v>0</v>
      </c>
      <c r="BR260" s="6">
        <v>0</v>
      </c>
      <c r="BS260" s="6">
        <v>0</v>
      </c>
      <c r="BT260" s="6">
        <v>0</v>
      </c>
      <c r="BU260" s="6">
        <v>0</v>
      </c>
      <c r="BV260" s="6">
        <v>0</v>
      </c>
      <c r="BW260" s="6">
        <v>0</v>
      </c>
      <c r="BX260" s="6">
        <v>0</v>
      </c>
      <c r="BY260" s="6">
        <v>0</v>
      </c>
      <c r="BZ260" s="6">
        <v>0</v>
      </c>
      <c r="CA260" s="6">
        <v>0</v>
      </c>
      <c r="CB260" s="6">
        <v>0</v>
      </c>
      <c r="CC260" s="6">
        <f>IF(Table3[[#This Row],[Type]]="EM",IF((Table3[[#This Row],[Diameter]]/2)-Table3[[#This Row],[CornerRadius]]-0.012&gt;0,(Table3[[#This Row],[Diameter]]/2)-Table3[[#This Row],[CornerRadius]]-0.012,0),)</f>
        <v>0</v>
      </c>
      <c r="CE260" s="6" t="str">
        <f>IF(Table3[[#This Row],[ShoulderLength]]="","",IF(Table3[[#This Row],[ShoulderLength]]&lt;Table3[[#This Row],[LOC]],"FIX",""))</f>
        <v/>
      </c>
    </row>
    <row r="261" spans="1:83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0</v>
      </c>
      <c r="BO261" s="6">
        <v>0</v>
      </c>
      <c r="BP261" s="6">
        <v>0</v>
      </c>
      <c r="BQ261" s="6">
        <v>0</v>
      </c>
      <c r="BR261" s="6">
        <v>0</v>
      </c>
      <c r="BS261" s="6">
        <v>0</v>
      </c>
      <c r="BT261" s="6">
        <v>0</v>
      </c>
      <c r="BU261" s="6">
        <v>0</v>
      </c>
      <c r="BV261" s="6">
        <v>0</v>
      </c>
      <c r="BW261" s="6">
        <v>0</v>
      </c>
      <c r="BX261" s="6">
        <v>0</v>
      </c>
      <c r="BY261" s="6">
        <v>0</v>
      </c>
      <c r="BZ261" s="6">
        <v>0</v>
      </c>
      <c r="CA261" s="6">
        <v>0</v>
      </c>
      <c r="CB261" s="6">
        <v>0</v>
      </c>
      <c r="CC261" s="6">
        <f>IF(Table3[[#This Row],[Type]]="EM",IF((Table3[[#This Row],[Diameter]]/2)-Table3[[#This Row],[CornerRadius]]-0.012&gt;0,(Table3[[#This Row],[Diameter]]/2)-Table3[[#This Row],[CornerRadius]]-0.012,0),)</f>
        <v>0</v>
      </c>
      <c r="CE261" s="6" t="str">
        <f>IF(Table3[[#This Row],[ShoulderLength]]="","",IF(Table3[[#This Row],[ShoulderLength]]&lt;Table3[[#This Row],[LOC]],"FIX",""))</f>
        <v/>
      </c>
    </row>
    <row r="262" spans="1:83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0</v>
      </c>
      <c r="BO262" s="6">
        <v>0</v>
      </c>
      <c r="BP262" s="6">
        <v>0</v>
      </c>
      <c r="BQ262" s="6">
        <v>0</v>
      </c>
      <c r="BR262" s="6">
        <v>0</v>
      </c>
      <c r="BS262" s="6">
        <v>0</v>
      </c>
      <c r="BT262" s="6">
        <v>0</v>
      </c>
      <c r="BU262" s="6">
        <v>0</v>
      </c>
      <c r="BV262" s="6">
        <v>0</v>
      </c>
      <c r="BW262" s="6">
        <v>0</v>
      </c>
      <c r="BX262" s="6">
        <v>0</v>
      </c>
      <c r="BY262" s="6">
        <v>0</v>
      </c>
      <c r="BZ262" s="6">
        <v>0</v>
      </c>
      <c r="CA262" s="6">
        <v>0</v>
      </c>
      <c r="CB262" s="6">
        <v>0</v>
      </c>
      <c r="CC262" s="6">
        <f>IF(Table3[[#This Row],[Type]]="EM",IF((Table3[[#This Row],[Diameter]]/2)-Table3[[#This Row],[CornerRadius]]-0.012&gt;0,(Table3[[#This Row],[Diameter]]/2)-Table3[[#This Row],[CornerRadius]]-0.012,0),)</f>
        <v>0</v>
      </c>
      <c r="CE262" s="6" t="str">
        <f>IF(Table3[[#This Row],[ShoulderLength]]="","",IF(Table3[[#This Row],[ShoulderLength]]&lt;Table3[[#This Row],[LOC]],"FIX",""))</f>
        <v/>
      </c>
    </row>
    <row r="263" spans="1:83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0</v>
      </c>
      <c r="BO263" s="6">
        <v>0</v>
      </c>
      <c r="BP263" s="6">
        <v>0</v>
      </c>
      <c r="BQ263" s="6">
        <v>0</v>
      </c>
      <c r="BR263" s="6">
        <v>0</v>
      </c>
      <c r="BS263" s="6">
        <v>0</v>
      </c>
      <c r="BT263" s="6">
        <v>0</v>
      </c>
      <c r="BU263" s="6">
        <v>0</v>
      </c>
      <c r="BV263" s="6">
        <v>0</v>
      </c>
      <c r="BW263" s="6">
        <v>0</v>
      </c>
      <c r="BX263" s="6">
        <v>0</v>
      </c>
      <c r="BY263" s="6">
        <v>0</v>
      </c>
      <c r="BZ263" s="6">
        <v>0</v>
      </c>
      <c r="CA263" s="6">
        <v>0</v>
      </c>
      <c r="CB263" s="6">
        <v>0</v>
      </c>
      <c r="CC263" s="6">
        <f>IF(Table3[[#This Row],[Type]]="EM",IF((Table3[[#This Row],[Diameter]]/2)-Table3[[#This Row],[CornerRadius]]-0.012&gt;0,(Table3[[#This Row],[Diameter]]/2)-Table3[[#This Row],[CornerRadius]]-0.012,0),)</f>
        <v>0</v>
      </c>
      <c r="CE263" s="6" t="str">
        <f>IF(Table3[[#This Row],[ShoulderLength]]="","",IF(Table3[[#This Row],[ShoulderLength]]&lt;Table3[[#This Row],[LOC]],"FIX",""))</f>
        <v/>
      </c>
    </row>
    <row r="264" spans="1:83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v>0</v>
      </c>
      <c r="BN264" s="6">
        <v>0</v>
      </c>
      <c r="BO264" s="6">
        <v>0</v>
      </c>
      <c r="BP264" s="6">
        <v>0</v>
      </c>
      <c r="BQ264" s="6">
        <v>0</v>
      </c>
      <c r="BR264" s="6">
        <v>0</v>
      </c>
      <c r="BS264" s="6">
        <v>0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>
        <v>0</v>
      </c>
      <c r="CA264" s="6">
        <v>0</v>
      </c>
      <c r="CB264" s="6">
        <v>0</v>
      </c>
      <c r="CC264" s="6">
        <f>IF(Table3[[#This Row],[Type]]="EM",IF((Table3[[#This Row],[Diameter]]/2)-Table3[[#This Row],[CornerRadius]]-0.012&gt;0,(Table3[[#This Row],[Diameter]]/2)-Table3[[#This Row],[CornerRadius]]-0.012,0),)</f>
        <v>0</v>
      </c>
      <c r="CE264" s="6" t="str">
        <f>IF(Table3[[#This Row],[ShoulderLength]]="","",IF(Table3[[#This Row],[ShoulderLength]]&lt;Table3[[#This Row],[LOC]],"FIX",""))</f>
        <v/>
      </c>
    </row>
    <row r="265" spans="1:83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0</v>
      </c>
      <c r="BO265" s="6">
        <v>0</v>
      </c>
      <c r="BP265" s="6">
        <v>0</v>
      </c>
      <c r="BQ265" s="6">
        <v>0</v>
      </c>
      <c r="BR265" s="6">
        <v>0</v>
      </c>
      <c r="BS265" s="6">
        <v>0</v>
      </c>
      <c r="BT265" s="6">
        <v>0</v>
      </c>
      <c r="BU265" s="6">
        <v>0</v>
      </c>
      <c r="BV265" s="6">
        <v>0</v>
      </c>
      <c r="BW265" s="6">
        <v>0</v>
      </c>
      <c r="BX265" s="6">
        <v>0</v>
      </c>
      <c r="BY265" s="6">
        <v>0</v>
      </c>
      <c r="BZ265" s="6">
        <v>0</v>
      </c>
      <c r="CA265" s="6">
        <v>0</v>
      </c>
      <c r="CB265" s="6">
        <v>0</v>
      </c>
      <c r="CC265" s="6">
        <f>IF(Table3[[#This Row],[Type]]="EM",IF((Table3[[#This Row],[Diameter]]/2)-Table3[[#This Row],[CornerRadius]]-0.012&gt;0,(Table3[[#This Row],[Diameter]]/2)-Table3[[#This Row],[CornerRadius]]-0.012,0),)</f>
        <v>0</v>
      </c>
      <c r="CE265" s="6" t="str">
        <f>IF(Table3[[#This Row],[ShoulderLength]]="","",IF(Table3[[#This Row],[ShoulderLength]]&lt;Table3[[#This Row],[LOC]],"FIX",""))</f>
        <v/>
      </c>
    </row>
    <row r="266" spans="1:83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0</v>
      </c>
      <c r="BO266" s="6">
        <v>0</v>
      </c>
      <c r="BP266" s="6">
        <v>0</v>
      </c>
      <c r="BQ266" s="6">
        <v>0</v>
      </c>
      <c r="BR266" s="6">
        <v>0</v>
      </c>
      <c r="BS266" s="6">
        <v>0</v>
      </c>
      <c r="BT266" s="6">
        <v>0</v>
      </c>
      <c r="BU266" s="6">
        <v>0</v>
      </c>
      <c r="BV266" s="6">
        <v>0</v>
      </c>
      <c r="BW266" s="6">
        <v>0</v>
      </c>
      <c r="BX266" s="6">
        <v>0</v>
      </c>
      <c r="BY266" s="6">
        <v>0</v>
      </c>
      <c r="BZ266" s="6">
        <v>0</v>
      </c>
      <c r="CA266" s="6">
        <v>0</v>
      </c>
      <c r="CB266" s="6">
        <v>0</v>
      </c>
      <c r="CC266" s="6">
        <f>IF(Table3[[#This Row],[Type]]="EM",IF((Table3[[#This Row],[Diameter]]/2)-Table3[[#This Row],[CornerRadius]]-0.012&gt;0,(Table3[[#This Row],[Diameter]]/2)-Table3[[#This Row],[CornerRadius]]-0.012,0),)</f>
        <v>0</v>
      </c>
      <c r="CE266" s="6" t="str">
        <f>IF(Table3[[#This Row],[ShoulderLength]]="","",IF(Table3[[#This Row],[ShoulderLength]]&lt;Table3[[#This Row],[LOC]],"FIX",""))</f>
        <v/>
      </c>
    </row>
    <row r="267" spans="1:83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0</v>
      </c>
      <c r="BO267" s="6">
        <v>0</v>
      </c>
      <c r="BP267" s="6">
        <v>0</v>
      </c>
      <c r="BQ267" s="6">
        <v>0</v>
      </c>
      <c r="BR267" s="6">
        <v>0</v>
      </c>
      <c r="BS267" s="6">
        <v>0</v>
      </c>
      <c r="BT267" s="6">
        <v>0</v>
      </c>
      <c r="BU267" s="6">
        <v>0</v>
      </c>
      <c r="BV267" s="6">
        <v>0</v>
      </c>
      <c r="BW267" s="6">
        <v>0</v>
      </c>
      <c r="BX267" s="6">
        <v>0</v>
      </c>
      <c r="BY267" s="6">
        <v>0</v>
      </c>
      <c r="BZ267" s="6">
        <v>0</v>
      </c>
      <c r="CA267" s="6">
        <v>0</v>
      </c>
      <c r="CB267" s="6">
        <v>0</v>
      </c>
      <c r="CC267" s="6">
        <f>IF(Table3[[#This Row],[Type]]="EM",IF((Table3[[#This Row],[Diameter]]/2)-Table3[[#This Row],[CornerRadius]]-0.012&gt;0,(Table3[[#This Row],[Diameter]]/2)-Table3[[#This Row],[CornerRadius]]-0.012,0),)</f>
        <v>0</v>
      </c>
      <c r="CE267" s="6" t="str">
        <f>IF(Table3[[#This Row],[ShoulderLength]]="","",IF(Table3[[#This Row],[ShoulderLength]]&lt;Table3[[#This Row],[LOC]],"FIX",""))</f>
        <v/>
      </c>
    </row>
    <row r="268" spans="1:83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0</v>
      </c>
      <c r="BO268" s="6">
        <v>0</v>
      </c>
      <c r="BP268" s="6">
        <v>0</v>
      </c>
      <c r="BQ268" s="6">
        <v>0</v>
      </c>
      <c r="BR268" s="6">
        <v>0</v>
      </c>
      <c r="BS268" s="6">
        <v>0</v>
      </c>
      <c r="BT268" s="6">
        <v>0</v>
      </c>
      <c r="BU268" s="6">
        <v>0</v>
      </c>
      <c r="BV268" s="6">
        <v>0</v>
      </c>
      <c r="BW268" s="6">
        <v>0</v>
      </c>
      <c r="BX268" s="6">
        <v>0</v>
      </c>
      <c r="BY268" s="6">
        <v>0</v>
      </c>
      <c r="BZ268" s="6">
        <v>0</v>
      </c>
      <c r="CA268" s="6">
        <v>0</v>
      </c>
      <c r="CB268" s="6">
        <v>0</v>
      </c>
      <c r="CC268" s="6">
        <f>IF(Table3[[#This Row],[Type]]="EM",IF((Table3[[#This Row],[Diameter]]/2)-Table3[[#This Row],[CornerRadius]]-0.012&gt;0,(Table3[[#This Row],[Diameter]]/2)-Table3[[#This Row],[CornerRadius]]-0.012,0),)</f>
        <v>0</v>
      </c>
      <c r="CE268" s="6" t="str">
        <f>IF(Table3[[#This Row],[ShoulderLength]]="","",IF(Table3[[#This Row],[ShoulderLength]]&lt;Table3[[#This Row],[LOC]],"FIX",""))</f>
        <v/>
      </c>
    </row>
    <row r="269" spans="1:83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0</v>
      </c>
      <c r="BO269" s="6">
        <v>0</v>
      </c>
      <c r="BP269" s="6">
        <v>0</v>
      </c>
      <c r="BQ269" s="6">
        <v>0</v>
      </c>
      <c r="BR269" s="6">
        <v>0</v>
      </c>
      <c r="BS269" s="6">
        <v>0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>
        <v>0</v>
      </c>
      <c r="CA269" s="6">
        <v>0</v>
      </c>
      <c r="CB269" s="6">
        <v>0</v>
      </c>
      <c r="CC269" s="6">
        <f>IF(Table3[[#This Row],[Type]]="EM",IF((Table3[[#This Row],[Diameter]]/2)-Table3[[#This Row],[CornerRadius]]-0.012&gt;0,(Table3[[#This Row],[Diameter]]/2)-Table3[[#This Row],[CornerRadius]]-0.012,0),)</f>
        <v>0</v>
      </c>
      <c r="CE269" s="6" t="str">
        <f>IF(Table3[[#This Row],[ShoulderLength]]="","",IF(Table3[[#This Row],[ShoulderLength]]&lt;Table3[[#This Row],[LOC]],"FIX",""))</f>
        <v/>
      </c>
    </row>
    <row r="270" spans="1:83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0</v>
      </c>
      <c r="BO270" s="6">
        <v>0</v>
      </c>
      <c r="BP270" s="6">
        <v>0</v>
      </c>
      <c r="BQ270" s="6">
        <v>0</v>
      </c>
      <c r="BR270" s="6">
        <v>0</v>
      </c>
      <c r="BS270" s="6">
        <v>0</v>
      </c>
      <c r="BT270" s="6">
        <v>0</v>
      </c>
      <c r="BU270" s="6">
        <v>0</v>
      </c>
      <c r="BV270" s="6">
        <v>0</v>
      </c>
      <c r="BW270" s="6">
        <v>0</v>
      </c>
      <c r="BX270" s="6">
        <v>0</v>
      </c>
      <c r="BY270" s="6">
        <v>0</v>
      </c>
      <c r="BZ270" s="6">
        <v>0</v>
      </c>
      <c r="CA270" s="6">
        <v>0</v>
      </c>
      <c r="CB270" s="6">
        <v>0</v>
      </c>
      <c r="CC270" s="6">
        <f>IF(Table3[[#This Row],[Type]]="EM",IF((Table3[[#This Row],[Diameter]]/2)-Table3[[#This Row],[CornerRadius]]-0.012&gt;0,(Table3[[#This Row],[Diameter]]/2)-Table3[[#This Row],[CornerRadius]]-0.012,0),)</f>
        <v>0</v>
      </c>
      <c r="CE270" s="6" t="str">
        <f>IF(Table3[[#This Row],[ShoulderLength]]="","",IF(Table3[[#This Row],[ShoulderLength]]&lt;Table3[[#This Row],[LOC]],"FIX",""))</f>
        <v/>
      </c>
    </row>
    <row r="271" spans="1:83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0</v>
      </c>
      <c r="BO271" s="6">
        <v>0</v>
      </c>
      <c r="BP271" s="6">
        <v>0</v>
      </c>
      <c r="BQ271" s="6">
        <v>0</v>
      </c>
      <c r="BR271" s="6">
        <v>0</v>
      </c>
      <c r="BS271" s="6">
        <v>0</v>
      </c>
      <c r="BT271" s="6">
        <v>0</v>
      </c>
      <c r="BU271" s="6">
        <v>0</v>
      </c>
      <c r="BV271" s="6">
        <v>0</v>
      </c>
      <c r="BW271" s="6">
        <v>0</v>
      </c>
      <c r="BX271" s="6">
        <v>0</v>
      </c>
      <c r="BY271" s="6">
        <v>0</v>
      </c>
      <c r="BZ271" s="6">
        <v>0</v>
      </c>
      <c r="CA271" s="6">
        <v>0</v>
      </c>
      <c r="CB271" s="6">
        <v>0</v>
      </c>
      <c r="CC271" s="6">
        <f>IF(Table3[[#This Row],[Type]]="EM",IF((Table3[[#This Row],[Diameter]]/2)-Table3[[#This Row],[CornerRadius]]-0.012&gt;0,(Table3[[#This Row],[Diameter]]/2)-Table3[[#This Row],[CornerRadius]]-0.012,0),)</f>
        <v>0</v>
      </c>
      <c r="CE271" s="6" t="str">
        <f>IF(Table3[[#This Row],[ShoulderLength]]="","",IF(Table3[[#This Row],[ShoulderLength]]&lt;Table3[[#This Row],[LOC]],"FIX",""))</f>
        <v/>
      </c>
    </row>
    <row r="272" spans="1:83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0</v>
      </c>
      <c r="BO272" s="6">
        <v>0</v>
      </c>
      <c r="BP272" s="6">
        <v>0</v>
      </c>
      <c r="BQ272" s="6">
        <v>0</v>
      </c>
      <c r="BR272" s="6">
        <v>0</v>
      </c>
      <c r="BS272" s="6">
        <v>0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>
        <v>0</v>
      </c>
      <c r="CA272" s="6">
        <v>0</v>
      </c>
      <c r="CB272" s="6">
        <v>0</v>
      </c>
      <c r="CC272" s="6">
        <f>IF(Table3[[#This Row],[Type]]="EM",IF((Table3[[#This Row],[Diameter]]/2)-Table3[[#This Row],[CornerRadius]]-0.012&gt;0,(Table3[[#This Row],[Diameter]]/2)-Table3[[#This Row],[CornerRadius]]-0.012,0),)</f>
        <v>0</v>
      </c>
      <c r="CE272" s="6" t="str">
        <f>IF(Table3[[#This Row],[ShoulderLength]]="","",IF(Table3[[#This Row],[ShoulderLength]]&lt;Table3[[#This Row],[LOC]],"FIX",""))</f>
        <v/>
      </c>
    </row>
    <row r="273" spans="1:83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0</v>
      </c>
      <c r="BO273" s="6">
        <v>0</v>
      </c>
      <c r="BP273" s="6">
        <v>0</v>
      </c>
      <c r="BQ273" s="6">
        <v>0</v>
      </c>
      <c r="BR273" s="6">
        <v>0</v>
      </c>
      <c r="BS273" s="6">
        <v>0</v>
      </c>
      <c r="BT273" s="6">
        <v>0</v>
      </c>
      <c r="BU273" s="6">
        <v>0</v>
      </c>
      <c r="BV273" s="6">
        <v>0</v>
      </c>
      <c r="BW273" s="6">
        <v>0</v>
      </c>
      <c r="BX273" s="6">
        <v>0</v>
      </c>
      <c r="BY273" s="6">
        <v>0</v>
      </c>
      <c r="BZ273" s="6">
        <v>0</v>
      </c>
      <c r="CA273" s="6">
        <v>0</v>
      </c>
      <c r="CB273" s="6">
        <v>0</v>
      </c>
      <c r="CC273" s="6">
        <f>IF(Table3[[#This Row],[Type]]="EM",IF((Table3[[#This Row],[Diameter]]/2)-Table3[[#This Row],[CornerRadius]]-0.012&gt;0,(Table3[[#This Row],[Diameter]]/2)-Table3[[#This Row],[CornerRadius]]-0.012,0),)</f>
        <v>0</v>
      </c>
      <c r="CE273" s="6" t="str">
        <f>IF(Table3[[#This Row],[ShoulderLength]]="","",IF(Table3[[#This Row],[ShoulderLength]]&lt;Table3[[#This Row],[LOC]],"FIX",""))</f>
        <v/>
      </c>
    </row>
    <row r="274" spans="1:83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0</v>
      </c>
      <c r="BO274" s="6">
        <v>0</v>
      </c>
      <c r="BP274" s="6">
        <v>0</v>
      </c>
      <c r="BQ274" s="6">
        <v>0</v>
      </c>
      <c r="BR274" s="6">
        <v>0</v>
      </c>
      <c r="BS274" s="6">
        <v>0</v>
      </c>
      <c r="BT274" s="6">
        <v>0</v>
      </c>
      <c r="BU274" s="6">
        <v>0</v>
      </c>
      <c r="BV274" s="6">
        <v>0</v>
      </c>
      <c r="BW274" s="6">
        <v>0</v>
      </c>
      <c r="BX274" s="6">
        <v>0</v>
      </c>
      <c r="BY274" s="6">
        <v>0</v>
      </c>
      <c r="BZ274" s="6">
        <v>0</v>
      </c>
      <c r="CA274" s="6">
        <v>0</v>
      </c>
      <c r="CB274" s="6">
        <v>0</v>
      </c>
      <c r="CC274" s="6">
        <f>IF(Table3[[#This Row],[Type]]="EM",IF((Table3[[#This Row],[Diameter]]/2)-Table3[[#This Row],[CornerRadius]]-0.012&gt;0,(Table3[[#This Row],[Diameter]]/2)-Table3[[#This Row],[CornerRadius]]-0.012,0),)</f>
        <v>0</v>
      </c>
      <c r="CE274" s="6" t="str">
        <f>IF(Table3[[#This Row],[ShoulderLength]]="","",IF(Table3[[#This Row],[ShoulderLength]]&lt;Table3[[#This Row],[LOC]],"FIX",""))</f>
        <v/>
      </c>
    </row>
    <row r="275" spans="1:83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0</v>
      </c>
      <c r="BO275" s="6">
        <v>0</v>
      </c>
      <c r="BP275" s="6">
        <v>0</v>
      </c>
      <c r="BQ275" s="6">
        <v>0</v>
      </c>
      <c r="BR275" s="6">
        <v>0</v>
      </c>
      <c r="BS275" s="6">
        <v>0</v>
      </c>
      <c r="BT275" s="6">
        <v>0</v>
      </c>
      <c r="BU275" s="6">
        <v>0</v>
      </c>
      <c r="BV275" s="6">
        <v>0</v>
      </c>
      <c r="BW275" s="6">
        <v>0</v>
      </c>
      <c r="BX275" s="6">
        <v>0</v>
      </c>
      <c r="BY275" s="6">
        <v>0</v>
      </c>
      <c r="BZ275" s="6">
        <v>0</v>
      </c>
      <c r="CA275" s="6">
        <v>0</v>
      </c>
      <c r="CB275" s="6">
        <v>0</v>
      </c>
      <c r="CC275" s="6">
        <f>IF(Table3[[#This Row],[Type]]="EM",IF((Table3[[#This Row],[Diameter]]/2)-Table3[[#This Row],[CornerRadius]]-0.012&gt;0,(Table3[[#This Row],[Diameter]]/2)-Table3[[#This Row],[CornerRadius]]-0.012,0),)</f>
        <v>0</v>
      </c>
      <c r="CE275" s="6" t="str">
        <f>IF(Table3[[#This Row],[ShoulderLength]]="","",IF(Table3[[#This Row],[ShoulderLength]]&lt;Table3[[#This Row],[LOC]],"FIX",""))</f>
        <v/>
      </c>
    </row>
    <row r="276" spans="1:83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0</v>
      </c>
      <c r="BO276" s="6">
        <v>0</v>
      </c>
      <c r="BP276" s="6">
        <v>0</v>
      </c>
      <c r="BQ276" s="6">
        <v>0</v>
      </c>
      <c r="BR276" s="6">
        <v>0</v>
      </c>
      <c r="BS276" s="6">
        <v>0</v>
      </c>
      <c r="BT276" s="6">
        <v>0</v>
      </c>
      <c r="BU276" s="6">
        <v>0</v>
      </c>
      <c r="BV276" s="6">
        <v>0</v>
      </c>
      <c r="BW276" s="6">
        <v>0</v>
      </c>
      <c r="BX276" s="6">
        <v>0</v>
      </c>
      <c r="BY276" s="6">
        <v>0</v>
      </c>
      <c r="BZ276" s="6">
        <v>0</v>
      </c>
      <c r="CA276" s="6">
        <v>0</v>
      </c>
      <c r="CB276" s="6">
        <v>0</v>
      </c>
      <c r="CC276" s="6">
        <f>IF(Table3[[#This Row],[Type]]="EM",IF((Table3[[#This Row],[Diameter]]/2)-Table3[[#This Row],[CornerRadius]]-0.012&gt;0,(Table3[[#This Row],[Diameter]]/2)-Table3[[#This Row],[CornerRadius]]-0.012,0),)</f>
        <v>0</v>
      </c>
      <c r="CE276" s="6" t="str">
        <f>IF(Table3[[#This Row],[ShoulderLength]]="","",IF(Table3[[#This Row],[ShoulderLength]]&lt;Table3[[#This Row],[LOC]],"FIX",""))</f>
        <v/>
      </c>
    </row>
    <row r="277" spans="1:83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0</v>
      </c>
      <c r="BO277" s="6">
        <v>0</v>
      </c>
      <c r="BP277" s="6">
        <v>0</v>
      </c>
      <c r="BQ277" s="6">
        <v>0</v>
      </c>
      <c r="BR277" s="6">
        <v>0</v>
      </c>
      <c r="BS277" s="6">
        <v>0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>
        <v>0</v>
      </c>
      <c r="CA277" s="6">
        <v>0</v>
      </c>
      <c r="CB277" s="6">
        <v>0</v>
      </c>
      <c r="CC277" s="6">
        <f>IF(Table3[[#This Row],[Type]]="EM",IF((Table3[[#This Row],[Diameter]]/2)-Table3[[#This Row],[CornerRadius]]-0.012&gt;0,(Table3[[#This Row],[Diameter]]/2)-Table3[[#This Row],[CornerRadius]]-0.012,0),)</f>
        <v>0</v>
      </c>
      <c r="CE277" s="6" t="str">
        <f>IF(Table3[[#This Row],[ShoulderLength]]="","",IF(Table3[[#This Row],[ShoulderLength]]&lt;Table3[[#This Row],[LOC]],"FIX",""))</f>
        <v/>
      </c>
    </row>
    <row r="278" spans="1:83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v>0</v>
      </c>
      <c r="BN278" s="6">
        <v>0</v>
      </c>
      <c r="BO278" s="6">
        <v>0</v>
      </c>
      <c r="BP278" s="6">
        <v>0</v>
      </c>
      <c r="BQ278" s="6">
        <v>0</v>
      </c>
      <c r="BR278" s="6">
        <v>0</v>
      </c>
      <c r="BS278" s="6">
        <v>0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>
        <v>0</v>
      </c>
      <c r="CA278" s="6">
        <v>0</v>
      </c>
      <c r="CB278" s="6">
        <v>0</v>
      </c>
      <c r="CC278" s="6">
        <f>IF(Table3[[#This Row],[Type]]="EM",IF((Table3[[#This Row],[Diameter]]/2)-Table3[[#This Row],[CornerRadius]]-0.012&gt;0,(Table3[[#This Row],[Diameter]]/2)-Table3[[#This Row],[CornerRadius]]-0.012,0),)</f>
        <v>0</v>
      </c>
      <c r="CE278" s="6" t="str">
        <f>IF(Table3[[#This Row],[ShoulderLength]]="","",IF(Table3[[#This Row],[ShoulderLength]]&lt;Table3[[#This Row],[LOC]],"FIX",""))</f>
        <v/>
      </c>
    </row>
    <row r="279" spans="1:83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v>0</v>
      </c>
      <c r="BN279" s="6">
        <v>0</v>
      </c>
      <c r="BO279" s="6">
        <v>0</v>
      </c>
      <c r="BP279" s="6">
        <v>0</v>
      </c>
      <c r="BQ279" s="6">
        <v>0</v>
      </c>
      <c r="BR279" s="6">
        <v>0</v>
      </c>
      <c r="BS279" s="6">
        <v>0</v>
      </c>
      <c r="BT279" s="6">
        <v>0</v>
      </c>
      <c r="BU279" s="6">
        <v>0</v>
      </c>
      <c r="BV279" s="6">
        <v>0</v>
      </c>
      <c r="BW279" s="6">
        <v>0</v>
      </c>
      <c r="BX279" s="6">
        <v>0</v>
      </c>
      <c r="BY279" s="6">
        <v>0</v>
      </c>
      <c r="BZ279" s="6">
        <v>0</v>
      </c>
      <c r="CA279" s="6">
        <v>0</v>
      </c>
      <c r="CB279" s="6">
        <v>0</v>
      </c>
      <c r="CC279" s="6">
        <f>IF(Table3[[#This Row],[Type]]="EM",IF((Table3[[#This Row],[Diameter]]/2)-Table3[[#This Row],[CornerRadius]]-0.012&gt;0,(Table3[[#This Row],[Diameter]]/2)-Table3[[#This Row],[CornerRadius]]-0.012,0),)</f>
        <v>0</v>
      </c>
      <c r="CE279" s="6" t="str">
        <f>IF(Table3[[#This Row],[ShoulderLength]]="","",IF(Table3[[#This Row],[ShoulderLength]]&lt;Table3[[#This Row],[LOC]],"FIX",""))</f>
        <v/>
      </c>
    </row>
    <row r="280" spans="1:83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0</v>
      </c>
      <c r="BO280" s="6">
        <v>0</v>
      </c>
      <c r="BP280" s="6">
        <v>0</v>
      </c>
      <c r="BQ280" s="6">
        <v>0</v>
      </c>
      <c r="BR280" s="6">
        <v>0</v>
      </c>
      <c r="BS280" s="6">
        <v>0</v>
      </c>
      <c r="BT280" s="6">
        <v>0</v>
      </c>
      <c r="BU280" s="6">
        <v>0</v>
      </c>
      <c r="BV280" s="6">
        <v>0</v>
      </c>
      <c r="BW280" s="6">
        <v>0</v>
      </c>
      <c r="BX280" s="6">
        <v>0</v>
      </c>
      <c r="BY280" s="6">
        <v>0</v>
      </c>
      <c r="BZ280" s="6">
        <v>0</v>
      </c>
      <c r="CA280" s="6">
        <v>0</v>
      </c>
      <c r="CB280" s="6">
        <v>0</v>
      </c>
      <c r="CC280" s="6">
        <f>IF(Table3[[#This Row],[Type]]="EM",IF((Table3[[#This Row],[Diameter]]/2)-Table3[[#This Row],[CornerRadius]]-0.012&gt;0,(Table3[[#This Row],[Diameter]]/2)-Table3[[#This Row],[CornerRadius]]-0.012,0),)</f>
        <v>0</v>
      </c>
      <c r="CE280" s="6" t="str">
        <f>IF(Table3[[#This Row],[ShoulderLength]]="","",IF(Table3[[#This Row],[ShoulderLength]]&lt;Table3[[#This Row],[LOC]],"FIX",""))</f>
        <v/>
      </c>
    </row>
    <row r="281" spans="1:83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v>0</v>
      </c>
      <c r="BN281" s="6">
        <v>0</v>
      </c>
      <c r="BO281" s="6">
        <v>0</v>
      </c>
      <c r="BP281" s="6">
        <v>0</v>
      </c>
      <c r="BQ281" s="6">
        <v>0</v>
      </c>
      <c r="BR281" s="6">
        <v>0</v>
      </c>
      <c r="BS281" s="6">
        <v>0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>
        <v>0</v>
      </c>
      <c r="CA281" s="6">
        <v>0</v>
      </c>
      <c r="CB281" s="6">
        <v>0</v>
      </c>
      <c r="CC281" s="6">
        <f>IF(Table3[[#This Row],[Type]]="EM",IF((Table3[[#This Row],[Diameter]]/2)-Table3[[#This Row],[CornerRadius]]-0.012&gt;0,(Table3[[#This Row],[Diameter]]/2)-Table3[[#This Row],[CornerRadius]]-0.012,0),)</f>
        <v>0</v>
      </c>
      <c r="CE281" s="6" t="str">
        <f>IF(Table3[[#This Row],[ShoulderLength]]="","",IF(Table3[[#This Row],[ShoulderLength]]&lt;Table3[[#This Row],[LOC]],"FIX",""))</f>
        <v/>
      </c>
    </row>
    <row r="282" spans="1:83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0</v>
      </c>
      <c r="BO282" s="6">
        <v>0</v>
      </c>
      <c r="BP282" s="6">
        <v>0</v>
      </c>
      <c r="BQ282" s="6">
        <v>0</v>
      </c>
      <c r="BR282" s="6">
        <v>0</v>
      </c>
      <c r="BS282" s="6">
        <v>0</v>
      </c>
      <c r="BT282" s="6">
        <v>0</v>
      </c>
      <c r="BU282" s="6">
        <v>0</v>
      </c>
      <c r="BV282" s="6">
        <v>0</v>
      </c>
      <c r="BW282" s="6">
        <v>0</v>
      </c>
      <c r="BX282" s="6">
        <v>0</v>
      </c>
      <c r="BY282" s="6">
        <v>0</v>
      </c>
      <c r="BZ282" s="6">
        <v>0</v>
      </c>
      <c r="CA282" s="6">
        <v>0</v>
      </c>
      <c r="CB282" s="6">
        <v>0</v>
      </c>
      <c r="CC282" s="6">
        <f>IF(Table3[[#This Row],[Type]]="EM",IF((Table3[[#This Row],[Diameter]]/2)-Table3[[#This Row],[CornerRadius]]-0.012&gt;0,(Table3[[#This Row],[Diameter]]/2)-Table3[[#This Row],[CornerRadius]]-0.012,0),)</f>
        <v>0</v>
      </c>
      <c r="CE282" s="6" t="str">
        <f>IF(Table3[[#This Row],[ShoulderLength]]="","",IF(Table3[[#This Row],[ShoulderLength]]&lt;Table3[[#This Row],[LOC]],"FIX",""))</f>
        <v/>
      </c>
    </row>
    <row r="283" spans="1:83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0</v>
      </c>
      <c r="BO283" s="6">
        <v>0</v>
      </c>
      <c r="BP283" s="6">
        <v>0</v>
      </c>
      <c r="BQ283" s="6">
        <v>0</v>
      </c>
      <c r="BR283" s="6">
        <v>0</v>
      </c>
      <c r="BS283" s="6">
        <v>0</v>
      </c>
      <c r="BT283" s="6">
        <v>0</v>
      </c>
      <c r="BU283" s="6">
        <v>0</v>
      </c>
      <c r="BV283" s="6">
        <v>0</v>
      </c>
      <c r="BW283" s="6">
        <v>0</v>
      </c>
      <c r="BX283" s="6">
        <v>0</v>
      </c>
      <c r="BY283" s="6">
        <v>0</v>
      </c>
      <c r="BZ283" s="6">
        <v>0</v>
      </c>
      <c r="CA283" s="6">
        <v>0</v>
      </c>
      <c r="CB283" s="6">
        <v>0</v>
      </c>
      <c r="CC283" s="6">
        <f>IF(Table3[[#This Row],[Type]]="EM",IF((Table3[[#This Row],[Diameter]]/2)-Table3[[#This Row],[CornerRadius]]-0.012&gt;0,(Table3[[#This Row],[Diameter]]/2)-Table3[[#This Row],[CornerRadius]]-0.012,0),)</f>
        <v>0</v>
      </c>
      <c r="CE283" s="6" t="str">
        <f>IF(Table3[[#This Row],[ShoulderLength]]="","",IF(Table3[[#This Row],[ShoulderLength]]&lt;Table3[[#This Row],[LOC]],"FIX",""))</f>
        <v/>
      </c>
    </row>
    <row r="284" spans="1:83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0</v>
      </c>
      <c r="BO284" s="6">
        <v>0</v>
      </c>
      <c r="BP284" s="6">
        <v>0</v>
      </c>
      <c r="BQ284" s="6">
        <v>0</v>
      </c>
      <c r="BR284" s="6">
        <v>0</v>
      </c>
      <c r="BS284" s="6">
        <v>0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>
        <v>0</v>
      </c>
      <c r="CA284" s="6">
        <v>0</v>
      </c>
      <c r="CB284" s="6">
        <v>0</v>
      </c>
      <c r="CC284" s="6">
        <f>IF(Table3[[#This Row],[Type]]="EM",IF((Table3[[#This Row],[Diameter]]/2)-Table3[[#This Row],[CornerRadius]]-0.012&gt;0,(Table3[[#This Row],[Diameter]]/2)-Table3[[#This Row],[CornerRadius]]-0.012,0),)</f>
        <v>0</v>
      </c>
      <c r="CE284" s="6" t="str">
        <f>IF(Table3[[#This Row],[ShoulderLength]]="","",IF(Table3[[#This Row],[ShoulderLength]]&lt;Table3[[#This Row],[LOC]],"FIX",""))</f>
        <v/>
      </c>
    </row>
    <row r="285" spans="1:83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0</v>
      </c>
      <c r="BO285" s="6">
        <v>0</v>
      </c>
      <c r="BP285" s="6">
        <v>0</v>
      </c>
      <c r="BQ285" s="6">
        <v>0</v>
      </c>
      <c r="BR285" s="6">
        <v>0</v>
      </c>
      <c r="BS285" s="6">
        <v>0</v>
      </c>
      <c r="BT285" s="6">
        <v>0</v>
      </c>
      <c r="BU285" s="6">
        <v>0</v>
      </c>
      <c r="BV285" s="6">
        <v>0</v>
      </c>
      <c r="BW285" s="6">
        <v>0</v>
      </c>
      <c r="BX285" s="6">
        <v>0</v>
      </c>
      <c r="BY285" s="6">
        <v>0</v>
      </c>
      <c r="BZ285" s="6">
        <v>0</v>
      </c>
      <c r="CA285" s="6">
        <v>0</v>
      </c>
      <c r="CB285" s="6">
        <v>0</v>
      </c>
      <c r="CC285" s="6">
        <f>IF(Table3[[#This Row],[Type]]="EM",IF((Table3[[#This Row],[Diameter]]/2)-Table3[[#This Row],[CornerRadius]]-0.012&gt;0,(Table3[[#This Row],[Diameter]]/2)-Table3[[#This Row],[CornerRadius]]-0.012,0),)</f>
        <v>0</v>
      </c>
      <c r="CE285" s="6" t="str">
        <f>IF(Table3[[#This Row],[ShoulderLength]]="","",IF(Table3[[#This Row],[ShoulderLength]]&lt;Table3[[#This Row],[LOC]],"FIX",""))</f>
        <v/>
      </c>
    </row>
    <row r="286" spans="1:83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0</v>
      </c>
      <c r="BO286" s="6">
        <v>0</v>
      </c>
      <c r="BP286" s="6">
        <v>0</v>
      </c>
      <c r="BQ286" s="6">
        <v>0</v>
      </c>
      <c r="BR286" s="6">
        <v>0</v>
      </c>
      <c r="BS286" s="6">
        <v>0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>
        <v>0</v>
      </c>
      <c r="CA286" s="6">
        <v>0</v>
      </c>
      <c r="CB286" s="6">
        <v>0</v>
      </c>
      <c r="CC286" s="6">
        <f>IF(Table3[[#This Row],[Type]]="EM",IF((Table3[[#This Row],[Diameter]]/2)-Table3[[#This Row],[CornerRadius]]-0.012&gt;0,(Table3[[#This Row],[Diameter]]/2)-Table3[[#This Row],[CornerRadius]]-0.012,0),)</f>
        <v>0</v>
      </c>
      <c r="CE286" s="6" t="str">
        <f>IF(Table3[[#This Row],[ShoulderLength]]="","",IF(Table3[[#This Row],[ShoulderLength]]&lt;Table3[[#This Row],[LOC]],"FIX",""))</f>
        <v/>
      </c>
    </row>
    <row r="287" spans="1:83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v>0</v>
      </c>
      <c r="BN287" s="6">
        <v>0</v>
      </c>
      <c r="BO287" s="6">
        <v>0</v>
      </c>
      <c r="BP287" s="6">
        <v>0</v>
      </c>
      <c r="BQ287" s="6">
        <v>0</v>
      </c>
      <c r="BR287" s="6">
        <v>0</v>
      </c>
      <c r="BS287" s="6">
        <v>0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>
        <v>0</v>
      </c>
      <c r="CA287" s="6">
        <v>0</v>
      </c>
      <c r="CB287" s="6">
        <v>0</v>
      </c>
      <c r="CC287" s="6">
        <f>IF(Table3[[#This Row],[Type]]="EM",IF((Table3[[#This Row],[Diameter]]/2)-Table3[[#This Row],[CornerRadius]]-0.012&gt;0,(Table3[[#This Row],[Diameter]]/2)-Table3[[#This Row],[CornerRadius]]-0.012,0),)</f>
        <v>0</v>
      </c>
      <c r="CE287" s="6" t="str">
        <f>IF(Table3[[#This Row],[ShoulderLength]]="","",IF(Table3[[#This Row],[ShoulderLength]]&lt;Table3[[#This Row],[LOC]],"FIX",""))</f>
        <v/>
      </c>
    </row>
    <row r="288" spans="1:83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0</v>
      </c>
      <c r="BO288" s="6">
        <v>0</v>
      </c>
      <c r="BP288" s="6">
        <v>0</v>
      </c>
      <c r="BQ288" s="6">
        <v>0</v>
      </c>
      <c r="BR288" s="6">
        <v>0</v>
      </c>
      <c r="BS288" s="6">
        <v>0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>
        <v>0</v>
      </c>
      <c r="CA288" s="6">
        <v>0</v>
      </c>
      <c r="CB288" s="6">
        <v>0</v>
      </c>
      <c r="CC288" s="6">
        <f>IF(Table3[[#This Row],[Type]]="EM",IF((Table3[[#This Row],[Diameter]]/2)-Table3[[#This Row],[CornerRadius]]-0.012&gt;0,(Table3[[#This Row],[Diameter]]/2)-Table3[[#This Row],[CornerRadius]]-0.012,0),)</f>
        <v>0</v>
      </c>
      <c r="CE288" s="6" t="str">
        <f>IF(Table3[[#This Row],[ShoulderLength]]="","",IF(Table3[[#This Row],[ShoulderLength]]&lt;Table3[[#This Row],[LOC]],"FIX",""))</f>
        <v/>
      </c>
    </row>
    <row r="289" spans="1:83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0</v>
      </c>
      <c r="BO289" s="6">
        <v>0</v>
      </c>
      <c r="BP289" s="6">
        <v>0</v>
      </c>
      <c r="BQ289" s="6">
        <v>0</v>
      </c>
      <c r="BR289" s="6">
        <v>0</v>
      </c>
      <c r="BS289" s="6">
        <v>0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0</v>
      </c>
      <c r="BZ289" s="6">
        <v>0</v>
      </c>
      <c r="CA289" s="6">
        <v>0</v>
      </c>
      <c r="CB289" s="6">
        <v>0</v>
      </c>
      <c r="CC289" s="6">
        <f>IF(Table3[[#This Row],[Type]]="EM",IF((Table3[[#This Row],[Diameter]]/2)-Table3[[#This Row],[CornerRadius]]-0.012&gt;0,(Table3[[#This Row],[Diameter]]/2)-Table3[[#This Row],[CornerRadius]]-0.012,0),)</f>
        <v>0</v>
      </c>
      <c r="CE289" s="6" t="str">
        <f>IF(Table3[[#This Row],[ShoulderLength]]="","",IF(Table3[[#This Row],[ShoulderLength]]&lt;Table3[[#This Row],[LOC]],"FIX",""))</f>
        <v/>
      </c>
    </row>
    <row r="290" spans="1:83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0</v>
      </c>
      <c r="BO290" s="6">
        <v>0</v>
      </c>
      <c r="BP290" s="6">
        <v>0</v>
      </c>
      <c r="BQ290" s="6">
        <v>0</v>
      </c>
      <c r="BR290" s="6">
        <v>0</v>
      </c>
      <c r="BS290" s="6">
        <v>0</v>
      </c>
      <c r="BT290" s="6">
        <v>0</v>
      </c>
      <c r="BU290" s="6">
        <v>0</v>
      </c>
      <c r="BV290" s="6">
        <v>0</v>
      </c>
      <c r="BW290" s="6">
        <v>0</v>
      </c>
      <c r="BX290" s="6">
        <v>0</v>
      </c>
      <c r="BY290" s="6">
        <v>0</v>
      </c>
      <c r="BZ290" s="6">
        <v>0</v>
      </c>
      <c r="CA290" s="6">
        <v>0</v>
      </c>
      <c r="CB290" s="6">
        <v>0</v>
      </c>
      <c r="CC290" s="6">
        <f>IF(Table3[[#This Row],[Type]]="EM",IF((Table3[[#This Row],[Diameter]]/2)-Table3[[#This Row],[CornerRadius]]-0.012&gt;0,(Table3[[#This Row],[Diameter]]/2)-Table3[[#This Row],[CornerRadius]]-0.012,0),)</f>
        <v>0</v>
      </c>
      <c r="CE290" s="6" t="str">
        <f>IF(Table3[[#This Row],[ShoulderLength]]="","",IF(Table3[[#This Row],[ShoulderLength]]&lt;Table3[[#This Row],[LOC]],"FIX",""))</f>
        <v/>
      </c>
    </row>
    <row r="291" spans="1:83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0</v>
      </c>
      <c r="BO291" s="6">
        <v>0</v>
      </c>
      <c r="BP291" s="6">
        <v>0</v>
      </c>
      <c r="BQ291" s="6">
        <v>0</v>
      </c>
      <c r="BR291" s="6">
        <v>0</v>
      </c>
      <c r="BS291" s="6">
        <v>0</v>
      </c>
      <c r="BT291" s="6">
        <v>0</v>
      </c>
      <c r="BU291" s="6">
        <v>0</v>
      </c>
      <c r="BV291" s="6">
        <v>0</v>
      </c>
      <c r="BW291" s="6">
        <v>0</v>
      </c>
      <c r="BX291" s="6">
        <v>0</v>
      </c>
      <c r="BY291" s="6">
        <v>0</v>
      </c>
      <c r="BZ291" s="6">
        <v>0</v>
      </c>
      <c r="CA291" s="6">
        <v>0</v>
      </c>
      <c r="CB291" s="6">
        <v>0</v>
      </c>
      <c r="CC291" s="6">
        <f>IF(Table3[[#This Row],[Type]]="EM",IF((Table3[[#This Row],[Diameter]]/2)-Table3[[#This Row],[CornerRadius]]-0.012&gt;0,(Table3[[#This Row],[Diameter]]/2)-Table3[[#This Row],[CornerRadius]]-0.012,0),)</f>
        <v>0</v>
      </c>
      <c r="CE291" s="6" t="str">
        <f>IF(Table3[[#This Row],[ShoulderLength]]="","",IF(Table3[[#This Row],[ShoulderLength]]&lt;Table3[[#This Row],[LOC]],"FIX",""))</f>
        <v/>
      </c>
    </row>
    <row r="292" spans="1:83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0</v>
      </c>
      <c r="BO292" s="6">
        <v>0</v>
      </c>
      <c r="BP292" s="6">
        <v>0</v>
      </c>
      <c r="BQ292" s="6">
        <v>0</v>
      </c>
      <c r="BR292" s="6">
        <v>0</v>
      </c>
      <c r="BS292" s="6">
        <v>0</v>
      </c>
      <c r="BT292" s="6">
        <v>0</v>
      </c>
      <c r="BU292" s="6">
        <v>0</v>
      </c>
      <c r="BV292" s="6">
        <v>0</v>
      </c>
      <c r="BW292" s="6">
        <v>0</v>
      </c>
      <c r="BX292" s="6">
        <v>0</v>
      </c>
      <c r="BY292" s="6">
        <v>0</v>
      </c>
      <c r="BZ292" s="6">
        <v>0</v>
      </c>
      <c r="CA292" s="6">
        <v>0</v>
      </c>
      <c r="CB292" s="6">
        <v>0</v>
      </c>
      <c r="CC292" s="6">
        <f>IF(Table3[[#This Row],[Type]]="EM",IF((Table3[[#This Row],[Diameter]]/2)-Table3[[#This Row],[CornerRadius]]-0.012&gt;0,(Table3[[#This Row],[Diameter]]/2)-Table3[[#This Row],[CornerRadius]]-0.012,0),)</f>
        <v>0</v>
      </c>
      <c r="CE292" s="6" t="str">
        <f>IF(Table3[[#This Row],[ShoulderLength]]="","",IF(Table3[[#This Row],[ShoulderLength]]&lt;Table3[[#This Row],[LOC]],"FIX",""))</f>
        <v/>
      </c>
    </row>
    <row r="293" spans="1:83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0</v>
      </c>
      <c r="BO293" s="6">
        <v>0</v>
      </c>
      <c r="BP293" s="6">
        <v>0</v>
      </c>
      <c r="BQ293" s="6">
        <v>0</v>
      </c>
      <c r="BR293" s="6">
        <v>0</v>
      </c>
      <c r="BS293" s="6">
        <v>0</v>
      </c>
      <c r="BT293" s="6">
        <v>0</v>
      </c>
      <c r="BU293" s="6">
        <v>0</v>
      </c>
      <c r="BV293" s="6">
        <v>0</v>
      </c>
      <c r="BW293" s="6">
        <v>0</v>
      </c>
      <c r="BX293" s="6">
        <v>0</v>
      </c>
      <c r="BY293" s="6">
        <v>0</v>
      </c>
      <c r="BZ293" s="6">
        <v>0</v>
      </c>
      <c r="CA293" s="6">
        <v>0</v>
      </c>
      <c r="CB293" s="6">
        <v>0</v>
      </c>
      <c r="CC293" s="6">
        <f>IF(Table3[[#This Row],[Type]]="EM",IF((Table3[[#This Row],[Diameter]]/2)-Table3[[#This Row],[CornerRadius]]-0.012&gt;0,(Table3[[#This Row],[Diameter]]/2)-Table3[[#This Row],[CornerRadius]]-0.012,0),)</f>
        <v>0</v>
      </c>
      <c r="CE293" s="6" t="str">
        <f>IF(Table3[[#This Row],[ShoulderLength]]="","",IF(Table3[[#This Row],[ShoulderLength]]&lt;Table3[[#This Row],[LOC]],"FIX",""))</f>
        <v/>
      </c>
    </row>
    <row r="294" spans="1:83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0</v>
      </c>
      <c r="BO294" s="6">
        <v>0</v>
      </c>
      <c r="BP294" s="6">
        <v>0</v>
      </c>
      <c r="BQ294" s="6">
        <v>0</v>
      </c>
      <c r="BR294" s="6">
        <v>0</v>
      </c>
      <c r="BS294" s="6">
        <v>0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>
        <v>0</v>
      </c>
      <c r="CA294" s="6">
        <v>0</v>
      </c>
      <c r="CB294" s="6">
        <v>0</v>
      </c>
      <c r="CC294" s="6">
        <f>IF(Table3[[#This Row],[Type]]="EM",IF((Table3[[#This Row],[Diameter]]/2)-Table3[[#This Row],[CornerRadius]]-0.012&gt;0,(Table3[[#This Row],[Diameter]]/2)-Table3[[#This Row],[CornerRadius]]-0.012,0),)</f>
        <v>0</v>
      </c>
      <c r="CE294" s="6" t="str">
        <f>IF(Table3[[#This Row],[ShoulderLength]]="","",IF(Table3[[#This Row],[ShoulderLength]]&lt;Table3[[#This Row],[LOC]],"FIX",""))</f>
        <v/>
      </c>
    </row>
    <row r="295" spans="1:83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0</v>
      </c>
      <c r="BO295" s="6">
        <v>0</v>
      </c>
      <c r="BP295" s="6">
        <v>0</v>
      </c>
      <c r="BQ295" s="6">
        <v>0</v>
      </c>
      <c r="BR295" s="6">
        <v>0</v>
      </c>
      <c r="BS295" s="6">
        <v>0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>
        <v>0</v>
      </c>
      <c r="CA295" s="6">
        <v>0</v>
      </c>
      <c r="CB295" s="6">
        <v>0</v>
      </c>
      <c r="CC295" s="6">
        <f>IF(Table3[[#This Row],[Type]]="EM",IF((Table3[[#This Row],[Diameter]]/2)-Table3[[#This Row],[CornerRadius]]-0.012&gt;0,(Table3[[#This Row],[Diameter]]/2)-Table3[[#This Row],[CornerRadius]]-0.012,0),)</f>
        <v>0</v>
      </c>
      <c r="CE295" s="6" t="str">
        <f>IF(Table3[[#This Row],[ShoulderLength]]="","",IF(Table3[[#This Row],[ShoulderLength]]&lt;Table3[[#This Row],[LOC]],"FIX",""))</f>
        <v/>
      </c>
    </row>
    <row r="296" spans="1:83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0</v>
      </c>
      <c r="BO296" s="6">
        <v>0</v>
      </c>
      <c r="BP296" s="6">
        <v>0</v>
      </c>
      <c r="BQ296" s="6">
        <v>0</v>
      </c>
      <c r="BR296" s="6">
        <v>0</v>
      </c>
      <c r="BS296" s="6">
        <v>0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0</v>
      </c>
      <c r="BZ296" s="6">
        <v>0</v>
      </c>
      <c r="CA296" s="6">
        <v>0</v>
      </c>
      <c r="CB296" s="6">
        <v>0</v>
      </c>
      <c r="CC296" s="6">
        <f>IF(Table3[[#This Row],[Type]]="EM",IF((Table3[[#This Row],[Diameter]]/2)-Table3[[#This Row],[CornerRadius]]-0.012&gt;0,(Table3[[#This Row],[Diameter]]/2)-Table3[[#This Row],[CornerRadius]]-0.012,0),)</f>
        <v>0</v>
      </c>
      <c r="CE296" s="6" t="str">
        <f>IF(Table3[[#This Row],[ShoulderLength]]="","",IF(Table3[[#This Row],[ShoulderLength]]&lt;Table3[[#This Row],[LOC]],"FIX",""))</f>
        <v/>
      </c>
    </row>
    <row r="297" spans="1:83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0</v>
      </c>
      <c r="BO297" s="6">
        <v>0</v>
      </c>
      <c r="BP297" s="6">
        <v>0</v>
      </c>
      <c r="BQ297" s="6">
        <v>0</v>
      </c>
      <c r="BR297" s="6">
        <v>0</v>
      </c>
      <c r="BS297" s="6">
        <v>0</v>
      </c>
      <c r="BT297" s="6">
        <v>0</v>
      </c>
      <c r="BU297" s="6">
        <v>0</v>
      </c>
      <c r="BV297" s="6">
        <v>0</v>
      </c>
      <c r="BW297" s="6">
        <v>0</v>
      </c>
      <c r="BX297" s="6">
        <v>0</v>
      </c>
      <c r="BY297" s="6">
        <v>0</v>
      </c>
      <c r="BZ297" s="6">
        <v>0</v>
      </c>
      <c r="CA297" s="6">
        <v>0</v>
      </c>
      <c r="CB297" s="6">
        <v>0</v>
      </c>
      <c r="CC297" s="6">
        <f>IF(Table3[[#This Row],[Type]]="EM",IF((Table3[[#This Row],[Diameter]]/2)-Table3[[#This Row],[CornerRadius]]-0.012&gt;0,(Table3[[#This Row],[Diameter]]/2)-Table3[[#This Row],[CornerRadius]]-0.012,0),)</f>
        <v>0</v>
      </c>
      <c r="CE297" s="6" t="str">
        <f>IF(Table3[[#This Row],[ShoulderLength]]="","",IF(Table3[[#This Row],[ShoulderLength]]&lt;Table3[[#This Row],[LOC]],"FIX",""))</f>
        <v/>
      </c>
    </row>
    <row r="298" spans="1:83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0</v>
      </c>
      <c r="BO298" s="6">
        <v>0</v>
      </c>
      <c r="BP298" s="6">
        <v>0</v>
      </c>
      <c r="BQ298" s="6">
        <v>0</v>
      </c>
      <c r="BR298" s="6">
        <v>0</v>
      </c>
      <c r="BS298" s="6">
        <v>0</v>
      </c>
      <c r="BT298" s="6">
        <v>0</v>
      </c>
      <c r="BU298" s="6">
        <v>0</v>
      </c>
      <c r="BV298" s="6">
        <v>0</v>
      </c>
      <c r="BW298" s="6">
        <v>0</v>
      </c>
      <c r="BX298" s="6">
        <v>0</v>
      </c>
      <c r="BY298" s="6">
        <v>0</v>
      </c>
      <c r="BZ298" s="6">
        <v>0</v>
      </c>
      <c r="CA298" s="6">
        <v>0</v>
      </c>
      <c r="CB298" s="6">
        <v>0</v>
      </c>
      <c r="CC298" s="6">
        <f>IF(Table3[[#This Row],[Type]]="EM",IF((Table3[[#This Row],[Diameter]]/2)-Table3[[#This Row],[CornerRadius]]-0.012&gt;0,(Table3[[#This Row],[Diameter]]/2)-Table3[[#This Row],[CornerRadius]]-0.012,0),)</f>
        <v>0</v>
      </c>
      <c r="CE298" s="6" t="str">
        <f>IF(Table3[[#This Row],[ShoulderLength]]="","",IF(Table3[[#This Row],[ShoulderLength]]&lt;Table3[[#This Row],[LOC]],"FIX",""))</f>
        <v/>
      </c>
    </row>
    <row r="299" spans="1:83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0</v>
      </c>
      <c r="BO299" s="6">
        <v>0</v>
      </c>
      <c r="BP299" s="6">
        <v>0</v>
      </c>
      <c r="BQ299" s="6">
        <v>0</v>
      </c>
      <c r="BR299" s="6">
        <v>0</v>
      </c>
      <c r="BS299" s="6">
        <v>0</v>
      </c>
      <c r="BT299" s="6">
        <v>0</v>
      </c>
      <c r="BU299" s="6">
        <v>0</v>
      </c>
      <c r="BV299" s="6">
        <v>0</v>
      </c>
      <c r="BW299" s="6">
        <v>0</v>
      </c>
      <c r="BX299" s="6">
        <v>0</v>
      </c>
      <c r="BY299" s="6">
        <v>0</v>
      </c>
      <c r="BZ299" s="6">
        <v>0</v>
      </c>
      <c r="CA299" s="6">
        <v>0</v>
      </c>
      <c r="CB299" s="6">
        <v>0</v>
      </c>
      <c r="CC299" s="6">
        <f>IF(Table3[[#This Row],[Type]]="EM",IF((Table3[[#This Row],[Diameter]]/2)-Table3[[#This Row],[CornerRadius]]-0.012&gt;0,(Table3[[#This Row],[Diameter]]/2)-Table3[[#This Row],[CornerRadius]]-0.012,0),)</f>
        <v>0</v>
      </c>
      <c r="CE299" s="6" t="str">
        <f>IF(Table3[[#This Row],[ShoulderLength]]="","",IF(Table3[[#This Row],[ShoulderLength]]&lt;Table3[[#This Row],[LOC]],"FIX",""))</f>
        <v/>
      </c>
    </row>
    <row r="300" spans="1:83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0</v>
      </c>
      <c r="BO300" s="6">
        <v>0</v>
      </c>
      <c r="BP300" s="6">
        <v>0</v>
      </c>
      <c r="BQ300" s="6">
        <v>0</v>
      </c>
      <c r="BR300" s="6">
        <v>0</v>
      </c>
      <c r="BS300" s="6">
        <v>0</v>
      </c>
      <c r="BT300" s="6">
        <v>0</v>
      </c>
      <c r="BU300" s="6">
        <v>0</v>
      </c>
      <c r="BV300" s="6">
        <v>0</v>
      </c>
      <c r="BW300" s="6">
        <v>0</v>
      </c>
      <c r="BX300" s="6">
        <v>0</v>
      </c>
      <c r="BY300" s="6">
        <v>0</v>
      </c>
      <c r="BZ300" s="6">
        <v>0</v>
      </c>
      <c r="CA300" s="6">
        <v>0</v>
      </c>
      <c r="CB300" s="6">
        <v>0</v>
      </c>
      <c r="CC300" s="6">
        <f>IF(Table3[[#This Row],[Type]]="EM",IF((Table3[[#This Row],[Diameter]]/2)-Table3[[#This Row],[CornerRadius]]-0.012&gt;0,(Table3[[#This Row],[Diameter]]/2)-Table3[[#This Row],[CornerRadius]]-0.012,0),)</f>
        <v>0</v>
      </c>
      <c r="CE300" s="6" t="str">
        <f>IF(Table3[[#This Row],[ShoulderLength]]="","",IF(Table3[[#This Row],[ShoulderLength]]&lt;Table3[[#This Row],[LOC]],"FIX",""))</f>
        <v/>
      </c>
    </row>
    <row r="301" spans="1:83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0</v>
      </c>
      <c r="BO301" s="6">
        <v>0</v>
      </c>
      <c r="BP301" s="6">
        <v>0</v>
      </c>
      <c r="BQ301" s="6">
        <v>0</v>
      </c>
      <c r="BR301" s="6">
        <v>0</v>
      </c>
      <c r="BS301" s="6">
        <v>0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0</v>
      </c>
      <c r="BZ301" s="6">
        <v>0</v>
      </c>
      <c r="CA301" s="6">
        <v>0</v>
      </c>
      <c r="CB301" s="6">
        <v>0</v>
      </c>
      <c r="CC301" s="6">
        <f>IF(Table3[[#This Row],[Type]]="EM",IF((Table3[[#This Row],[Diameter]]/2)-Table3[[#This Row],[CornerRadius]]-0.012&gt;0,(Table3[[#This Row],[Diameter]]/2)-Table3[[#This Row],[CornerRadius]]-0.012,0),)</f>
        <v>0</v>
      </c>
      <c r="CE301" s="6" t="str">
        <f>IF(Table3[[#This Row],[ShoulderLength]]="","",IF(Table3[[#This Row],[ShoulderLength]]&lt;Table3[[#This Row],[LOC]],"FIX",""))</f>
        <v/>
      </c>
    </row>
    <row r="302" spans="1:83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0</v>
      </c>
      <c r="BO302" s="6">
        <v>0</v>
      </c>
      <c r="BP302" s="6">
        <v>0</v>
      </c>
      <c r="BQ302" s="6">
        <v>0</v>
      </c>
      <c r="BR302" s="6">
        <v>0</v>
      </c>
      <c r="BS302" s="6">
        <v>0</v>
      </c>
      <c r="BT302" s="6">
        <v>0</v>
      </c>
      <c r="BU302" s="6">
        <v>0</v>
      </c>
      <c r="BV302" s="6">
        <v>0</v>
      </c>
      <c r="BW302" s="6">
        <v>0</v>
      </c>
      <c r="BX302" s="6">
        <v>0</v>
      </c>
      <c r="BY302" s="6">
        <v>0</v>
      </c>
      <c r="BZ302" s="6">
        <v>0</v>
      </c>
      <c r="CA302" s="6">
        <v>0</v>
      </c>
      <c r="CB302" s="6">
        <v>0</v>
      </c>
      <c r="CC302" s="6">
        <f>IF(Table3[[#This Row],[Type]]="EM",IF((Table3[[#This Row],[Diameter]]/2)-Table3[[#This Row],[CornerRadius]]-0.012&gt;0,(Table3[[#This Row],[Diameter]]/2)-Table3[[#This Row],[CornerRadius]]-0.012,0),)</f>
        <v>0</v>
      </c>
      <c r="CE302" s="6" t="str">
        <f>IF(Table3[[#This Row],[ShoulderLength]]="","",IF(Table3[[#This Row],[ShoulderLength]]&lt;Table3[[#This Row],[LOC]],"FIX",""))</f>
        <v/>
      </c>
    </row>
    <row r="303" spans="1:83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0</v>
      </c>
      <c r="BO303" s="6">
        <v>0</v>
      </c>
      <c r="BP303" s="6">
        <v>0</v>
      </c>
      <c r="BQ303" s="6">
        <v>0</v>
      </c>
      <c r="BR303" s="6">
        <v>0</v>
      </c>
      <c r="BS303" s="6">
        <v>0</v>
      </c>
      <c r="BT303" s="6">
        <v>0</v>
      </c>
      <c r="BU303" s="6">
        <v>0</v>
      </c>
      <c r="BV303" s="6">
        <v>0</v>
      </c>
      <c r="BW303" s="6">
        <v>0</v>
      </c>
      <c r="BX303" s="6">
        <v>0</v>
      </c>
      <c r="BY303" s="6">
        <v>0</v>
      </c>
      <c r="BZ303" s="6">
        <v>0</v>
      </c>
      <c r="CA303" s="6">
        <v>0</v>
      </c>
      <c r="CB303" s="6">
        <v>0</v>
      </c>
      <c r="CC303" s="6">
        <f>IF(Table3[[#This Row],[Type]]="EM",IF((Table3[[#This Row],[Diameter]]/2)-Table3[[#This Row],[CornerRadius]]-0.012&gt;0,(Table3[[#This Row],[Diameter]]/2)-Table3[[#This Row],[CornerRadius]]-0.012,0),)</f>
        <v>0</v>
      </c>
      <c r="CE303" s="6" t="str">
        <f>IF(Table3[[#This Row],[ShoulderLength]]="","",IF(Table3[[#This Row],[ShoulderLength]]&lt;Table3[[#This Row],[LOC]],"FIX",""))</f>
        <v/>
      </c>
    </row>
    <row r="304" spans="1:83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0</v>
      </c>
      <c r="BO304" s="6">
        <v>0</v>
      </c>
      <c r="BP304" s="6">
        <v>0</v>
      </c>
      <c r="BQ304" s="6">
        <v>0</v>
      </c>
      <c r="BR304" s="6">
        <v>0</v>
      </c>
      <c r="BS304" s="6">
        <v>0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>
        <v>0</v>
      </c>
      <c r="CA304" s="6">
        <v>0</v>
      </c>
      <c r="CB304" s="6">
        <v>0</v>
      </c>
      <c r="CC304" s="6">
        <f>IF(Table3[[#This Row],[Type]]="EM",IF((Table3[[#This Row],[Diameter]]/2)-Table3[[#This Row],[CornerRadius]]-0.012&gt;0,(Table3[[#This Row],[Diameter]]/2)-Table3[[#This Row],[CornerRadius]]-0.012,0),)</f>
        <v>0</v>
      </c>
      <c r="CE304" s="6" t="str">
        <f>IF(Table3[[#This Row],[ShoulderLength]]="","",IF(Table3[[#This Row],[ShoulderLength]]&lt;Table3[[#This Row],[LOC]],"FIX",""))</f>
        <v/>
      </c>
    </row>
    <row r="305" spans="1:83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0</v>
      </c>
      <c r="BO305" s="6">
        <v>0</v>
      </c>
      <c r="BP305" s="6">
        <v>0</v>
      </c>
      <c r="BQ305" s="6">
        <v>0</v>
      </c>
      <c r="BR305" s="6">
        <v>0</v>
      </c>
      <c r="BS305" s="6">
        <v>0</v>
      </c>
      <c r="BT305" s="6">
        <v>0</v>
      </c>
      <c r="BU305" s="6">
        <v>0</v>
      </c>
      <c r="BV305" s="6">
        <v>0</v>
      </c>
      <c r="BW305" s="6">
        <v>0</v>
      </c>
      <c r="BX305" s="6">
        <v>0</v>
      </c>
      <c r="BY305" s="6">
        <v>0</v>
      </c>
      <c r="BZ305" s="6">
        <v>0</v>
      </c>
      <c r="CA305" s="6">
        <v>0</v>
      </c>
      <c r="CB305" s="6">
        <v>0</v>
      </c>
      <c r="CC305" s="6">
        <f>IF(Table3[[#This Row],[Type]]="EM",IF((Table3[[#This Row],[Diameter]]/2)-Table3[[#This Row],[CornerRadius]]-0.012&gt;0,(Table3[[#This Row],[Diameter]]/2)-Table3[[#This Row],[CornerRadius]]-0.012,0),)</f>
        <v>0</v>
      </c>
      <c r="CE305" s="6" t="str">
        <f>IF(Table3[[#This Row],[ShoulderLength]]="","",IF(Table3[[#This Row],[ShoulderLength]]&lt;Table3[[#This Row],[LOC]],"FIX",""))</f>
        <v/>
      </c>
    </row>
    <row r="306" spans="1:83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v>0</v>
      </c>
      <c r="BN306" s="6">
        <v>0</v>
      </c>
      <c r="BO306" s="6">
        <v>0</v>
      </c>
      <c r="BP306" s="6">
        <v>0</v>
      </c>
      <c r="BQ306" s="6">
        <v>0</v>
      </c>
      <c r="BR306" s="6">
        <v>0</v>
      </c>
      <c r="BS306" s="6">
        <v>0</v>
      </c>
      <c r="BT306" s="6">
        <v>0</v>
      </c>
      <c r="BU306" s="6">
        <v>0</v>
      </c>
      <c r="BV306" s="6">
        <v>0</v>
      </c>
      <c r="BW306" s="6">
        <v>0</v>
      </c>
      <c r="BX306" s="6">
        <v>0</v>
      </c>
      <c r="BY306" s="6">
        <v>0</v>
      </c>
      <c r="BZ306" s="6">
        <v>0</v>
      </c>
      <c r="CA306" s="6">
        <v>0</v>
      </c>
      <c r="CB306" s="6">
        <v>0</v>
      </c>
      <c r="CC306" s="6">
        <f>IF(Table3[[#This Row],[Type]]="EM",IF((Table3[[#This Row],[Diameter]]/2)-Table3[[#This Row],[CornerRadius]]-0.012&gt;0,(Table3[[#This Row],[Diameter]]/2)-Table3[[#This Row],[CornerRadius]]-0.012,0),)</f>
        <v>0</v>
      </c>
      <c r="CE306" s="6" t="str">
        <f>IF(Table3[[#This Row],[ShoulderLength]]="","",IF(Table3[[#This Row],[ShoulderLength]]&lt;Table3[[#This Row],[LOC]],"FIX",""))</f>
        <v/>
      </c>
    </row>
    <row r="307" spans="1:83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0</v>
      </c>
      <c r="BO307" s="6">
        <v>0</v>
      </c>
      <c r="BP307" s="6">
        <v>0</v>
      </c>
      <c r="BQ307" s="6">
        <v>0</v>
      </c>
      <c r="BR307" s="6">
        <v>0</v>
      </c>
      <c r="BS307" s="6">
        <v>0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>
        <v>0</v>
      </c>
      <c r="CA307" s="6">
        <v>0</v>
      </c>
      <c r="CB307" s="6">
        <v>0</v>
      </c>
      <c r="CC307" s="6">
        <f>IF(Table3[[#This Row],[Type]]="EM",IF((Table3[[#This Row],[Diameter]]/2)-Table3[[#This Row],[CornerRadius]]-0.012&gt;0,(Table3[[#This Row],[Diameter]]/2)-Table3[[#This Row],[CornerRadius]]-0.012,0),)</f>
        <v>0</v>
      </c>
      <c r="CE307" s="6" t="str">
        <f>IF(Table3[[#This Row],[ShoulderLength]]="","",IF(Table3[[#This Row],[ShoulderLength]]&lt;Table3[[#This Row],[LOC]],"FIX",""))</f>
        <v/>
      </c>
    </row>
    <row r="308" spans="1:83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0</v>
      </c>
      <c r="BO308" s="6">
        <v>0</v>
      </c>
      <c r="BP308" s="6">
        <v>0</v>
      </c>
      <c r="BQ308" s="6">
        <v>0</v>
      </c>
      <c r="BR308" s="6">
        <v>0</v>
      </c>
      <c r="BS308" s="6">
        <v>0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>
        <v>0</v>
      </c>
      <c r="CA308" s="6">
        <v>0</v>
      </c>
      <c r="CB308" s="6">
        <v>0</v>
      </c>
      <c r="CC308" s="6">
        <f>IF(Table3[[#This Row],[Type]]="EM",IF((Table3[[#This Row],[Diameter]]/2)-Table3[[#This Row],[CornerRadius]]-0.012&gt;0,(Table3[[#This Row],[Diameter]]/2)-Table3[[#This Row],[CornerRadius]]-0.012,0),)</f>
        <v>0</v>
      </c>
      <c r="CE308" s="6" t="str">
        <f>IF(Table3[[#This Row],[ShoulderLength]]="","",IF(Table3[[#This Row],[ShoulderLength]]&lt;Table3[[#This Row],[LOC]],"FIX",""))</f>
        <v/>
      </c>
    </row>
    <row r="309" spans="1:83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v>0</v>
      </c>
      <c r="BN309" s="6">
        <v>0</v>
      </c>
      <c r="BO309" s="6">
        <v>0</v>
      </c>
      <c r="BP309" s="6">
        <v>0</v>
      </c>
      <c r="BQ309" s="6">
        <v>0</v>
      </c>
      <c r="BR309" s="6">
        <v>0</v>
      </c>
      <c r="BS309" s="6">
        <v>0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>
        <v>0</v>
      </c>
      <c r="CA309" s="6">
        <v>0</v>
      </c>
      <c r="CB309" s="6">
        <v>0</v>
      </c>
      <c r="CC309" s="6">
        <f>IF(Table3[[#This Row],[Type]]="EM",IF((Table3[[#This Row],[Diameter]]/2)-Table3[[#This Row],[CornerRadius]]-0.012&gt;0,(Table3[[#This Row],[Diameter]]/2)-Table3[[#This Row],[CornerRadius]]-0.012,0),)</f>
        <v>0</v>
      </c>
      <c r="CE309" s="6" t="str">
        <f>IF(Table3[[#This Row],[ShoulderLength]]="","",IF(Table3[[#This Row],[ShoulderLength]]&lt;Table3[[#This Row],[LOC]],"FIX",""))</f>
        <v/>
      </c>
    </row>
    <row r="310" spans="1:83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v>0</v>
      </c>
      <c r="BN310" s="6">
        <v>0</v>
      </c>
      <c r="BO310" s="6">
        <v>0</v>
      </c>
      <c r="BP310" s="6">
        <v>0</v>
      </c>
      <c r="BQ310" s="6">
        <v>0</v>
      </c>
      <c r="BR310" s="6">
        <v>0</v>
      </c>
      <c r="BS310" s="6">
        <v>0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>
        <v>0</v>
      </c>
      <c r="CA310" s="6">
        <v>0</v>
      </c>
      <c r="CB310" s="6">
        <v>0</v>
      </c>
      <c r="CC310" s="6">
        <f>IF(Table3[[#This Row],[Type]]="EM",IF((Table3[[#This Row],[Diameter]]/2)-Table3[[#This Row],[CornerRadius]]-0.012&gt;0,(Table3[[#This Row],[Diameter]]/2)-Table3[[#This Row],[CornerRadius]]-0.012,0),)</f>
        <v>0</v>
      </c>
      <c r="CE310" s="6" t="str">
        <f>IF(Table3[[#This Row],[ShoulderLength]]="","",IF(Table3[[#This Row],[ShoulderLength]]&lt;Table3[[#This Row],[LOC]],"FIX",""))</f>
        <v/>
      </c>
    </row>
    <row r="311" spans="1:83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0</v>
      </c>
      <c r="BO311" s="6">
        <v>0</v>
      </c>
      <c r="BP311" s="6">
        <v>0</v>
      </c>
      <c r="BQ311" s="6">
        <v>0</v>
      </c>
      <c r="BR311" s="6">
        <v>0</v>
      </c>
      <c r="BS311" s="6">
        <v>0</v>
      </c>
      <c r="BT311" s="6">
        <v>0</v>
      </c>
      <c r="BU311" s="6">
        <v>0</v>
      </c>
      <c r="BV311" s="6">
        <v>0</v>
      </c>
      <c r="BW311" s="6">
        <v>0</v>
      </c>
      <c r="BX311" s="6">
        <v>0</v>
      </c>
      <c r="BY311" s="6">
        <v>0</v>
      </c>
      <c r="BZ311" s="6">
        <v>0</v>
      </c>
      <c r="CA311" s="6">
        <v>0</v>
      </c>
      <c r="CB311" s="6">
        <v>0</v>
      </c>
      <c r="CC311" s="6">
        <f>IF(Table3[[#This Row],[Type]]="EM",IF((Table3[[#This Row],[Diameter]]/2)-Table3[[#This Row],[CornerRadius]]-0.012&gt;0,(Table3[[#This Row],[Diameter]]/2)-Table3[[#This Row],[CornerRadius]]-0.012,0),)</f>
        <v>0</v>
      </c>
      <c r="CE311" s="6" t="str">
        <f>IF(Table3[[#This Row],[ShoulderLength]]="","",IF(Table3[[#This Row],[ShoulderLength]]&lt;Table3[[#This Row],[LOC]],"FIX",""))</f>
        <v/>
      </c>
    </row>
    <row r="312" spans="1:83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0</v>
      </c>
      <c r="BO312" s="6">
        <v>0</v>
      </c>
      <c r="BP312" s="6">
        <v>0</v>
      </c>
      <c r="BQ312" s="6">
        <v>0</v>
      </c>
      <c r="BR312" s="6">
        <v>0</v>
      </c>
      <c r="BS312" s="6">
        <v>0</v>
      </c>
      <c r="BT312" s="6">
        <v>0</v>
      </c>
      <c r="BU312" s="6">
        <v>0</v>
      </c>
      <c r="BV312" s="6">
        <v>0</v>
      </c>
      <c r="BW312" s="6">
        <v>0</v>
      </c>
      <c r="BX312" s="6">
        <v>0</v>
      </c>
      <c r="BY312" s="6">
        <v>0</v>
      </c>
      <c r="BZ312" s="6">
        <v>0</v>
      </c>
      <c r="CA312" s="6">
        <v>0</v>
      </c>
      <c r="CB312" s="6">
        <v>0</v>
      </c>
      <c r="CC312" s="6">
        <f>IF(Table3[[#This Row],[Type]]="EM",IF((Table3[[#This Row],[Diameter]]/2)-Table3[[#This Row],[CornerRadius]]-0.012&gt;0,(Table3[[#This Row],[Diameter]]/2)-Table3[[#This Row],[CornerRadius]]-0.012,0),)</f>
        <v>0</v>
      </c>
      <c r="CE312" s="6" t="str">
        <f>IF(Table3[[#This Row],[ShoulderLength]]="","",IF(Table3[[#This Row],[ShoulderLength]]&lt;Table3[[#This Row],[LOC]],"FIX",""))</f>
        <v/>
      </c>
    </row>
    <row r="313" spans="1:83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0</v>
      </c>
      <c r="BO313" s="6">
        <v>0</v>
      </c>
      <c r="BP313" s="6">
        <v>0</v>
      </c>
      <c r="BQ313" s="6">
        <v>0</v>
      </c>
      <c r="BR313" s="6">
        <v>0</v>
      </c>
      <c r="BS313" s="6">
        <v>0</v>
      </c>
      <c r="BT313" s="6">
        <v>0</v>
      </c>
      <c r="BU313" s="6">
        <v>0</v>
      </c>
      <c r="BV313" s="6">
        <v>0</v>
      </c>
      <c r="BW313" s="6">
        <v>0</v>
      </c>
      <c r="BX313" s="6">
        <v>0</v>
      </c>
      <c r="BY313" s="6">
        <v>0</v>
      </c>
      <c r="BZ313" s="6">
        <v>0</v>
      </c>
      <c r="CA313" s="6">
        <v>0</v>
      </c>
      <c r="CB313" s="6">
        <v>0</v>
      </c>
      <c r="CC313" s="6">
        <f>IF(Table3[[#This Row],[Type]]="EM",IF((Table3[[#This Row],[Diameter]]/2)-Table3[[#This Row],[CornerRadius]]-0.012&gt;0,(Table3[[#This Row],[Diameter]]/2)-Table3[[#This Row],[CornerRadius]]-0.012,0),)</f>
        <v>0</v>
      </c>
      <c r="CE313" s="6" t="str">
        <f>IF(Table3[[#This Row],[ShoulderLength]]="","",IF(Table3[[#This Row],[ShoulderLength]]&lt;Table3[[#This Row],[LOC]],"FIX",""))</f>
        <v/>
      </c>
    </row>
    <row r="314" spans="1:83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0</v>
      </c>
      <c r="BO314" s="6">
        <v>0</v>
      </c>
      <c r="BP314" s="6">
        <v>0</v>
      </c>
      <c r="BQ314" s="6">
        <v>0</v>
      </c>
      <c r="BR314" s="6">
        <v>0</v>
      </c>
      <c r="BS314" s="6">
        <v>0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>
        <v>0</v>
      </c>
      <c r="CA314" s="6">
        <v>0</v>
      </c>
      <c r="CB314" s="6">
        <v>0</v>
      </c>
      <c r="CC314" s="6">
        <f>IF(Table3[[#This Row],[Type]]="EM",IF((Table3[[#This Row],[Diameter]]/2)-Table3[[#This Row],[CornerRadius]]-0.012&gt;0,(Table3[[#This Row],[Diameter]]/2)-Table3[[#This Row],[CornerRadius]]-0.012,0),)</f>
        <v>0</v>
      </c>
      <c r="CE314" s="6" t="str">
        <f>IF(Table3[[#This Row],[ShoulderLength]]="","",IF(Table3[[#This Row],[ShoulderLength]]&lt;Table3[[#This Row],[LOC]],"FIX",""))</f>
        <v/>
      </c>
    </row>
    <row r="315" spans="1:83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0</v>
      </c>
      <c r="BO315" s="6">
        <v>0</v>
      </c>
      <c r="BP315" s="6">
        <v>0</v>
      </c>
      <c r="BQ315" s="6">
        <v>0</v>
      </c>
      <c r="BR315" s="6">
        <v>0</v>
      </c>
      <c r="BS315" s="6">
        <v>0</v>
      </c>
      <c r="BT315" s="6">
        <v>0</v>
      </c>
      <c r="BU315" s="6">
        <v>0</v>
      </c>
      <c r="BV315" s="6">
        <v>0</v>
      </c>
      <c r="BW315" s="6">
        <v>0</v>
      </c>
      <c r="BX315" s="6">
        <v>0</v>
      </c>
      <c r="BY315" s="6">
        <v>0</v>
      </c>
      <c r="BZ315" s="6">
        <v>0</v>
      </c>
      <c r="CA315" s="6">
        <v>0</v>
      </c>
      <c r="CB315" s="6">
        <v>0</v>
      </c>
      <c r="CC315" s="6">
        <f>IF(Table3[[#This Row],[Type]]="EM",IF((Table3[[#This Row],[Diameter]]/2)-Table3[[#This Row],[CornerRadius]]-0.012&gt;0,(Table3[[#This Row],[Diameter]]/2)-Table3[[#This Row],[CornerRadius]]-0.012,0),)</f>
        <v>0</v>
      </c>
      <c r="CE315" s="6" t="str">
        <f>IF(Table3[[#This Row],[ShoulderLength]]="","",IF(Table3[[#This Row],[ShoulderLength]]&lt;Table3[[#This Row],[LOC]],"FIX",""))</f>
        <v/>
      </c>
    </row>
    <row r="316" spans="1:83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0</v>
      </c>
      <c r="BO316" s="6">
        <v>0</v>
      </c>
      <c r="BP316" s="6">
        <v>0</v>
      </c>
      <c r="BQ316" s="6">
        <v>0</v>
      </c>
      <c r="BR316" s="6">
        <v>0</v>
      </c>
      <c r="BS316" s="6">
        <v>0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>
        <v>0</v>
      </c>
      <c r="CA316" s="6">
        <v>0</v>
      </c>
      <c r="CB316" s="6">
        <v>0</v>
      </c>
      <c r="CC316" s="6">
        <f>IF(Table3[[#This Row],[Type]]="EM",IF((Table3[[#This Row],[Diameter]]/2)-Table3[[#This Row],[CornerRadius]]-0.012&gt;0,(Table3[[#This Row],[Diameter]]/2)-Table3[[#This Row],[CornerRadius]]-0.012,0),)</f>
        <v>0</v>
      </c>
      <c r="CE316" s="6" t="str">
        <f>IF(Table3[[#This Row],[ShoulderLength]]="","",IF(Table3[[#This Row],[ShoulderLength]]&lt;Table3[[#This Row],[LOC]],"FIX",""))</f>
        <v/>
      </c>
    </row>
    <row r="317" spans="1:83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0</v>
      </c>
      <c r="BO317" s="6">
        <v>0</v>
      </c>
      <c r="BP317" s="6">
        <v>0</v>
      </c>
      <c r="BQ317" s="6">
        <v>0</v>
      </c>
      <c r="BR317" s="6">
        <v>0</v>
      </c>
      <c r="BS317" s="6">
        <v>0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>
        <v>0</v>
      </c>
      <c r="CA317" s="6">
        <v>0</v>
      </c>
      <c r="CB317" s="6">
        <v>0</v>
      </c>
      <c r="CC317" s="6">
        <f>IF(Table3[[#This Row],[Type]]="EM",IF((Table3[[#This Row],[Diameter]]/2)-Table3[[#This Row],[CornerRadius]]-0.012&gt;0,(Table3[[#This Row],[Diameter]]/2)-Table3[[#This Row],[CornerRadius]]-0.012,0),)</f>
        <v>0</v>
      </c>
      <c r="CE317" s="6" t="str">
        <f>IF(Table3[[#This Row],[ShoulderLength]]="","",IF(Table3[[#This Row],[ShoulderLength]]&lt;Table3[[#This Row],[LOC]],"FIX",""))</f>
        <v/>
      </c>
    </row>
    <row r="318" spans="1:83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0</v>
      </c>
      <c r="BO318" s="6">
        <v>0</v>
      </c>
      <c r="BP318" s="6">
        <v>0</v>
      </c>
      <c r="BQ318" s="6">
        <v>0</v>
      </c>
      <c r="BR318" s="6">
        <v>0</v>
      </c>
      <c r="BS318" s="6">
        <v>0</v>
      </c>
      <c r="BT318" s="6">
        <v>0</v>
      </c>
      <c r="BU318" s="6">
        <v>0</v>
      </c>
      <c r="BV318" s="6">
        <v>0</v>
      </c>
      <c r="BW318" s="6">
        <v>0</v>
      </c>
      <c r="BX318" s="6">
        <v>0</v>
      </c>
      <c r="BY318" s="6">
        <v>0</v>
      </c>
      <c r="BZ318" s="6">
        <v>0</v>
      </c>
      <c r="CA318" s="6">
        <v>0</v>
      </c>
      <c r="CB318" s="6">
        <v>0</v>
      </c>
      <c r="CC318" s="6">
        <f>IF(Table3[[#This Row],[Type]]="EM",IF((Table3[[#This Row],[Diameter]]/2)-Table3[[#This Row],[CornerRadius]]-0.012&gt;0,(Table3[[#This Row],[Diameter]]/2)-Table3[[#This Row],[CornerRadius]]-0.012,0),)</f>
        <v>0</v>
      </c>
      <c r="CE318" s="6" t="str">
        <f>IF(Table3[[#This Row],[ShoulderLength]]="","",IF(Table3[[#This Row],[ShoulderLength]]&lt;Table3[[#This Row],[LOC]],"FIX",""))</f>
        <v/>
      </c>
    </row>
    <row r="319" spans="1:83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0</v>
      </c>
      <c r="BO319" s="6">
        <v>0</v>
      </c>
      <c r="BP319" s="6">
        <v>0</v>
      </c>
      <c r="BQ319" s="6">
        <v>0</v>
      </c>
      <c r="BR319" s="6">
        <v>0</v>
      </c>
      <c r="BS319" s="6">
        <v>0</v>
      </c>
      <c r="BT319" s="6">
        <v>0</v>
      </c>
      <c r="BU319" s="6">
        <v>0</v>
      </c>
      <c r="BV319" s="6">
        <v>0</v>
      </c>
      <c r="BW319" s="6">
        <v>0</v>
      </c>
      <c r="BX319" s="6">
        <v>0</v>
      </c>
      <c r="BY319" s="6">
        <v>0</v>
      </c>
      <c r="BZ319" s="6">
        <v>0</v>
      </c>
      <c r="CA319" s="6">
        <v>0</v>
      </c>
      <c r="CB319" s="6">
        <v>0</v>
      </c>
      <c r="CC319" s="6">
        <f>IF(Table3[[#This Row],[Type]]="EM",IF((Table3[[#This Row],[Diameter]]/2)-Table3[[#This Row],[CornerRadius]]-0.012&gt;0,(Table3[[#This Row],[Diameter]]/2)-Table3[[#This Row],[CornerRadius]]-0.012,0),)</f>
        <v>0</v>
      </c>
      <c r="CE319" s="6" t="str">
        <f>IF(Table3[[#This Row],[ShoulderLength]]="","",IF(Table3[[#This Row],[ShoulderLength]]&lt;Table3[[#This Row],[LOC]],"FIX",""))</f>
        <v/>
      </c>
    </row>
    <row r="320" spans="1:83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0</v>
      </c>
      <c r="BO320" s="6">
        <v>0</v>
      </c>
      <c r="BP320" s="6">
        <v>0</v>
      </c>
      <c r="BQ320" s="6">
        <v>0</v>
      </c>
      <c r="BR320" s="6">
        <v>0</v>
      </c>
      <c r="BS320" s="6">
        <v>0</v>
      </c>
      <c r="BT320" s="6">
        <v>0</v>
      </c>
      <c r="BU320" s="6">
        <v>0</v>
      </c>
      <c r="BV320" s="6">
        <v>0</v>
      </c>
      <c r="BW320" s="6">
        <v>0</v>
      </c>
      <c r="BX320" s="6">
        <v>0</v>
      </c>
      <c r="BY320" s="6">
        <v>0</v>
      </c>
      <c r="BZ320" s="6">
        <v>0</v>
      </c>
      <c r="CA320" s="6">
        <v>0</v>
      </c>
      <c r="CB320" s="6">
        <v>0</v>
      </c>
      <c r="CC320" s="6">
        <f>IF(Table3[[#This Row],[Type]]="EM",IF((Table3[[#This Row],[Diameter]]/2)-Table3[[#This Row],[CornerRadius]]-0.012&gt;0,(Table3[[#This Row],[Diameter]]/2)-Table3[[#This Row],[CornerRadius]]-0.012,0),)</f>
        <v>0</v>
      </c>
      <c r="CE320" s="6" t="str">
        <f>IF(Table3[[#This Row],[ShoulderLength]]="","",IF(Table3[[#This Row],[ShoulderLength]]&lt;Table3[[#This Row],[LOC]],"FIX",""))</f>
        <v/>
      </c>
    </row>
    <row r="321" spans="1:83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v>0</v>
      </c>
      <c r="BN321" s="6">
        <v>0</v>
      </c>
      <c r="BO321" s="6">
        <v>0</v>
      </c>
      <c r="BP321" s="6">
        <v>0</v>
      </c>
      <c r="BQ321" s="6">
        <v>0</v>
      </c>
      <c r="BR321" s="6">
        <v>0</v>
      </c>
      <c r="BS321" s="6">
        <v>0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>
        <v>0</v>
      </c>
      <c r="CA321" s="6">
        <v>0</v>
      </c>
      <c r="CB321" s="6">
        <v>0</v>
      </c>
      <c r="CC321" s="6">
        <f>IF(Table3[[#This Row],[Type]]="EM",IF((Table3[[#This Row],[Diameter]]/2)-Table3[[#This Row],[CornerRadius]]-0.012&gt;0,(Table3[[#This Row],[Diameter]]/2)-Table3[[#This Row],[CornerRadius]]-0.012,0),)</f>
        <v>0</v>
      </c>
      <c r="CE321" s="6" t="str">
        <f>IF(Table3[[#This Row],[ShoulderLength]]="","",IF(Table3[[#This Row],[ShoulderLength]]&lt;Table3[[#This Row],[LOC]],"FIX",""))</f>
        <v/>
      </c>
    </row>
    <row r="322" spans="1:83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0</v>
      </c>
      <c r="BO322" s="6">
        <v>0</v>
      </c>
      <c r="BP322" s="6">
        <v>0</v>
      </c>
      <c r="BQ322" s="6">
        <v>0</v>
      </c>
      <c r="BR322" s="6">
        <v>0</v>
      </c>
      <c r="BS322" s="6">
        <v>0</v>
      </c>
      <c r="BT322" s="6">
        <v>0</v>
      </c>
      <c r="BU322" s="6">
        <v>0</v>
      </c>
      <c r="BV322" s="6">
        <v>0</v>
      </c>
      <c r="BW322" s="6">
        <v>0</v>
      </c>
      <c r="BX322" s="6">
        <v>0</v>
      </c>
      <c r="BY322" s="6">
        <v>0</v>
      </c>
      <c r="BZ322" s="6">
        <v>0</v>
      </c>
      <c r="CA322" s="6">
        <v>0</v>
      </c>
      <c r="CB322" s="6">
        <v>0</v>
      </c>
      <c r="CC322" s="6">
        <f>IF(Table3[[#This Row],[Type]]="EM",IF((Table3[[#This Row],[Diameter]]/2)-Table3[[#This Row],[CornerRadius]]-0.012&gt;0,(Table3[[#This Row],[Diameter]]/2)-Table3[[#This Row],[CornerRadius]]-0.012,0),)</f>
        <v>0</v>
      </c>
      <c r="CE322" s="6" t="str">
        <f>IF(Table3[[#This Row],[ShoulderLength]]="","",IF(Table3[[#This Row],[ShoulderLength]]&lt;Table3[[#This Row],[LOC]],"FIX",""))</f>
        <v/>
      </c>
    </row>
    <row r="323" spans="1:83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v>0</v>
      </c>
      <c r="BN323" s="6">
        <v>0</v>
      </c>
      <c r="BO323" s="6">
        <v>0</v>
      </c>
      <c r="BP323" s="6">
        <v>0</v>
      </c>
      <c r="BQ323" s="6">
        <v>0</v>
      </c>
      <c r="BR323" s="6">
        <v>0</v>
      </c>
      <c r="BS323" s="6">
        <v>0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>
        <v>0</v>
      </c>
      <c r="CA323" s="6">
        <v>0</v>
      </c>
      <c r="CB323" s="6">
        <v>0</v>
      </c>
      <c r="CC323" s="6">
        <f>IF(Table3[[#This Row],[Type]]="EM",IF((Table3[[#This Row],[Diameter]]/2)-Table3[[#This Row],[CornerRadius]]-0.012&gt;0,(Table3[[#This Row],[Diameter]]/2)-Table3[[#This Row],[CornerRadius]]-0.012,0),)</f>
        <v>0</v>
      </c>
      <c r="CE323" s="6" t="str">
        <f>IF(Table3[[#This Row],[ShoulderLength]]="","",IF(Table3[[#This Row],[ShoulderLength]]&lt;Table3[[#This Row],[LOC]],"FIX",""))</f>
        <v/>
      </c>
    </row>
    <row r="324" spans="1:83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0</v>
      </c>
      <c r="BO324" s="6">
        <v>0</v>
      </c>
      <c r="BP324" s="6">
        <v>0</v>
      </c>
      <c r="BQ324" s="6">
        <v>0</v>
      </c>
      <c r="BR324" s="6">
        <v>0</v>
      </c>
      <c r="BS324" s="6">
        <v>0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>
        <v>0</v>
      </c>
      <c r="CA324" s="6">
        <v>0</v>
      </c>
      <c r="CB324" s="6">
        <v>0</v>
      </c>
      <c r="CC324" s="6">
        <f>IF(Table3[[#This Row],[Type]]="EM",IF((Table3[[#This Row],[Diameter]]/2)-Table3[[#This Row],[CornerRadius]]-0.012&gt;0,(Table3[[#This Row],[Diameter]]/2)-Table3[[#This Row],[CornerRadius]]-0.012,0),)</f>
        <v>0</v>
      </c>
      <c r="CE324" s="6" t="str">
        <f>IF(Table3[[#This Row],[ShoulderLength]]="","",IF(Table3[[#This Row],[ShoulderLength]]&lt;Table3[[#This Row],[LOC]],"FIX",""))</f>
        <v/>
      </c>
    </row>
    <row r="325" spans="1:83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0</v>
      </c>
      <c r="BO325" s="6">
        <v>0</v>
      </c>
      <c r="BP325" s="6">
        <v>0</v>
      </c>
      <c r="BQ325" s="6">
        <v>0</v>
      </c>
      <c r="BR325" s="6">
        <v>0</v>
      </c>
      <c r="BS325" s="6">
        <v>0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>
        <v>0</v>
      </c>
      <c r="CA325" s="6">
        <v>0</v>
      </c>
      <c r="CB325" s="6">
        <v>0</v>
      </c>
      <c r="CC325" s="6">
        <f>IF(Table3[[#This Row],[Type]]="EM",IF((Table3[[#This Row],[Diameter]]/2)-Table3[[#This Row],[CornerRadius]]-0.012&gt;0,(Table3[[#This Row],[Diameter]]/2)-Table3[[#This Row],[CornerRadius]]-0.012,0),)</f>
        <v>0</v>
      </c>
      <c r="CE325" s="6" t="str">
        <f>IF(Table3[[#This Row],[ShoulderLength]]="","",IF(Table3[[#This Row],[ShoulderLength]]&lt;Table3[[#This Row],[LOC]],"FIX",""))</f>
        <v/>
      </c>
    </row>
    <row r="326" spans="1:83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0</v>
      </c>
      <c r="BO326" s="6">
        <v>0</v>
      </c>
      <c r="BP326" s="6">
        <v>0</v>
      </c>
      <c r="BQ326" s="6">
        <v>0</v>
      </c>
      <c r="BR326" s="6">
        <v>0</v>
      </c>
      <c r="BS326" s="6">
        <v>0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>
        <v>0</v>
      </c>
      <c r="CA326" s="6">
        <v>0</v>
      </c>
      <c r="CB326" s="6">
        <v>0</v>
      </c>
      <c r="CC326" s="6">
        <f>IF(Table3[[#This Row],[Type]]="EM",IF((Table3[[#This Row],[Diameter]]/2)-Table3[[#This Row],[CornerRadius]]-0.012&gt;0,(Table3[[#This Row],[Diameter]]/2)-Table3[[#This Row],[CornerRadius]]-0.012,0),)</f>
        <v>0</v>
      </c>
      <c r="CE326" s="6" t="str">
        <f>IF(Table3[[#This Row],[ShoulderLength]]="","",IF(Table3[[#This Row],[ShoulderLength]]&lt;Table3[[#This Row],[LOC]],"FIX",""))</f>
        <v/>
      </c>
    </row>
    <row r="327" spans="1:83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v>0</v>
      </c>
      <c r="BN327" s="6">
        <v>0</v>
      </c>
      <c r="BO327" s="6">
        <v>0</v>
      </c>
      <c r="BP327" s="6">
        <v>0</v>
      </c>
      <c r="BQ327" s="6">
        <v>0</v>
      </c>
      <c r="BR327" s="6">
        <v>0</v>
      </c>
      <c r="BS327" s="6">
        <v>0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0</v>
      </c>
      <c r="BZ327" s="6">
        <v>0</v>
      </c>
      <c r="CA327" s="6">
        <v>0</v>
      </c>
      <c r="CB327" s="6">
        <v>0</v>
      </c>
      <c r="CC327" s="6">
        <f>IF(Table3[[#This Row],[Type]]="EM",IF((Table3[[#This Row],[Diameter]]/2)-Table3[[#This Row],[CornerRadius]]-0.012&gt;0,(Table3[[#This Row],[Diameter]]/2)-Table3[[#This Row],[CornerRadius]]-0.012,0),)</f>
        <v>0</v>
      </c>
      <c r="CE327" s="6" t="str">
        <f>IF(Table3[[#This Row],[ShoulderLength]]="","",IF(Table3[[#This Row],[ShoulderLength]]&lt;Table3[[#This Row],[LOC]],"FIX",""))</f>
        <v/>
      </c>
    </row>
    <row r="328" spans="1:83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v>0</v>
      </c>
      <c r="BN328" s="6">
        <v>0</v>
      </c>
      <c r="BO328" s="6">
        <v>0</v>
      </c>
      <c r="BP328" s="6">
        <v>0</v>
      </c>
      <c r="BQ328" s="6">
        <v>0</v>
      </c>
      <c r="BR328" s="6">
        <v>0</v>
      </c>
      <c r="BS328" s="6">
        <v>0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>
        <v>0</v>
      </c>
      <c r="CA328" s="6">
        <v>0</v>
      </c>
      <c r="CB328" s="6">
        <v>0</v>
      </c>
      <c r="CC328" s="6">
        <f>IF(Table3[[#This Row],[Type]]="EM",IF((Table3[[#This Row],[Diameter]]/2)-Table3[[#This Row],[CornerRadius]]-0.012&gt;0,(Table3[[#This Row],[Diameter]]/2)-Table3[[#This Row],[CornerRadius]]-0.012,0),)</f>
        <v>0</v>
      </c>
      <c r="CE328" s="6" t="str">
        <f>IF(Table3[[#This Row],[ShoulderLength]]="","",IF(Table3[[#This Row],[ShoulderLength]]&lt;Table3[[#This Row],[LOC]],"FIX",""))</f>
        <v/>
      </c>
    </row>
    <row r="329" spans="1:83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0</v>
      </c>
      <c r="BO329" s="6">
        <v>0</v>
      </c>
      <c r="BP329" s="6">
        <v>0</v>
      </c>
      <c r="BQ329" s="6">
        <v>0</v>
      </c>
      <c r="BR329" s="6">
        <v>0</v>
      </c>
      <c r="BS329" s="6">
        <v>0</v>
      </c>
      <c r="BT329" s="6">
        <v>0</v>
      </c>
      <c r="BU329" s="6">
        <v>0</v>
      </c>
      <c r="BV329" s="6">
        <v>0</v>
      </c>
      <c r="BW329" s="6">
        <v>0</v>
      </c>
      <c r="BX329" s="6">
        <v>0</v>
      </c>
      <c r="BY329" s="6">
        <v>0</v>
      </c>
      <c r="BZ329" s="6">
        <v>0</v>
      </c>
      <c r="CA329" s="6">
        <v>0</v>
      </c>
      <c r="CB329" s="6">
        <v>0</v>
      </c>
      <c r="CC329" s="6">
        <f>IF(Table3[[#This Row],[Type]]="EM",IF((Table3[[#This Row],[Diameter]]/2)-Table3[[#This Row],[CornerRadius]]-0.012&gt;0,(Table3[[#This Row],[Diameter]]/2)-Table3[[#This Row],[CornerRadius]]-0.012,0),)</f>
        <v>0</v>
      </c>
      <c r="CE329" s="6" t="str">
        <f>IF(Table3[[#This Row],[ShoulderLength]]="","",IF(Table3[[#This Row],[ShoulderLength]]&lt;Table3[[#This Row],[LOC]],"FIX",""))</f>
        <v/>
      </c>
    </row>
    <row r="330" spans="1:83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0</v>
      </c>
      <c r="BO330" s="6">
        <v>0</v>
      </c>
      <c r="BP330" s="6">
        <v>0</v>
      </c>
      <c r="BQ330" s="6">
        <v>0</v>
      </c>
      <c r="BR330" s="6">
        <v>0</v>
      </c>
      <c r="BS330" s="6">
        <v>0</v>
      </c>
      <c r="BT330" s="6">
        <v>0</v>
      </c>
      <c r="BU330" s="6">
        <v>0</v>
      </c>
      <c r="BV330" s="6">
        <v>0</v>
      </c>
      <c r="BW330" s="6">
        <v>0</v>
      </c>
      <c r="BX330" s="6">
        <v>0</v>
      </c>
      <c r="BY330" s="6">
        <v>0</v>
      </c>
      <c r="BZ330" s="6">
        <v>0</v>
      </c>
      <c r="CA330" s="6">
        <v>0</v>
      </c>
      <c r="CB330" s="6">
        <v>0</v>
      </c>
      <c r="CC330" s="6">
        <f>IF(Table3[[#This Row],[Type]]="EM",IF((Table3[[#This Row],[Diameter]]/2)-Table3[[#This Row],[CornerRadius]]-0.012&gt;0,(Table3[[#This Row],[Diameter]]/2)-Table3[[#This Row],[CornerRadius]]-0.012,0),)</f>
        <v>0</v>
      </c>
      <c r="CE330" s="6" t="str">
        <f>IF(Table3[[#This Row],[ShoulderLength]]="","",IF(Table3[[#This Row],[ShoulderLength]]&lt;Table3[[#This Row],[LOC]],"FIX",""))</f>
        <v/>
      </c>
    </row>
    <row r="331" spans="1:83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0</v>
      </c>
      <c r="BO331" s="6">
        <v>0</v>
      </c>
      <c r="BP331" s="6">
        <v>0</v>
      </c>
      <c r="BQ331" s="6">
        <v>0</v>
      </c>
      <c r="BR331" s="6">
        <v>0</v>
      </c>
      <c r="BS331" s="6">
        <v>0</v>
      </c>
      <c r="BT331" s="6">
        <v>0</v>
      </c>
      <c r="BU331" s="6">
        <v>0</v>
      </c>
      <c r="BV331" s="6">
        <v>0</v>
      </c>
      <c r="BW331" s="6">
        <v>0</v>
      </c>
      <c r="BX331" s="6">
        <v>0</v>
      </c>
      <c r="BY331" s="6">
        <v>0</v>
      </c>
      <c r="BZ331" s="6">
        <v>0</v>
      </c>
      <c r="CA331" s="6">
        <v>0</v>
      </c>
      <c r="CB331" s="6">
        <v>0</v>
      </c>
      <c r="CC331" s="6">
        <f>IF(Table3[[#This Row],[Type]]="EM",IF((Table3[[#This Row],[Diameter]]/2)-Table3[[#This Row],[CornerRadius]]-0.012&gt;0,(Table3[[#This Row],[Diameter]]/2)-Table3[[#This Row],[CornerRadius]]-0.012,0),)</f>
        <v>0</v>
      </c>
      <c r="CE331" s="6" t="str">
        <f>IF(Table3[[#This Row],[ShoulderLength]]="","",IF(Table3[[#This Row],[ShoulderLength]]&lt;Table3[[#This Row],[LOC]],"FIX",""))</f>
        <v/>
      </c>
    </row>
    <row r="332" spans="1:83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0</v>
      </c>
      <c r="BO332" s="6">
        <v>0</v>
      </c>
      <c r="BP332" s="6">
        <v>0</v>
      </c>
      <c r="BQ332" s="6">
        <v>0</v>
      </c>
      <c r="BR332" s="6">
        <v>0</v>
      </c>
      <c r="BS332" s="6">
        <v>0</v>
      </c>
      <c r="BT332" s="6">
        <v>0</v>
      </c>
      <c r="BU332" s="6">
        <v>0</v>
      </c>
      <c r="BV332" s="6">
        <v>0</v>
      </c>
      <c r="BW332" s="6">
        <v>0</v>
      </c>
      <c r="BX332" s="6">
        <v>0</v>
      </c>
      <c r="BY332" s="6">
        <v>0</v>
      </c>
      <c r="BZ332" s="6">
        <v>0</v>
      </c>
      <c r="CA332" s="6">
        <v>0</v>
      </c>
      <c r="CB332" s="6">
        <v>0</v>
      </c>
      <c r="CC332" s="6">
        <f>IF(Table3[[#This Row],[Type]]="EM",IF((Table3[[#This Row],[Diameter]]/2)-Table3[[#This Row],[CornerRadius]]-0.012&gt;0,(Table3[[#This Row],[Diameter]]/2)-Table3[[#This Row],[CornerRadius]]-0.012,0),)</f>
        <v>0</v>
      </c>
      <c r="CE332" s="6" t="str">
        <f>IF(Table3[[#This Row],[ShoulderLength]]="","",IF(Table3[[#This Row],[ShoulderLength]]&lt;Table3[[#This Row],[LOC]],"FIX",""))</f>
        <v/>
      </c>
    </row>
    <row r="333" spans="1:83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0</v>
      </c>
      <c r="BO333" s="6">
        <v>0</v>
      </c>
      <c r="BP333" s="6">
        <v>0</v>
      </c>
      <c r="BQ333" s="6">
        <v>0</v>
      </c>
      <c r="BR333" s="6">
        <v>0</v>
      </c>
      <c r="BS333" s="6">
        <v>0</v>
      </c>
      <c r="BT333" s="6">
        <v>0</v>
      </c>
      <c r="BU333" s="6">
        <v>0</v>
      </c>
      <c r="BV333" s="6">
        <v>0</v>
      </c>
      <c r="BW333" s="6">
        <v>0</v>
      </c>
      <c r="BX333" s="6">
        <v>0</v>
      </c>
      <c r="BY333" s="6">
        <v>0</v>
      </c>
      <c r="BZ333" s="6">
        <v>0</v>
      </c>
      <c r="CA333" s="6">
        <v>0</v>
      </c>
      <c r="CB333" s="6">
        <v>0</v>
      </c>
      <c r="CC333" s="6">
        <f>IF(Table3[[#This Row],[Type]]="EM",IF((Table3[[#This Row],[Diameter]]/2)-Table3[[#This Row],[CornerRadius]]-0.012&gt;0,(Table3[[#This Row],[Diameter]]/2)-Table3[[#This Row],[CornerRadius]]-0.012,0),)</f>
        <v>0</v>
      </c>
      <c r="CE333" s="6" t="str">
        <f>IF(Table3[[#This Row],[ShoulderLength]]="","",IF(Table3[[#This Row],[ShoulderLength]]&lt;Table3[[#This Row],[LOC]],"FIX",""))</f>
        <v/>
      </c>
    </row>
    <row r="334" spans="1:83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0</v>
      </c>
      <c r="BO334" s="6">
        <v>0</v>
      </c>
      <c r="BP334" s="6">
        <v>0</v>
      </c>
      <c r="BQ334" s="6">
        <v>0</v>
      </c>
      <c r="BR334" s="6">
        <v>0</v>
      </c>
      <c r="BS334" s="6">
        <v>0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>
        <v>0</v>
      </c>
      <c r="CA334" s="6">
        <v>0</v>
      </c>
      <c r="CB334" s="6">
        <v>0</v>
      </c>
      <c r="CC334" s="6">
        <f>IF(Table3[[#This Row],[Type]]="EM",IF((Table3[[#This Row],[Diameter]]/2)-Table3[[#This Row],[CornerRadius]]-0.012&gt;0,(Table3[[#This Row],[Diameter]]/2)-Table3[[#This Row],[CornerRadius]]-0.012,0),)</f>
        <v>0</v>
      </c>
      <c r="CE334" s="6" t="str">
        <f>IF(Table3[[#This Row],[ShoulderLength]]="","",IF(Table3[[#This Row],[ShoulderLength]]&lt;Table3[[#This Row],[LOC]],"FIX",""))</f>
        <v/>
      </c>
    </row>
    <row r="335" spans="1:83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0</v>
      </c>
      <c r="BO335" s="6">
        <v>0</v>
      </c>
      <c r="BP335" s="6">
        <v>0</v>
      </c>
      <c r="BQ335" s="6">
        <v>0</v>
      </c>
      <c r="BR335" s="6">
        <v>0</v>
      </c>
      <c r="BS335" s="6">
        <v>0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>
        <v>0</v>
      </c>
      <c r="CA335" s="6">
        <v>0</v>
      </c>
      <c r="CB335" s="6">
        <v>0</v>
      </c>
      <c r="CC335" s="6">
        <f>IF(Table3[[#This Row],[Type]]="EM",IF((Table3[[#This Row],[Diameter]]/2)-Table3[[#This Row],[CornerRadius]]-0.012&gt;0,(Table3[[#This Row],[Diameter]]/2)-Table3[[#This Row],[CornerRadius]]-0.012,0),)</f>
        <v>0</v>
      </c>
      <c r="CE335" s="6" t="str">
        <f>IF(Table3[[#This Row],[ShoulderLength]]="","",IF(Table3[[#This Row],[ShoulderLength]]&lt;Table3[[#This Row],[LOC]],"FIX",""))</f>
        <v/>
      </c>
    </row>
    <row r="336" spans="1:83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0</v>
      </c>
      <c r="BO336" s="6">
        <v>0</v>
      </c>
      <c r="BP336" s="6">
        <v>0</v>
      </c>
      <c r="BQ336" s="6">
        <v>0</v>
      </c>
      <c r="BR336" s="6">
        <v>0</v>
      </c>
      <c r="BS336" s="6">
        <v>0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0</v>
      </c>
      <c r="BZ336" s="6">
        <v>0</v>
      </c>
      <c r="CA336" s="6">
        <v>0</v>
      </c>
      <c r="CB336" s="6">
        <v>0</v>
      </c>
      <c r="CC336" s="6">
        <f>IF(Table3[[#This Row],[Type]]="EM",IF((Table3[[#This Row],[Diameter]]/2)-Table3[[#This Row],[CornerRadius]]-0.012&gt;0,(Table3[[#This Row],[Diameter]]/2)-Table3[[#This Row],[CornerRadius]]-0.012,0),)</f>
        <v>0</v>
      </c>
      <c r="CE336" s="6" t="str">
        <f>IF(Table3[[#This Row],[ShoulderLength]]="","",IF(Table3[[#This Row],[ShoulderLength]]&lt;Table3[[#This Row],[LOC]],"FIX",""))</f>
        <v/>
      </c>
    </row>
    <row r="337" spans="1:83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0</v>
      </c>
      <c r="BO337" s="6">
        <v>0</v>
      </c>
      <c r="BP337" s="6">
        <v>0</v>
      </c>
      <c r="BQ337" s="6">
        <v>0</v>
      </c>
      <c r="BR337" s="6">
        <v>0</v>
      </c>
      <c r="BS337" s="6">
        <v>0</v>
      </c>
      <c r="BT337" s="6">
        <v>0</v>
      </c>
      <c r="BU337" s="6">
        <v>0</v>
      </c>
      <c r="BV337" s="6">
        <v>0</v>
      </c>
      <c r="BW337" s="6">
        <v>0</v>
      </c>
      <c r="BX337" s="6">
        <v>0</v>
      </c>
      <c r="BY337" s="6">
        <v>0</v>
      </c>
      <c r="BZ337" s="6">
        <v>0</v>
      </c>
      <c r="CA337" s="6">
        <v>0</v>
      </c>
      <c r="CB337" s="6">
        <v>0</v>
      </c>
      <c r="CC337" s="6">
        <f>IF(Table3[[#This Row],[Type]]="EM",IF((Table3[[#This Row],[Diameter]]/2)-Table3[[#This Row],[CornerRadius]]-0.012&gt;0,(Table3[[#This Row],[Diameter]]/2)-Table3[[#This Row],[CornerRadius]]-0.012,0),)</f>
        <v>0</v>
      </c>
      <c r="CE337" s="6" t="str">
        <f>IF(Table3[[#This Row],[ShoulderLength]]="","",IF(Table3[[#This Row],[ShoulderLength]]&lt;Table3[[#This Row],[LOC]],"FIX",""))</f>
        <v/>
      </c>
    </row>
    <row r="338" spans="1:83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0</v>
      </c>
      <c r="BO338" s="6">
        <v>0</v>
      </c>
      <c r="BP338" s="6">
        <v>0</v>
      </c>
      <c r="BQ338" s="6">
        <v>0</v>
      </c>
      <c r="BR338" s="6">
        <v>0</v>
      </c>
      <c r="BS338" s="6">
        <v>0</v>
      </c>
      <c r="BT338" s="6">
        <v>0</v>
      </c>
      <c r="BU338" s="6">
        <v>0</v>
      </c>
      <c r="BV338" s="6">
        <v>0</v>
      </c>
      <c r="BW338" s="6">
        <v>0</v>
      </c>
      <c r="BX338" s="6">
        <v>0</v>
      </c>
      <c r="BY338" s="6">
        <v>0</v>
      </c>
      <c r="BZ338" s="6">
        <v>0</v>
      </c>
      <c r="CA338" s="6">
        <v>0</v>
      </c>
      <c r="CB338" s="6">
        <v>0</v>
      </c>
      <c r="CC338" s="6">
        <f>IF(Table3[[#This Row],[Type]]="EM",IF((Table3[[#This Row],[Diameter]]/2)-Table3[[#This Row],[CornerRadius]]-0.012&gt;0,(Table3[[#This Row],[Diameter]]/2)-Table3[[#This Row],[CornerRadius]]-0.012,0),)</f>
        <v>0</v>
      </c>
      <c r="CE338" s="6" t="str">
        <f>IF(Table3[[#This Row],[ShoulderLength]]="","",IF(Table3[[#This Row],[ShoulderLength]]&lt;Table3[[#This Row],[LOC]],"FIX",""))</f>
        <v/>
      </c>
    </row>
    <row r="339" spans="1:83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0</v>
      </c>
      <c r="BO339" s="6">
        <v>0</v>
      </c>
      <c r="BP339" s="6">
        <v>0</v>
      </c>
      <c r="BQ339" s="6">
        <v>0</v>
      </c>
      <c r="BR339" s="6">
        <v>0</v>
      </c>
      <c r="BS339" s="6">
        <v>0</v>
      </c>
      <c r="BT339" s="6">
        <v>0</v>
      </c>
      <c r="BU339" s="6">
        <v>0</v>
      </c>
      <c r="BV339" s="6">
        <v>0</v>
      </c>
      <c r="BW339" s="6">
        <v>0</v>
      </c>
      <c r="BX339" s="6">
        <v>0</v>
      </c>
      <c r="BY339" s="6">
        <v>0</v>
      </c>
      <c r="BZ339" s="6">
        <v>0</v>
      </c>
      <c r="CA339" s="6">
        <v>0</v>
      </c>
      <c r="CB339" s="6">
        <v>0</v>
      </c>
      <c r="CC339" s="6">
        <f>IF(Table3[[#This Row],[Type]]="EM",IF((Table3[[#This Row],[Diameter]]/2)-Table3[[#This Row],[CornerRadius]]-0.012&gt;0,(Table3[[#This Row],[Diameter]]/2)-Table3[[#This Row],[CornerRadius]]-0.012,0),)</f>
        <v>0</v>
      </c>
      <c r="CE339" s="6" t="str">
        <f>IF(Table3[[#This Row],[ShoulderLength]]="","",IF(Table3[[#This Row],[ShoulderLength]]&lt;Table3[[#This Row],[LOC]],"FIX",""))</f>
        <v/>
      </c>
    </row>
    <row r="340" spans="1:83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0</v>
      </c>
      <c r="BO340" s="6">
        <v>0</v>
      </c>
      <c r="BP340" s="6">
        <v>0</v>
      </c>
      <c r="BQ340" s="6">
        <v>0</v>
      </c>
      <c r="BR340" s="6">
        <v>0</v>
      </c>
      <c r="BS340" s="6">
        <v>0</v>
      </c>
      <c r="BT340" s="6">
        <v>0</v>
      </c>
      <c r="BU340" s="6">
        <v>0</v>
      </c>
      <c r="BV340" s="6">
        <v>0</v>
      </c>
      <c r="BW340" s="6">
        <v>0</v>
      </c>
      <c r="BX340" s="6">
        <v>0</v>
      </c>
      <c r="BY340" s="6">
        <v>0</v>
      </c>
      <c r="BZ340" s="6">
        <v>0</v>
      </c>
      <c r="CA340" s="6">
        <v>0</v>
      </c>
      <c r="CB340" s="6">
        <v>0</v>
      </c>
      <c r="CC340" s="6">
        <f>IF(Table3[[#This Row],[Type]]="EM",IF((Table3[[#This Row],[Diameter]]/2)-Table3[[#This Row],[CornerRadius]]-0.012&gt;0,(Table3[[#This Row],[Diameter]]/2)-Table3[[#This Row],[CornerRadius]]-0.012,0),)</f>
        <v>0</v>
      </c>
      <c r="CE340" s="6" t="str">
        <f>IF(Table3[[#This Row],[ShoulderLength]]="","",IF(Table3[[#This Row],[ShoulderLength]]&lt;Table3[[#This Row],[LOC]],"FIX",""))</f>
        <v/>
      </c>
    </row>
    <row r="341" spans="1:83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v>0</v>
      </c>
      <c r="BN341" s="6">
        <v>0</v>
      </c>
      <c r="BO341" s="6">
        <v>0</v>
      </c>
      <c r="BP341" s="6">
        <v>0</v>
      </c>
      <c r="BQ341" s="6">
        <v>0</v>
      </c>
      <c r="BR341" s="6">
        <v>0</v>
      </c>
      <c r="BS341" s="6">
        <v>0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>
        <v>0</v>
      </c>
      <c r="CA341" s="6">
        <v>0</v>
      </c>
      <c r="CB341" s="6">
        <v>0</v>
      </c>
      <c r="CC341" s="6">
        <f>IF(Table3[[#This Row],[Type]]="EM",IF((Table3[[#This Row],[Diameter]]/2)-Table3[[#This Row],[CornerRadius]]-0.012&gt;0,(Table3[[#This Row],[Diameter]]/2)-Table3[[#This Row],[CornerRadius]]-0.012,0),)</f>
        <v>0</v>
      </c>
      <c r="CE341" s="6" t="str">
        <f>IF(Table3[[#This Row],[ShoulderLength]]="","",IF(Table3[[#This Row],[ShoulderLength]]&lt;Table3[[#This Row],[LOC]],"FIX",""))</f>
        <v/>
      </c>
    </row>
    <row r="342" spans="1:83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v>0</v>
      </c>
      <c r="BN342" s="6">
        <v>0</v>
      </c>
      <c r="BO342" s="6">
        <v>0</v>
      </c>
      <c r="BP342" s="6">
        <v>0</v>
      </c>
      <c r="BQ342" s="6">
        <v>0</v>
      </c>
      <c r="BR342" s="6">
        <v>0</v>
      </c>
      <c r="BS342" s="6">
        <v>0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>
        <v>0</v>
      </c>
      <c r="CA342" s="6">
        <v>0</v>
      </c>
      <c r="CB342" s="6">
        <v>0</v>
      </c>
      <c r="CC342" s="6">
        <f>IF(Table3[[#This Row],[Type]]="EM",IF((Table3[[#This Row],[Diameter]]/2)-Table3[[#This Row],[CornerRadius]]-0.012&gt;0,(Table3[[#This Row],[Diameter]]/2)-Table3[[#This Row],[CornerRadius]]-0.012,0),)</f>
        <v>0</v>
      </c>
      <c r="CE342" s="6" t="str">
        <f>IF(Table3[[#This Row],[ShoulderLength]]="","",IF(Table3[[#This Row],[ShoulderLength]]&lt;Table3[[#This Row],[LOC]],"FIX",""))</f>
        <v/>
      </c>
    </row>
    <row r="343" spans="1:83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0</v>
      </c>
      <c r="BO343" s="6">
        <v>0</v>
      </c>
      <c r="BP343" s="6">
        <v>0</v>
      </c>
      <c r="BQ343" s="6">
        <v>0</v>
      </c>
      <c r="BR343" s="6">
        <v>0</v>
      </c>
      <c r="BS343" s="6">
        <v>0</v>
      </c>
      <c r="BT343" s="6">
        <v>0</v>
      </c>
      <c r="BU343" s="6">
        <v>0</v>
      </c>
      <c r="BV343" s="6">
        <v>0</v>
      </c>
      <c r="BW343" s="6">
        <v>0</v>
      </c>
      <c r="BX343" s="6">
        <v>0</v>
      </c>
      <c r="BY343" s="6">
        <v>0</v>
      </c>
      <c r="BZ343" s="6">
        <v>0</v>
      </c>
      <c r="CA343" s="6">
        <v>0</v>
      </c>
      <c r="CB343" s="6">
        <v>0</v>
      </c>
      <c r="CC343" s="6">
        <f>IF(Table3[[#This Row],[Type]]="EM",IF((Table3[[#This Row],[Diameter]]/2)-Table3[[#This Row],[CornerRadius]]-0.012&gt;0,(Table3[[#This Row],[Diameter]]/2)-Table3[[#This Row],[CornerRadius]]-0.012,0),)</f>
        <v>0</v>
      </c>
      <c r="CE343" s="6" t="str">
        <f>IF(Table3[[#This Row],[ShoulderLength]]="","",IF(Table3[[#This Row],[ShoulderLength]]&lt;Table3[[#This Row],[LOC]],"FIX",""))</f>
        <v/>
      </c>
    </row>
    <row r="344" spans="1:83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0</v>
      </c>
      <c r="BO344" s="6">
        <v>0</v>
      </c>
      <c r="BP344" s="6">
        <v>0</v>
      </c>
      <c r="BQ344" s="6">
        <v>0</v>
      </c>
      <c r="BR344" s="6">
        <v>0</v>
      </c>
      <c r="BS344" s="6">
        <v>0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>
        <v>0</v>
      </c>
      <c r="CA344" s="6">
        <v>0</v>
      </c>
      <c r="CB344" s="6">
        <v>0</v>
      </c>
      <c r="CC344" s="6">
        <f>IF(Table3[[#This Row],[Type]]="EM",IF((Table3[[#This Row],[Diameter]]/2)-Table3[[#This Row],[CornerRadius]]-0.012&gt;0,(Table3[[#This Row],[Diameter]]/2)-Table3[[#This Row],[CornerRadius]]-0.012,0),)</f>
        <v>0</v>
      </c>
      <c r="CE344" s="6" t="str">
        <f>IF(Table3[[#This Row],[ShoulderLength]]="","",IF(Table3[[#This Row],[ShoulderLength]]&lt;Table3[[#This Row],[LOC]],"FIX",""))</f>
        <v/>
      </c>
    </row>
    <row r="345" spans="1:83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0</v>
      </c>
      <c r="BO345" s="6">
        <v>0</v>
      </c>
      <c r="BP345" s="6">
        <v>0</v>
      </c>
      <c r="BQ345" s="6">
        <v>0</v>
      </c>
      <c r="BR345" s="6">
        <v>0</v>
      </c>
      <c r="BS345" s="6">
        <v>0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>
        <v>0</v>
      </c>
      <c r="CA345" s="6">
        <v>0</v>
      </c>
      <c r="CB345" s="6">
        <v>0</v>
      </c>
      <c r="CC345" s="6">
        <f>IF(Table3[[#This Row],[Type]]="EM",IF((Table3[[#This Row],[Diameter]]/2)-Table3[[#This Row],[CornerRadius]]-0.012&gt;0,(Table3[[#This Row],[Diameter]]/2)-Table3[[#This Row],[CornerRadius]]-0.012,0),)</f>
        <v>0</v>
      </c>
      <c r="CE345" s="6" t="str">
        <f>IF(Table3[[#This Row],[ShoulderLength]]="","",IF(Table3[[#This Row],[ShoulderLength]]&lt;Table3[[#This Row],[LOC]],"FIX",""))</f>
        <v/>
      </c>
    </row>
    <row r="346" spans="1:83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0</v>
      </c>
      <c r="BO346" s="6">
        <v>0</v>
      </c>
      <c r="BP346" s="6">
        <v>0</v>
      </c>
      <c r="BQ346" s="6">
        <v>0</v>
      </c>
      <c r="BR346" s="6">
        <v>0</v>
      </c>
      <c r="BS346" s="6">
        <v>0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>
        <v>0</v>
      </c>
      <c r="CA346" s="6">
        <v>0</v>
      </c>
      <c r="CB346" s="6">
        <v>0</v>
      </c>
      <c r="CC346" s="6">
        <f>IF(Table3[[#This Row],[Type]]="EM",IF((Table3[[#This Row],[Diameter]]/2)-Table3[[#This Row],[CornerRadius]]-0.012&gt;0,(Table3[[#This Row],[Diameter]]/2)-Table3[[#This Row],[CornerRadius]]-0.012,0),)</f>
        <v>0</v>
      </c>
      <c r="CE346" s="6" t="str">
        <f>IF(Table3[[#This Row],[ShoulderLength]]="","",IF(Table3[[#This Row],[ShoulderLength]]&lt;Table3[[#This Row],[LOC]],"FIX",""))</f>
        <v/>
      </c>
    </row>
    <row r="347" spans="1:83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v>0</v>
      </c>
      <c r="BN347" s="6">
        <v>0</v>
      </c>
      <c r="BO347" s="6">
        <v>0</v>
      </c>
      <c r="BP347" s="6">
        <v>0</v>
      </c>
      <c r="BQ347" s="6">
        <v>0</v>
      </c>
      <c r="BR347" s="6">
        <v>0</v>
      </c>
      <c r="BS347" s="6">
        <v>0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>
        <v>0</v>
      </c>
      <c r="CA347" s="6">
        <v>0</v>
      </c>
      <c r="CB347" s="6">
        <v>0</v>
      </c>
      <c r="CC347" s="6">
        <f>IF(Table3[[#This Row],[Type]]="EM",IF((Table3[[#This Row],[Diameter]]/2)-Table3[[#This Row],[CornerRadius]]-0.012&gt;0,(Table3[[#This Row],[Diameter]]/2)-Table3[[#This Row],[CornerRadius]]-0.012,0),)</f>
        <v>0</v>
      </c>
      <c r="CE347" s="6" t="str">
        <f>IF(Table3[[#This Row],[ShoulderLength]]="","",IF(Table3[[#This Row],[ShoulderLength]]&lt;Table3[[#This Row],[LOC]],"FIX",""))</f>
        <v/>
      </c>
    </row>
    <row r="348" spans="1:83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0</v>
      </c>
      <c r="BO348" s="6">
        <v>0</v>
      </c>
      <c r="BP348" s="6">
        <v>0</v>
      </c>
      <c r="BQ348" s="6">
        <v>0</v>
      </c>
      <c r="BR348" s="6">
        <v>0</v>
      </c>
      <c r="BS348" s="6">
        <v>0</v>
      </c>
      <c r="BT348" s="6">
        <v>0</v>
      </c>
      <c r="BU348" s="6">
        <v>0</v>
      </c>
      <c r="BV348" s="6">
        <v>0</v>
      </c>
      <c r="BW348" s="6">
        <v>0</v>
      </c>
      <c r="BX348" s="6">
        <v>0</v>
      </c>
      <c r="BY348" s="6">
        <v>0</v>
      </c>
      <c r="BZ348" s="6">
        <v>0</v>
      </c>
      <c r="CA348" s="6">
        <v>0</v>
      </c>
      <c r="CB348" s="6">
        <v>0</v>
      </c>
      <c r="CC348" s="6">
        <f>IF(Table3[[#This Row],[Type]]="EM",IF((Table3[[#This Row],[Diameter]]/2)-Table3[[#This Row],[CornerRadius]]-0.012&gt;0,(Table3[[#This Row],[Diameter]]/2)-Table3[[#This Row],[CornerRadius]]-0.012,0),)</f>
        <v>0</v>
      </c>
      <c r="CE348" s="6" t="str">
        <f>IF(Table3[[#This Row],[ShoulderLength]]="","",IF(Table3[[#This Row],[ShoulderLength]]&lt;Table3[[#This Row],[LOC]],"FIX",""))</f>
        <v/>
      </c>
    </row>
    <row r="349" spans="1:83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0</v>
      </c>
      <c r="BO349" s="6">
        <v>0</v>
      </c>
      <c r="BP349" s="6">
        <v>0</v>
      </c>
      <c r="BQ349" s="6">
        <v>0</v>
      </c>
      <c r="BR349" s="6">
        <v>0</v>
      </c>
      <c r="BS349" s="6">
        <v>0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>
        <v>0</v>
      </c>
      <c r="CA349" s="6">
        <v>0</v>
      </c>
      <c r="CB349" s="6">
        <v>0</v>
      </c>
      <c r="CC349" s="6">
        <f>IF(Table3[[#This Row],[Type]]="EM",IF((Table3[[#This Row],[Diameter]]/2)-Table3[[#This Row],[CornerRadius]]-0.012&gt;0,(Table3[[#This Row],[Diameter]]/2)-Table3[[#This Row],[CornerRadius]]-0.012,0),)</f>
        <v>0</v>
      </c>
      <c r="CE349" s="6" t="str">
        <f>IF(Table3[[#This Row],[ShoulderLength]]="","",IF(Table3[[#This Row],[ShoulderLength]]&lt;Table3[[#This Row],[LOC]],"FIX",""))</f>
        <v/>
      </c>
    </row>
    <row r="350" spans="1:83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0</v>
      </c>
      <c r="BO350" s="6">
        <v>0</v>
      </c>
      <c r="BP350" s="6">
        <v>0</v>
      </c>
      <c r="BQ350" s="6">
        <v>0</v>
      </c>
      <c r="BR350" s="6">
        <v>0</v>
      </c>
      <c r="BS350" s="6">
        <v>0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>
        <v>0</v>
      </c>
      <c r="CA350" s="6">
        <v>0</v>
      </c>
      <c r="CB350" s="6">
        <v>0</v>
      </c>
      <c r="CC350" s="6">
        <f>IF(Table3[[#This Row],[Type]]="EM",IF((Table3[[#This Row],[Diameter]]/2)-Table3[[#This Row],[CornerRadius]]-0.012&gt;0,(Table3[[#This Row],[Diameter]]/2)-Table3[[#This Row],[CornerRadius]]-0.012,0),)</f>
        <v>0</v>
      </c>
      <c r="CE350" s="6" t="str">
        <f>IF(Table3[[#This Row],[ShoulderLength]]="","",IF(Table3[[#This Row],[ShoulderLength]]&lt;Table3[[#This Row],[LOC]],"FIX",""))</f>
        <v/>
      </c>
    </row>
    <row r="351" spans="1:83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0</v>
      </c>
      <c r="BO351" s="6">
        <v>0</v>
      </c>
      <c r="BP351" s="6">
        <v>0</v>
      </c>
      <c r="BQ351" s="6">
        <v>0</v>
      </c>
      <c r="BR351" s="6">
        <v>0</v>
      </c>
      <c r="BS351" s="6">
        <v>0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>
        <v>0</v>
      </c>
      <c r="CA351" s="6">
        <v>0</v>
      </c>
      <c r="CB351" s="6">
        <v>0</v>
      </c>
      <c r="CC351" s="6">
        <f>IF(Table3[[#This Row],[Type]]="EM",IF((Table3[[#This Row],[Diameter]]/2)-Table3[[#This Row],[CornerRadius]]-0.012&gt;0,(Table3[[#This Row],[Diameter]]/2)-Table3[[#This Row],[CornerRadius]]-0.012,0),)</f>
        <v>0</v>
      </c>
      <c r="CE351" s="6" t="str">
        <f>IF(Table3[[#This Row],[ShoulderLength]]="","",IF(Table3[[#This Row],[ShoulderLength]]&lt;Table3[[#This Row],[LOC]],"FIX",""))</f>
        <v/>
      </c>
    </row>
    <row r="352" spans="1:83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0</v>
      </c>
      <c r="BO352" s="6">
        <v>0</v>
      </c>
      <c r="BP352" s="6">
        <v>0</v>
      </c>
      <c r="BQ352" s="6">
        <v>0</v>
      </c>
      <c r="BR352" s="6">
        <v>0</v>
      </c>
      <c r="BS352" s="6">
        <v>0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>
        <v>0</v>
      </c>
      <c r="CA352" s="6">
        <v>0</v>
      </c>
      <c r="CB352" s="6">
        <v>0</v>
      </c>
      <c r="CC352" s="6">
        <f>IF(Table3[[#This Row],[Type]]="EM",IF((Table3[[#This Row],[Diameter]]/2)-Table3[[#This Row],[CornerRadius]]-0.012&gt;0,(Table3[[#This Row],[Diameter]]/2)-Table3[[#This Row],[CornerRadius]]-0.012,0),)</f>
        <v>0</v>
      </c>
      <c r="CE352" s="6" t="str">
        <f>IF(Table3[[#This Row],[ShoulderLength]]="","",IF(Table3[[#This Row],[ShoulderLength]]&lt;Table3[[#This Row],[LOC]],"FIX",""))</f>
        <v/>
      </c>
    </row>
    <row r="353" spans="1:83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0</v>
      </c>
      <c r="BO353" s="6">
        <v>0</v>
      </c>
      <c r="BP353" s="6">
        <v>0</v>
      </c>
      <c r="BQ353" s="6">
        <v>0</v>
      </c>
      <c r="BR353" s="6">
        <v>0</v>
      </c>
      <c r="BS353" s="6">
        <v>0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>
        <v>0</v>
      </c>
      <c r="CA353" s="6">
        <v>0</v>
      </c>
      <c r="CB353" s="6">
        <v>0</v>
      </c>
      <c r="CC353" s="6">
        <f>IF(Table3[[#This Row],[Type]]="EM",IF((Table3[[#This Row],[Diameter]]/2)-Table3[[#This Row],[CornerRadius]]-0.012&gt;0,(Table3[[#This Row],[Diameter]]/2)-Table3[[#This Row],[CornerRadius]]-0.012,0),)</f>
        <v>0</v>
      </c>
      <c r="CE353" s="6" t="str">
        <f>IF(Table3[[#This Row],[ShoulderLength]]="","",IF(Table3[[#This Row],[ShoulderLength]]&lt;Table3[[#This Row],[LOC]],"FIX",""))</f>
        <v/>
      </c>
    </row>
    <row r="354" spans="1:83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0</v>
      </c>
      <c r="BO354" s="6">
        <v>0</v>
      </c>
      <c r="BP354" s="6">
        <v>0</v>
      </c>
      <c r="BQ354" s="6">
        <v>0</v>
      </c>
      <c r="BR354" s="6">
        <v>0</v>
      </c>
      <c r="BS354" s="6">
        <v>0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>
        <v>0</v>
      </c>
      <c r="CA354" s="6">
        <v>0</v>
      </c>
      <c r="CB354" s="6">
        <v>0</v>
      </c>
      <c r="CC354" s="6">
        <f>IF(Table3[[#This Row],[Type]]="EM",IF((Table3[[#This Row],[Diameter]]/2)-Table3[[#This Row],[CornerRadius]]-0.012&gt;0,(Table3[[#This Row],[Diameter]]/2)-Table3[[#This Row],[CornerRadius]]-0.012,0),)</f>
        <v>0</v>
      </c>
      <c r="CE354" s="6" t="str">
        <f>IF(Table3[[#This Row],[ShoulderLength]]="","",IF(Table3[[#This Row],[ShoulderLength]]&lt;Table3[[#This Row],[LOC]],"FIX",""))</f>
        <v/>
      </c>
    </row>
    <row r="355" spans="1:83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0</v>
      </c>
      <c r="BO355" s="6">
        <v>0</v>
      </c>
      <c r="BP355" s="6">
        <v>0</v>
      </c>
      <c r="BQ355" s="6">
        <v>0</v>
      </c>
      <c r="BR355" s="6">
        <v>0</v>
      </c>
      <c r="BS355" s="6">
        <v>0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>
        <v>0</v>
      </c>
      <c r="CA355" s="6">
        <v>0</v>
      </c>
      <c r="CB355" s="6">
        <v>0</v>
      </c>
      <c r="CC355" s="6">
        <f>IF(Table3[[#This Row],[Type]]="EM",IF((Table3[[#This Row],[Diameter]]/2)-Table3[[#This Row],[CornerRadius]]-0.012&gt;0,(Table3[[#This Row],[Diameter]]/2)-Table3[[#This Row],[CornerRadius]]-0.012,0),)</f>
        <v>0</v>
      </c>
      <c r="CE355" s="6" t="str">
        <f>IF(Table3[[#This Row],[ShoulderLength]]="","",IF(Table3[[#This Row],[ShoulderLength]]&lt;Table3[[#This Row],[LOC]],"FIX",""))</f>
        <v/>
      </c>
    </row>
    <row r="356" spans="1:83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v>0</v>
      </c>
      <c r="BN356" s="6">
        <v>0</v>
      </c>
      <c r="BO356" s="6">
        <v>0</v>
      </c>
      <c r="BP356" s="6">
        <v>0</v>
      </c>
      <c r="BQ356" s="6">
        <v>0</v>
      </c>
      <c r="BR356" s="6">
        <v>0</v>
      </c>
      <c r="BS356" s="6">
        <v>0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>
        <v>0</v>
      </c>
      <c r="CA356" s="6">
        <v>0</v>
      </c>
      <c r="CB356" s="6">
        <v>0</v>
      </c>
      <c r="CC356" s="6">
        <f>IF(Table3[[#This Row],[Type]]="EM",IF((Table3[[#This Row],[Diameter]]/2)-Table3[[#This Row],[CornerRadius]]-0.012&gt;0,(Table3[[#This Row],[Diameter]]/2)-Table3[[#This Row],[CornerRadius]]-0.012,0),)</f>
        <v>0</v>
      </c>
      <c r="CE356" s="6" t="str">
        <f>IF(Table3[[#This Row],[ShoulderLength]]="","",IF(Table3[[#This Row],[ShoulderLength]]&lt;Table3[[#This Row],[LOC]],"FIX",""))</f>
        <v/>
      </c>
    </row>
    <row r="357" spans="1:83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0</v>
      </c>
      <c r="BO357" s="6">
        <v>0</v>
      </c>
      <c r="BP357" s="6">
        <v>0</v>
      </c>
      <c r="BQ357" s="6">
        <v>0</v>
      </c>
      <c r="BR357" s="6">
        <v>0</v>
      </c>
      <c r="BS357" s="6">
        <v>0</v>
      </c>
      <c r="BT357" s="6">
        <v>0</v>
      </c>
      <c r="BU357" s="6">
        <v>0</v>
      </c>
      <c r="BV357" s="6">
        <v>0</v>
      </c>
      <c r="BW357" s="6">
        <v>0</v>
      </c>
      <c r="BX357" s="6">
        <v>0</v>
      </c>
      <c r="BY357" s="6">
        <v>0</v>
      </c>
      <c r="BZ357" s="6">
        <v>0</v>
      </c>
      <c r="CA357" s="6">
        <v>0</v>
      </c>
      <c r="CB357" s="6">
        <v>0</v>
      </c>
      <c r="CC357" s="6">
        <f>IF(Table3[[#This Row],[Type]]="EM",IF((Table3[[#This Row],[Diameter]]/2)-Table3[[#This Row],[CornerRadius]]-0.012&gt;0,(Table3[[#This Row],[Diameter]]/2)-Table3[[#This Row],[CornerRadius]]-0.012,0),)</f>
        <v>0</v>
      </c>
      <c r="CE357" s="6" t="str">
        <f>IF(Table3[[#This Row],[ShoulderLength]]="","",IF(Table3[[#This Row],[ShoulderLength]]&lt;Table3[[#This Row],[LOC]],"FIX",""))</f>
        <v/>
      </c>
    </row>
    <row r="358" spans="1:83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0</v>
      </c>
      <c r="BO358" s="6">
        <v>0</v>
      </c>
      <c r="BP358" s="6">
        <v>0</v>
      </c>
      <c r="BQ358" s="6">
        <v>0</v>
      </c>
      <c r="BR358" s="6">
        <v>0</v>
      </c>
      <c r="BS358" s="6">
        <v>0</v>
      </c>
      <c r="BT358" s="6">
        <v>0</v>
      </c>
      <c r="BU358" s="6">
        <v>0</v>
      </c>
      <c r="BV358" s="6">
        <v>0</v>
      </c>
      <c r="BW358" s="6">
        <v>0</v>
      </c>
      <c r="BX358" s="6">
        <v>0</v>
      </c>
      <c r="BY358" s="6">
        <v>0</v>
      </c>
      <c r="BZ358" s="6">
        <v>0</v>
      </c>
      <c r="CA358" s="6">
        <v>0</v>
      </c>
      <c r="CB358" s="6">
        <v>0</v>
      </c>
      <c r="CC358" s="6">
        <f>IF(Table3[[#This Row],[Type]]="EM",IF((Table3[[#This Row],[Diameter]]/2)-Table3[[#This Row],[CornerRadius]]-0.012&gt;0,(Table3[[#This Row],[Diameter]]/2)-Table3[[#This Row],[CornerRadius]]-0.012,0),)</f>
        <v>0</v>
      </c>
      <c r="CE358" s="6" t="str">
        <f>IF(Table3[[#This Row],[ShoulderLength]]="","",IF(Table3[[#This Row],[ShoulderLength]]&lt;Table3[[#This Row],[LOC]],"FIX",""))</f>
        <v/>
      </c>
    </row>
    <row r="359" spans="1:83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0</v>
      </c>
      <c r="BO359" s="6">
        <v>0</v>
      </c>
      <c r="BP359" s="6">
        <v>0</v>
      </c>
      <c r="BQ359" s="6">
        <v>0</v>
      </c>
      <c r="BR359" s="6">
        <v>0</v>
      </c>
      <c r="BS359" s="6">
        <v>0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>
        <v>0</v>
      </c>
      <c r="CA359" s="6">
        <v>0</v>
      </c>
      <c r="CB359" s="6">
        <v>0</v>
      </c>
      <c r="CC359" s="6">
        <f>IF(Table3[[#This Row],[Type]]="EM",IF((Table3[[#This Row],[Diameter]]/2)-Table3[[#This Row],[CornerRadius]]-0.012&gt;0,(Table3[[#This Row],[Diameter]]/2)-Table3[[#This Row],[CornerRadius]]-0.012,0),)</f>
        <v>0</v>
      </c>
      <c r="CE359" s="6" t="str">
        <f>IF(Table3[[#This Row],[ShoulderLength]]="","",IF(Table3[[#This Row],[ShoulderLength]]&lt;Table3[[#This Row],[LOC]],"FIX",""))</f>
        <v/>
      </c>
    </row>
    <row r="360" spans="1:83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0</v>
      </c>
      <c r="BO360" s="6">
        <v>0</v>
      </c>
      <c r="BP360" s="6">
        <v>0</v>
      </c>
      <c r="BQ360" s="6">
        <v>0</v>
      </c>
      <c r="BR360" s="6">
        <v>0</v>
      </c>
      <c r="BS360" s="6">
        <v>0</v>
      </c>
      <c r="BT360" s="6">
        <v>0</v>
      </c>
      <c r="BU360" s="6">
        <v>0</v>
      </c>
      <c r="BV360" s="6">
        <v>0</v>
      </c>
      <c r="BW360" s="6">
        <v>0</v>
      </c>
      <c r="BX360" s="6">
        <v>0</v>
      </c>
      <c r="BY360" s="6">
        <v>0</v>
      </c>
      <c r="BZ360" s="6">
        <v>0</v>
      </c>
      <c r="CA360" s="6">
        <v>0</v>
      </c>
      <c r="CB360" s="6">
        <v>0</v>
      </c>
      <c r="CC360" s="6">
        <f>IF(Table3[[#This Row],[Type]]="EM",IF((Table3[[#This Row],[Diameter]]/2)-Table3[[#This Row],[CornerRadius]]-0.012&gt;0,(Table3[[#This Row],[Diameter]]/2)-Table3[[#This Row],[CornerRadius]]-0.012,0),)</f>
        <v>0</v>
      </c>
      <c r="CE360" s="6" t="str">
        <f>IF(Table3[[#This Row],[ShoulderLength]]="","",IF(Table3[[#This Row],[ShoulderLength]]&lt;Table3[[#This Row],[LOC]],"FIX",""))</f>
        <v/>
      </c>
    </row>
    <row r="361" spans="1:83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v>0</v>
      </c>
      <c r="BN361" s="6">
        <v>0</v>
      </c>
      <c r="BO361" s="6">
        <v>0</v>
      </c>
      <c r="BP361" s="6">
        <v>0</v>
      </c>
      <c r="BQ361" s="6">
        <v>0</v>
      </c>
      <c r="BR361" s="6">
        <v>0</v>
      </c>
      <c r="BS361" s="6">
        <v>0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>
        <v>0</v>
      </c>
      <c r="CA361" s="6">
        <v>0</v>
      </c>
      <c r="CB361" s="6">
        <v>0</v>
      </c>
      <c r="CC361" s="6">
        <f>IF(Table3[[#This Row],[Type]]="EM",IF((Table3[[#This Row],[Diameter]]/2)-Table3[[#This Row],[CornerRadius]]-0.012&gt;0,(Table3[[#This Row],[Diameter]]/2)-Table3[[#This Row],[CornerRadius]]-0.012,0),)</f>
        <v>0</v>
      </c>
      <c r="CE361" s="6" t="str">
        <f>IF(Table3[[#This Row],[ShoulderLength]]="","",IF(Table3[[#This Row],[ShoulderLength]]&lt;Table3[[#This Row],[LOC]],"FIX",""))</f>
        <v/>
      </c>
    </row>
    <row r="362" spans="1:83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v>0</v>
      </c>
      <c r="BN362" s="6">
        <v>0</v>
      </c>
      <c r="BO362" s="6">
        <v>0</v>
      </c>
      <c r="BP362" s="6">
        <v>0</v>
      </c>
      <c r="BQ362" s="6">
        <v>0</v>
      </c>
      <c r="BR362" s="6">
        <v>0</v>
      </c>
      <c r="BS362" s="6">
        <v>0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>
        <v>0</v>
      </c>
      <c r="CA362" s="6">
        <v>0</v>
      </c>
      <c r="CB362" s="6">
        <v>0</v>
      </c>
      <c r="CC362" s="6">
        <f>IF(Table3[[#This Row],[Type]]="EM",IF((Table3[[#This Row],[Diameter]]/2)-Table3[[#This Row],[CornerRadius]]-0.012&gt;0,(Table3[[#This Row],[Diameter]]/2)-Table3[[#This Row],[CornerRadius]]-0.012,0),)</f>
        <v>0</v>
      </c>
      <c r="CE362" s="6" t="str">
        <f>IF(Table3[[#This Row],[ShoulderLength]]="","",IF(Table3[[#This Row],[ShoulderLength]]&lt;Table3[[#This Row],[LOC]],"FIX",""))</f>
        <v/>
      </c>
    </row>
    <row r="363" spans="1:83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0</v>
      </c>
      <c r="BO363" s="6">
        <v>0</v>
      </c>
      <c r="BP363" s="6">
        <v>0</v>
      </c>
      <c r="BQ363" s="6">
        <v>0</v>
      </c>
      <c r="BR363" s="6">
        <v>0</v>
      </c>
      <c r="BS363" s="6">
        <v>0</v>
      </c>
      <c r="BT363" s="6">
        <v>0</v>
      </c>
      <c r="BU363" s="6">
        <v>0</v>
      </c>
      <c r="BV363" s="6">
        <v>0</v>
      </c>
      <c r="BW363" s="6">
        <v>0</v>
      </c>
      <c r="BX363" s="6">
        <v>0</v>
      </c>
      <c r="BY363" s="6">
        <v>0</v>
      </c>
      <c r="BZ363" s="6">
        <v>0</v>
      </c>
      <c r="CA363" s="6">
        <v>0</v>
      </c>
      <c r="CB363" s="6">
        <v>0</v>
      </c>
      <c r="CC363" s="6">
        <f>IF(Table3[[#This Row],[Type]]="EM",IF((Table3[[#This Row],[Diameter]]/2)-Table3[[#This Row],[CornerRadius]]-0.012&gt;0,(Table3[[#This Row],[Diameter]]/2)-Table3[[#This Row],[CornerRadius]]-0.012,0),)</f>
        <v>0</v>
      </c>
      <c r="CE363" s="6" t="str">
        <f>IF(Table3[[#This Row],[ShoulderLength]]="","",IF(Table3[[#This Row],[ShoulderLength]]&lt;Table3[[#This Row],[LOC]],"FIX",""))</f>
        <v/>
      </c>
    </row>
    <row r="364" spans="1:83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0</v>
      </c>
      <c r="BO364" s="6">
        <v>0</v>
      </c>
      <c r="BP364" s="6">
        <v>0</v>
      </c>
      <c r="BQ364" s="6">
        <v>0</v>
      </c>
      <c r="BR364" s="6">
        <v>0</v>
      </c>
      <c r="BS364" s="6">
        <v>0</v>
      </c>
      <c r="BT364" s="6">
        <v>0</v>
      </c>
      <c r="BU364" s="6">
        <v>0</v>
      </c>
      <c r="BV364" s="6">
        <v>0</v>
      </c>
      <c r="BW364" s="6">
        <v>0</v>
      </c>
      <c r="BX364" s="6">
        <v>0</v>
      </c>
      <c r="BY364" s="6">
        <v>0</v>
      </c>
      <c r="BZ364" s="6">
        <v>0</v>
      </c>
      <c r="CA364" s="6">
        <v>0</v>
      </c>
      <c r="CB364" s="6">
        <v>0</v>
      </c>
      <c r="CC364" s="6">
        <f>IF(Table3[[#This Row],[Type]]="EM",IF((Table3[[#This Row],[Diameter]]/2)-Table3[[#This Row],[CornerRadius]]-0.012&gt;0,(Table3[[#This Row],[Diameter]]/2)-Table3[[#This Row],[CornerRadius]]-0.012,0),)</f>
        <v>0</v>
      </c>
      <c r="CE364" s="6" t="str">
        <f>IF(Table3[[#This Row],[ShoulderLength]]="","",IF(Table3[[#This Row],[ShoulderLength]]&lt;Table3[[#This Row],[LOC]],"FIX",""))</f>
        <v/>
      </c>
    </row>
    <row r="365" spans="1:83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0</v>
      </c>
      <c r="BO365" s="6">
        <v>0</v>
      </c>
      <c r="BP365" s="6">
        <v>0</v>
      </c>
      <c r="BQ365" s="6">
        <v>0</v>
      </c>
      <c r="BR365" s="6">
        <v>0</v>
      </c>
      <c r="BS365" s="6">
        <v>0</v>
      </c>
      <c r="BT365" s="6">
        <v>0</v>
      </c>
      <c r="BU365" s="6">
        <v>0</v>
      </c>
      <c r="BV365" s="6">
        <v>0</v>
      </c>
      <c r="BW365" s="6">
        <v>0</v>
      </c>
      <c r="BX365" s="6">
        <v>0</v>
      </c>
      <c r="BY365" s="6">
        <v>0</v>
      </c>
      <c r="BZ365" s="6">
        <v>0</v>
      </c>
      <c r="CA365" s="6">
        <v>0</v>
      </c>
      <c r="CB365" s="6">
        <v>0</v>
      </c>
      <c r="CC365" s="6">
        <f>IF(Table3[[#This Row],[Type]]="EM",IF((Table3[[#This Row],[Diameter]]/2)-Table3[[#This Row],[CornerRadius]]-0.012&gt;0,(Table3[[#This Row],[Diameter]]/2)-Table3[[#This Row],[CornerRadius]]-0.012,0),)</f>
        <v>0</v>
      </c>
      <c r="CE365" s="6" t="str">
        <f>IF(Table3[[#This Row],[ShoulderLength]]="","",IF(Table3[[#This Row],[ShoulderLength]]&lt;Table3[[#This Row],[LOC]],"FIX",""))</f>
        <v/>
      </c>
    </row>
    <row r="366" spans="1:83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0</v>
      </c>
      <c r="BO366" s="6">
        <v>0</v>
      </c>
      <c r="BP366" s="6">
        <v>0</v>
      </c>
      <c r="BQ366" s="6">
        <v>0</v>
      </c>
      <c r="BR366" s="6">
        <v>0</v>
      </c>
      <c r="BS366" s="6">
        <v>0</v>
      </c>
      <c r="BT366" s="6">
        <v>0</v>
      </c>
      <c r="BU366" s="6">
        <v>0</v>
      </c>
      <c r="BV366" s="6">
        <v>0</v>
      </c>
      <c r="BW366" s="6">
        <v>0</v>
      </c>
      <c r="BX366" s="6">
        <v>0</v>
      </c>
      <c r="BY366" s="6">
        <v>0</v>
      </c>
      <c r="BZ366" s="6">
        <v>0</v>
      </c>
      <c r="CA366" s="6">
        <v>0</v>
      </c>
      <c r="CB366" s="6">
        <v>0</v>
      </c>
      <c r="CC366" s="6">
        <f>IF(Table3[[#This Row],[Type]]="EM",IF((Table3[[#This Row],[Diameter]]/2)-Table3[[#This Row],[CornerRadius]]-0.012&gt;0,(Table3[[#This Row],[Diameter]]/2)-Table3[[#This Row],[CornerRadius]]-0.012,0),)</f>
        <v>0</v>
      </c>
      <c r="CE366" s="6" t="str">
        <f>IF(Table3[[#This Row],[ShoulderLength]]="","",IF(Table3[[#This Row],[ShoulderLength]]&lt;Table3[[#This Row],[LOC]],"FIX",""))</f>
        <v/>
      </c>
    </row>
    <row r="367" spans="1:83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0</v>
      </c>
      <c r="BO367" s="6">
        <v>0</v>
      </c>
      <c r="BP367" s="6">
        <v>0</v>
      </c>
      <c r="BQ367" s="6">
        <v>0</v>
      </c>
      <c r="BR367" s="6">
        <v>0</v>
      </c>
      <c r="BS367" s="6">
        <v>0</v>
      </c>
      <c r="BT367" s="6">
        <v>0</v>
      </c>
      <c r="BU367" s="6">
        <v>0</v>
      </c>
      <c r="BV367" s="6">
        <v>0</v>
      </c>
      <c r="BW367" s="6">
        <v>0</v>
      </c>
      <c r="BX367" s="6">
        <v>0</v>
      </c>
      <c r="BY367" s="6">
        <v>0</v>
      </c>
      <c r="BZ367" s="6">
        <v>0</v>
      </c>
      <c r="CA367" s="6">
        <v>0</v>
      </c>
      <c r="CB367" s="6">
        <v>0</v>
      </c>
      <c r="CC367" s="6">
        <f>IF(Table3[[#This Row],[Type]]="EM",IF((Table3[[#This Row],[Diameter]]/2)-Table3[[#This Row],[CornerRadius]]-0.012&gt;0,(Table3[[#This Row],[Diameter]]/2)-Table3[[#This Row],[CornerRadius]]-0.012,0),)</f>
        <v>0</v>
      </c>
      <c r="CE367" s="6" t="str">
        <f>IF(Table3[[#This Row],[ShoulderLength]]="","",IF(Table3[[#This Row],[ShoulderLength]]&lt;Table3[[#This Row],[LOC]],"FIX",""))</f>
        <v/>
      </c>
    </row>
    <row r="368" spans="1:83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v>0</v>
      </c>
      <c r="BN368" s="6">
        <v>0</v>
      </c>
      <c r="BO368" s="6">
        <v>0</v>
      </c>
      <c r="BP368" s="6">
        <v>0</v>
      </c>
      <c r="BQ368" s="6">
        <v>0</v>
      </c>
      <c r="BR368" s="6">
        <v>0</v>
      </c>
      <c r="BS368" s="6">
        <v>0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>
        <v>0</v>
      </c>
      <c r="CA368" s="6">
        <v>0</v>
      </c>
      <c r="CB368" s="6">
        <v>0</v>
      </c>
      <c r="CC368" s="6">
        <f>IF(Table3[[#This Row],[Type]]="EM",IF((Table3[[#This Row],[Diameter]]/2)-Table3[[#This Row],[CornerRadius]]-0.012&gt;0,(Table3[[#This Row],[Diameter]]/2)-Table3[[#This Row],[CornerRadius]]-0.012,0),)</f>
        <v>0</v>
      </c>
      <c r="CE368" s="6" t="str">
        <f>IF(Table3[[#This Row],[ShoulderLength]]="","",IF(Table3[[#This Row],[ShoulderLength]]&lt;Table3[[#This Row],[LOC]],"FIX",""))</f>
        <v/>
      </c>
    </row>
    <row r="369" spans="1:83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v>0</v>
      </c>
      <c r="BN369" s="6">
        <v>0</v>
      </c>
      <c r="BO369" s="6">
        <v>0</v>
      </c>
      <c r="BP369" s="6">
        <v>0</v>
      </c>
      <c r="BQ369" s="6">
        <v>0</v>
      </c>
      <c r="BR369" s="6">
        <v>0</v>
      </c>
      <c r="BS369" s="6">
        <v>0</v>
      </c>
      <c r="BT369" s="6">
        <v>0</v>
      </c>
      <c r="BU369" s="6">
        <v>0</v>
      </c>
      <c r="BV369" s="6">
        <v>0</v>
      </c>
      <c r="BW369" s="6">
        <v>0</v>
      </c>
      <c r="BX369" s="6">
        <v>0</v>
      </c>
      <c r="BY369" s="6">
        <v>0</v>
      </c>
      <c r="BZ369" s="6">
        <v>0</v>
      </c>
      <c r="CA369" s="6">
        <v>0</v>
      </c>
      <c r="CB369" s="6">
        <v>0</v>
      </c>
      <c r="CC369" s="6">
        <f>IF(Table3[[#This Row],[Type]]="EM",IF((Table3[[#This Row],[Diameter]]/2)-Table3[[#This Row],[CornerRadius]]-0.012&gt;0,(Table3[[#This Row],[Diameter]]/2)-Table3[[#This Row],[CornerRadius]]-0.012,0),)</f>
        <v>0</v>
      </c>
      <c r="CE369" s="6" t="str">
        <f>IF(Table3[[#This Row],[ShoulderLength]]="","",IF(Table3[[#This Row],[ShoulderLength]]&lt;Table3[[#This Row],[LOC]],"FIX",""))</f>
        <v/>
      </c>
    </row>
    <row r="370" spans="1:83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v>0</v>
      </c>
      <c r="BN370" s="6">
        <v>0</v>
      </c>
      <c r="BO370" s="6">
        <v>0</v>
      </c>
      <c r="BP370" s="6">
        <v>0</v>
      </c>
      <c r="BQ370" s="6">
        <v>0</v>
      </c>
      <c r="BR370" s="6">
        <v>0</v>
      </c>
      <c r="BS370" s="6">
        <v>0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>
        <v>0</v>
      </c>
      <c r="CA370" s="6">
        <v>0</v>
      </c>
      <c r="CB370" s="6">
        <v>0</v>
      </c>
      <c r="CC370" s="6">
        <f>IF(Table3[[#This Row],[Type]]="EM",IF((Table3[[#This Row],[Diameter]]/2)-Table3[[#This Row],[CornerRadius]]-0.012&gt;0,(Table3[[#This Row],[Diameter]]/2)-Table3[[#This Row],[CornerRadius]]-0.012,0),)</f>
        <v>0</v>
      </c>
      <c r="CE370" s="6" t="str">
        <f>IF(Table3[[#This Row],[ShoulderLength]]="","",IF(Table3[[#This Row],[ShoulderLength]]&lt;Table3[[#This Row],[LOC]],"FIX",""))</f>
        <v/>
      </c>
    </row>
    <row r="371" spans="1:83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0</v>
      </c>
      <c r="BO371" s="6">
        <v>0</v>
      </c>
      <c r="BP371" s="6">
        <v>0</v>
      </c>
      <c r="BQ371" s="6">
        <v>0</v>
      </c>
      <c r="BR371" s="6">
        <v>0</v>
      </c>
      <c r="BS371" s="6">
        <v>0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>
        <v>0</v>
      </c>
      <c r="CA371" s="6">
        <v>0</v>
      </c>
      <c r="CB371" s="6">
        <v>0</v>
      </c>
      <c r="CC371" s="6">
        <f>IF(Table3[[#This Row],[Type]]="EM",IF((Table3[[#This Row],[Diameter]]/2)-Table3[[#This Row],[CornerRadius]]-0.012&gt;0,(Table3[[#This Row],[Diameter]]/2)-Table3[[#This Row],[CornerRadius]]-0.012,0),)</f>
        <v>0</v>
      </c>
      <c r="CE371" s="6" t="str">
        <f>IF(Table3[[#This Row],[ShoulderLength]]="","",IF(Table3[[#This Row],[ShoulderLength]]&lt;Table3[[#This Row],[LOC]],"FIX",""))</f>
        <v/>
      </c>
    </row>
    <row r="372" spans="1:83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v>0</v>
      </c>
      <c r="BN372" s="6">
        <v>0</v>
      </c>
      <c r="BO372" s="6">
        <v>0</v>
      </c>
      <c r="BP372" s="6">
        <v>0</v>
      </c>
      <c r="BQ372" s="6">
        <v>0</v>
      </c>
      <c r="BR372" s="6">
        <v>0</v>
      </c>
      <c r="BS372" s="6">
        <v>0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>
        <v>0</v>
      </c>
      <c r="CA372" s="6">
        <v>0</v>
      </c>
      <c r="CB372" s="6">
        <v>0</v>
      </c>
      <c r="CC372" s="6">
        <f>IF(Table3[[#This Row],[Type]]="EM",IF((Table3[[#This Row],[Diameter]]/2)-Table3[[#This Row],[CornerRadius]]-0.012&gt;0,(Table3[[#This Row],[Diameter]]/2)-Table3[[#This Row],[CornerRadius]]-0.012,0),)</f>
        <v>0</v>
      </c>
      <c r="CE372" s="6" t="str">
        <f>IF(Table3[[#This Row],[ShoulderLength]]="","",IF(Table3[[#This Row],[ShoulderLength]]&lt;Table3[[#This Row],[LOC]],"FIX",""))</f>
        <v/>
      </c>
    </row>
    <row r="373" spans="1:83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0</v>
      </c>
      <c r="BO373" s="6">
        <v>0</v>
      </c>
      <c r="BP373" s="6">
        <v>0</v>
      </c>
      <c r="BQ373" s="6">
        <v>0</v>
      </c>
      <c r="BR373" s="6">
        <v>0</v>
      </c>
      <c r="BS373" s="6">
        <v>0</v>
      </c>
      <c r="BT373" s="6">
        <v>0</v>
      </c>
      <c r="BU373" s="6">
        <v>0</v>
      </c>
      <c r="BV373" s="6">
        <v>0</v>
      </c>
      <c r="BW373" s="6">
        <v>0</v>
      </c>
      <c r="BX373" s="6">
        <v>0</v>
      </c>
      <c r="BY373" s="6">
        <v>0</v>
      </c>
      <c r="BZ373" s="6">
        <v>0</v>
      </c>
      <c r="CA373" s="6">
        <v>0</v>
      </c>
      <c r="CB373" s="6">
        <v>0</v>
      </c>
      <c r="CC373" s="6">
        <f>IF(Table3[[#This Row],[Type]]="EM",IF((Table3[[#This Row],[Diameter]]/2)-Table3[[#This Row],[CornerRadius]]-0.012&gt;0,(Table3[[#This Row],[Diameter]]/2)-Table3[[#This Row],[CornerRadius]]-0.012,0),)</f>
        <v>0</v>
      </c>
      <c r="CE373" s="6" t="str">
        <f>IF(Table3[[#This Row],[ShoulderLength]]="","",IF(Table3[[#This Row],[ShoulderLength]]&lt;Table3[[#This Row],[LOC]],"FIX",""))</f>
        <v/>
      </c>
    </row>
    <row r="374" spans="1:83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v>0</v>
      </c>
      <c r="BN374" s="6">
        <v>0</v>
      </c>
      <c r="BO374" s="6">
        <v>0</v>
      </c>
      <c r="BP374" s="6">
        <v>0</v>
      </c>
      <c r="BQ374" s="6">
        <v>0</v>
      </c>
      <c r="BR374" s="6">
        <v>0</v>
      </c>
      <c r="BS374" s="6">
        <v>0</v>
      </c>
      <c r="BT374" s="6">
        <v>0</v>
      </c>
      <c r="BU374" s="6">
        <v>0</v>
      </c>
      <c r="BV374" s="6">
        <v>0</v>
      </c>
      <c r="BW374" s="6">
        <v>0</v>
      </c>
      <c r="BX374" s="6">
        <v>0</v>
      </c>
      <c r="BY374" s="6">
        <v>0</v>
      </c>
      <c r="BZ374" s="6">
        <v>0</v>
      </c>
      <c r="CA374" s="6">
        <v>0</v>
      </c>
      <c r="CB374" s="6">
        <v>0</v>
      </c>
      <c r="CC374" s="6">
        <f>IF(Table3[[#This Row],[Type]]="EM",IF((Table3[[#This Row],[Diameter]]/2)-Table3[[#This Row],[CornerRadius]]-0.012&gt;0,(Table3[[#This Row],[Diameter]]/2)-Table3[[#This Row],[CornerRadius]]-0.012,0),)</f>
        <v>0</v>
      </c>
      <c r="CE374" s="6" t="str">
        <f>IF(Table3[[#This Row],[ShoulderLength]]="","",IF(Table3[[#This Row],[ShoulderLength]]&lt;Table3[[#This Row],[LOC]],"FIX",""))</f>
        <v/>
      </c>
    </row>
    <row r="375" spans="1:83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v>0</v>
      </c>
      <c r="BN375" s="6">
        <v>0</v>
      </c>
      <c r="BO375" s="6">
        <v>0</v>
      </c>
      <c r="BP375" s="6">
        <v>0</v>
      </c>
      <c r="BQ375" s="6">
        <v>0</v>
      </c>
      <c r="BR375" s="6">
        <v>0</v>
      </c>
      <c r="BS375" s="6">
        <v>0</v>
      </c>
      <c r="BT375" s="6">
        <v>0</v>
      </c>
      <c r="BU375" s="6">
        <v>0</v>
      </c>
      <c r="BV375" s="6">
        <v>0</v>
      </c>
      <c r="BW375" s="6">
        <v>0</v>
      </c>
      <c r="BX375" s="6">
        <v>0</v>
      </c>
      <c r="BY375" s="6">
        <v>0</v>
      </c>
      <c r="BZ375" s="6">
        <v>0</v>
      </c>
      <c r="CA375" s="6">
        <v>0</v>
      </c>
      <c r="CB375" s="6">
        <v>0</v>
      </c>
      <c r="CC375" s="6">
        <f>IF(Table3[[#This Row],[Type]]="EM",IF((Table3[[#This Row],[Diameter]]/2)-Table3[[#This Row],[CornerRadius]]-0.012&gt;0,(Table3[[#This Row],[Diameter]]/2)-Table3[[#This Row],[CornerRadius]]-0.012,0),)</f>
        <v>0</v>
      </c>
      <c r="CE375" s="6" t="str">
        <f>IF(Table3[[#This Row],[ShoulderLength]]="","",IF(Table3[[#This Row],[ShoulderLength]]&lt;Table3[[#This Row],[LOC]],"FIX",""))</f>
        <v/>
      </c>
    </row>
    <row r="376" spans="1:83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v>0</v>
      </c>
      <c r="BN376" s="6">
        <v>0</v>
      </c>
      <c r="BO376" s="6">
        <v>0</v>
      </c>
      <c r="BP376" s="6">
        <v>0</v>
      </c>
      <c r="BQ376" s="6">
        <v>0</v>
      </c>
      <c r="BR376" s="6">
        <v>0</v>
      </c>
      <c r="BS376" s="6">
        <v>0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>
        <v>0</v>
      </c>
      <c r="CA376" s="6">
        <v>0</v>
      </c>
      <c r="CB376" s="6">
        <v>0</v>
      </c>
      <c r="CC376" s="6">
        <f>IF(Table3[[#This Row],[Type]]="EM",IF((Table3[[#This Row],[Diameter]]/2)-Table3[[#This Row],[CornerRadius]]-0.012&gt;0,(Table3[[#This Row],[Diameter]]/2)-Table3[[#This Row],[CornerRadius]]-0.012,0),)</f>
        <v>0</v>
      </c>
      <c r="CE376" s="6" t="str">
        <f>IF(Table3[[#This Row],[ShoulderLength]]="","",IF(Table3[[#This Row],[ShoulderLength]]&lt;Table3[[#This Row],[LOC]],"FIX",""))</f>
        <v/>
      </c>
    </row>
    <row r="377" spans="1:83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v>0</v>
      </c>
      <c r="BN377" s="6">
        <v>0</v>
      </c>
      <c r="BO377" s="6">
        <v>0</v>
      </c>
      <c r="BP377" s="6">
        <v>0</v>
      </c>
      <c r="BQ377" s="6">
        <v>0</v>
      </c>
      <c r="BR377" s="6">
        <v>0</v>
      </c>
      <c r="BS377" s="6">
        <v>0</v>
      </c>
      <c r="BT377" s="6">
        <v>0</v>
      </c>
      <c r="BU377" s="6">
        <v>0</v>
      </c>
      <c r="BV377" s="6">
        <v>0</v>
      </c>
      <c r="BW377" s="6">
        <v>0</v>
      </c>
      <c r="BX377" s="6">
        <v>0</v>
      </c>
      <c r="BY377" s="6">
        <v>0</v>
      </c>
      <c r="BZ377" s="6">
        <v>0</v>
      </c>
      <c r="CA377" s="6">
        <v>0</v>
      </c>
      <c r="CB377" s="6">
        <v>0</v>
      </c>
      <c r="CC377" s="6">
        <f>IF(Table3[[#This Row],[Type]]="EM",IF((Table3[[#This Row],[Diameter]]/2)-Table3[[#This Row],[CornerRadius]]-0.012&gt;0,(Table3[[#This Row],[Diameter]]/2)-Table3[[#This Row],[CornerRadius]]-0.012,0),)</f>
        <v>0</v>
      </c>
      <c r="CE377" s="6" t="str">
        <f>IF(Table3[[#This Row],[ShoulderLength]]="","",IF(Table3[[#This Row],[ShoulderLength]]&lt;Table3[[#This Row],[LOC]],"FIX",""))</f>
        <v/>
      </c>
    </row>
    <row r="378" spans="1:83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v>0</v>
      </c>
      <c r="BN378" s="6">
        <v>0</v>
      </c>
      <c r="BO378" s="6">
        <v>0</v>
      </c>
      <c r="BP378" s="6">
        <v>0</v>
      </c>
      <c r="BQ378" s="6">
        <v>0</v>
      </c>
      <c r="BR378" s="6">
        <v>0</v>
      </c>
      <c r="BS378" s="6">
        <v>0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>
        <v>0</v>
      </c>
      <c r="CA378" s="6">
        <v>0</v>
      </c>
      <c r="CB378" s="6">
        <v>0</v>
      </c>
      <c r="CC378" s="6">
        <f>IF(Table3[[#This Row],[Type]]="EM",IF((Table3[[#This Row],[Diameter]]/2)-Table3[[#This Row],[CornerRadius]]-0.012&gt;0,(Table3[[#This Row],[Diameter]]/2)-Table3[[#This Row],[CornerRadius]]-0.012,0),)</f>
        <v>0</v>
      </c>
      <c r="CE378" s="6" t="str">
        <f>IF(Table3[[#This Row],[ShoulderLength]]="","",IF(Table3[[#This Row],[ShoulderLength]]&lt;Table3[[#This Row],[LOC]],"FIX",""))</f>
        <v/>
      </c>
    </row>
    <row r="379" spans="1:83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v>0</v>
      </c>
      <c r="BN379" s="6">
        <v>0</v>
      </c>
      <c r="BO379" s="6">
        <v>0</v>
      </c>
      <c r="BP379" s="6">
        <v>0</v>
      </c>
      <c r="BQ379" s="6">
        <v>0</v>
      </c>
      <c r="BR379" s="6">
        <v>0</v>
      </c>
      <c r="BS379" s="6">
        <v>0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>
        <v>0</v>
      </c>
      <c r="CA379" s="6">
        <v>0</v>
      </c>
      <c r="CB379" s="6">
        <v>0</v>
      </c>
      <c r="CC379" s="6">
        <f>IF(Table3[[#This Row],[Type]]="EM",IF((Table3[[#This Row],[Diameter]]/2)-Table3[[#This Row],[CornerRadius]]-0.012&gt;0,(Table3[[#This Row],[Diameter]]/2)-Table3[[#This Row],[CornerRadius]]-0.012,0),)</f>
        <v>0</v>
      </c>
      <c r="CE379" s="6" t="str">
        <f>IF(Table3[[#This Row],[ShoulderLength]]="","",IF(Table3[[#This Row],[ShoulderLength]]&lt;Table3[[#This Row],[LOC]],"FIX",""))</f>
        <v/>
      </c>
    </row>
    <row r="380" spans="1:83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v>0</v>
      </c>
      <c r="BN380" s="6">
        <v>0</v>
      </c>
      <c r="BO380" s="6">
        <v>0</v>
      </c>
      <c r="BP380" s="6">
        <v>0</v>
      </c>
      <c r="BQ380" s="6">
        <v>0</v>
      </c>
      <c r="BR380" s="6">
        <v>0</v>
      </c>
      <c r="BS380" s="6">
        <v>0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>
        <v>0</v>
      </c>
      <c r="CA380" s="6">
        <v>0</v>
      </c>
      <c r="CB380" s="6">
        <v>0</v>
      </c>
      <c r="CC380" s="6">
        <f>IF(Table3[[#This Row],[Type]]="EM",IF((Table3[[#This Row],[Diameter]]/2)-Table3[[#This Row],[CornerRadius]]-0.012&gt;0,(Table3[[#This Row],[Diameter]]/2)-Table3[[#This Row],[CornerRadius]]-0.012,0),)</f>
        <v>0</v>
      </c>
      <c r="CE380" s="6" t="str">
        <f>IF(Table3[[#This Row],[ShoulderLength]]="","",IF(Table3[[#This Row],[ShoulderLength]]&lt;Table3[[#This Row],[LOC]],"FIX",""))</f>
        <v/>
      </c>
    </row>
    <row r="381" spans="1:83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v>0</v>
      </c>
      <c r="BN381" s="6">
        <v>0</v>
      </c>
      <c r="BO381" s="6">
        <v>0</v>
      </c>
      <c r="BP381" s="6">
        <v>0</v>
      </c>
      <c r="BQ381" s="6">
        <v>0</v>
      </c>
      <c r="BR381" s="6">
        <v>0</v>
      </c>
      <c r="BS381" s="6">
        <v>0</v>
      </c>
      <c r="BT381" s="6">
        <v>0</v>
      </c>
      <c r="BU381" s="6">
        <v>0</v>
      </c>
      <c r="BV381" s="6">
        <v>0</v>
      </c>
      <c r="BW381" s="6">
        <v>0</v>
      </c>
      <c r="BX381" s="6">
        <v>0</v>
      </c>
      <c r="BY381" s="6">
        <v>0</v>
      </c>
      <c r="BZ381" s="6">
        <v>0</v>
      </c>
      <c r="CA381" s="6">
        <v>0</v>
      </c>
      <c r="CB381" s="6">
        <v>0</v>
      </c>
      <c r="CC381" s="6">
        <f>IF(Table3[[#This Row],[Type]]="EM",IF((Table3[[#This Row],[Diameter]]/2)-Table3[[#This Row],[CornerRadius]]-0.012&gt;0,(Table3[[#This Row],[Diameter]]/2)-Table3[[#This Row],[CornerRadius]]-0.012,0),)</f>
        <v>0</v>
      </c>
      <c r="CE381" s="6" t="str">
        <f>IF(Table3[[#This Row],[ShoulderLength]]="","",IF(Table3[[#This Row],[ShoulderLength]]&lt;Table3[[#This Row],[LOC]],"FIX",""))</f>
        <v/>
      </c>
    </row>
    <row r="382" spans="1:83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v>0</v>
      </c>
      <c r="BN382" s="6">
        <v>0</v>
      </c>
      <c r="BO382" s="6">
        <v>0</v>
      </c>
      <c r="BP382" s="6">
        <v>0</v>
      </c>
      <c r="BQ382" s="6">
        <v>0</v>
      </c>
      <c r="BR382" s="6">
        <v>0</v>
      </c>
      <c r="BS382" s="6">
        <v>0</v>
      </c>
      <c r="BT382" s="6">
        <v>0</v>
      </c>
      <c r="BU382" s="6">
        <v>0</v>
      </c>
      <c r="BV382" s="6">
        <v>0</v>
      </c>
      <c r="BW382" s="6">
        <v>0</v>
      </c>
      <c r="BX382" s="6">
        <v>0</v>
      </c>
      <c r="BY382" s="6">
        <v>0</v>
      </c>
      <c r="BZ382" s="6">
        <v>0</v>
      </c>
      <c r="CA382" s="6">
        <v>0</v>
      </c>
      <c r="CB382" s="6">
        <v>0</v>
      </c>
      <c r="CC382" s="6">
        <f>IF(Table3[[#This Row],[Type]]="EM",IF((Table3[[#This Row],[Diameter]]/2)-Table3[[#This Row],[CornerRadius]]-0.012&gt;0,(Table3[[#This Row],[Diameter]]/2)-Table3[[#This Row],[CornerRadius]]-0.012,0),)</f>
        <v>0</v>
      </c>
      <c r="CE382" s="6" t="str">
        <f>IF(Table3[[#This Row],[ShoulderLength]]="","",IF(Table3[[#This Row],[ShoulderLength]]&lt;Table3[[#This Row],[LOC]],"FIX",""))</f>
        <v/>
      </c>
    </row>
    <row r="383" spans="1:83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v>0</v>
      </c>
      <c r="BN383" s="6">
        <v>0</v>
      </c>
      <c r="BO383" s="6">
        <v>0</v>
      </c>
      <c r="BP383" s="6">
        <v>0</v>
      </c>
      <c r="BQ383" s="6">
        <v>0</v>
      </c>
      <c r="BR383" s="6">
        <v>0</v>
      </c>
      <c r="BS383" s="6">
        <v>0</v>
      </c>
      <c r="BT383" s="6">
        <v>0</v>
      </c>
      <c r="BU383" s="6">
        <v>0</v>
      </c>
      <c r="BV383" s="6">
        <v>0</v>
      </c>
      <c r="BW383" s="6">
        <v>0</v>
      </c>
      <c r="BX383" s="6">
        <v>0</v>
      </c>
      <c r="BY383" s="6">
        <v>0</v>
      </c>
      <c r="BZ383" s="6">
        <v>0</v>
      </c>
      <c r="CA383" s="6">
        <v>0</v>
      </c>
      <c r="CB383" s="6">
        <v>0</v>
      </c>
      <c r="CC383" s="6">
        <f>IF(Table3[[#This Row],[Type]]="EM",IF((Table3[[#This Row],[Diameter]]/2)-Table3[[#This Row],[CornerRadius]]-0.012&gt;0,(Table3[[#This Row],[Diameter]]/2)-Table3[[#This Row],[CornerRadius]]-0.012,0),)</f>
        <v>0</v>
      </c>
      <c r="CE383" s="6" t="str">
        <f>IF(Table3[[#This Row],[ShoulderLength]]="","",IF(Table3[[#This Row],[ShoulderLength]]&lt;Table3[[#This Row],[LOC]],"FIX",""))</f>
        <v/>
      </c>
    </row>
    <row r="384" spans="1:83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v>0</v>
      </c>
      <c r="BN384" s="6">
        <v>0</v>
      </c>
      <c r="BO384" s="6">
        <v>0</v>
      </c>
      <c r="BP384" s="6">
        <v>0</v>
      </c>
      <c r="BQ384" s="6">
        <v>0</v>
      </c>
      <c r="BR384" s="6">
        <v>0</v>
      </c>
      <c r="BS384" s="6">
        <v>0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>
        <v>0</v>
      </c>
      <c r="CA384" s="6">
        <v>0</v>
      </c>
      <c r="CB384" s="6">
        <v>0</v>
      </c>
      <c r="CC384" s="6">
        <f>IF(Table3[[#This Row],[Type]]="EM",IF((Table3[[#This Row],[Diameter]]/2)-Table3[[#This Row],[CornerRadius]]-0.012&gt;0,(Table3[[#This Row],[Diameter]]/2)-Table3[[#This Row],[CornerRadius]]-0.012,0),)</f>
        <v>0</v>
      </c>
      <c r="CE384" s="6" t="str">
        <f>IF(Table3[[#This Row],[ShoulderLength]]="","",IF(Table3[[#This Row],[ShoulderLength]]&lt;Table3[[#This Row],[LOC]],"FIX",""))</f>
        <v/>
      </c>
    </row>
    <row r="385" spans="1:83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v>0</v>
      </c>
      <c r="BN385" s="6">
        <v>0</v>
      </c>
      <c r="BO385" s="6">
        <v>0</v>
      </c>
      <c r="BP385" s="6">
        <v>0</v>
      </c>
      <c r="BQ385" s="6">
        <v>0</v>
      </c>
      <c r="BR385" s="6">
        <v>0</v>
      </c>
      <c r="BS385" s="6">
        <v>0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>
        <v>0</v>
      </c>
      <c r="CA385" s="6">
        <v>0</v>
      </c>
      <c r="CB385" s="6">
        <v>0</v>
      </c>
      <c r="CC385" s="6">
        <f>IF(Table3[[#This Row],[Type]]="EM",IF((Table3[[#This Row],[Diameter]]/2)-Table3[[#This Row],[CornerRadius]]-0.012&gt;0,(Table3[[#This Row],[Diameter]]/2)-Table3[[#This Row],[CornerRadius]]-0.012,0),)</f>
        <v>0</v>
      </c>
      <c r="CE385" s="6" t="str">
        <f>IF(Table3[[#This Row],[ShoulderLength]]="","",IF(Table3[[#This Row],[ShoulderLength]]&lt;Table3[[#This Row],[LOC]],"FIX",""))</f>
        <v/>
      </c>
    </row>
    <row r="386" spans="1:83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v>0</v>
      </c>
      <c r="BN386" s="6">
        <v>0</v>
      </c>
      <c r="BO386" s="6">
        <v>0</v>
      </c>
      <c r="BP386" s="6">
        <v>0</v>
      </c>
      <c r="BQ386" s="6">
        <v>0</v>
      </c>
      <c r="BR386" s="6">
        <v>0</v>
      </c>
      <c r="BS386" s="6">
        <v>0</v>
      </c>
      <c r="BT386" s="6">
        <v>0</v>
      </c>
      <c r="BU386" s="6">
        <v>0</v>
      </c>
      <c r="BV386" s="6">
        <v>0</v>
      </c>
      <c r="BW386" s="6">
        <v>0</v>
      </c>
      <c r="BX386" s="6">
        <v>0</v>
      </c>
      <c r="BY386" s="6">
        <v>0</v>
      </c>
      <c r="BZ386" s="6">
        <v>0</v>
      </c>
      <c r="CA386" s="6">
        <v>0</v>
      </c>
      <c r="CB386" s="6">
        <v>0</v>
      </c>
      <c r="CC386" s="6">
        <f>IF(Table3[[#This Row],[Type]]="EM",IF((Table3[[#This Row],[Diameter]]/2)-Table3[[#This Row],[CornerRadius]]-0.012&gt;0,(Table3[[#This Row],[Diameter]]/2)-Table3[[#This Row],[CornerRadius]]-0.012,0),)</f>
        <v>0</v>
      </c>
      <c r="CE386" s="6" t="str">
        <f>IF(Table3[[#This Row],[ShoulderLength]]="","",IF(Table3[[#This Row],[ShoulderLength]]&lt;Table3[[#This Row],[LOC]],"FIX",""))</f>
        <v/>
      </c>
    </row>
    <row r="387" spans="1:83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v>0</v>
      </c>
      <c r="BN387" s="6">
        <v>0</v>
      </c>
      <c r="BO387" s="6">
        <v>0</v>
      </c>
      <c r="BP387" s="6">
        <v>0</v>
      </c>
      <c r="BQ387" s="6">
        <v>0</v>
      </c>
      <c r="BR387" s="6">
        <v>0</v>
      </c>
      <c r="BS387" s="6">
        <v>0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>
        <v>0</v>
      </c>
      <c r="CA387" s="6">
        <v>0</v>
      </c>
      <c r="CB387" s="6">
        <v>0</v>
      </c>
      <c r="CC387" s="6">
        <f>IF(Table3[[#This Row],[Type]]="EM",IF((Table3[[#This Row],[Diameter]]/2)-Table3[[#This Row],[CornerRadius]]-0.012&gt;0,(Table3[[#This Row],[Diameter]]/2)-Table3[[#This Row],[CornerRadius]]-0.012,0),)</f>
        <v>0</v>
      </c>
      <c r="CE387" s="6" t="str">
        <f>IF(Table3[[#This Row],[ShoulderLength]]="","",IF(Table3[[#This Row],[ShoulderLength]]&lt;Table3[[#This Row],[LOC]],"FIX",""))</f>
        <v/>
      </c>
    </row>
    <row r="388" spans="1:83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v>0</v>
      </c>
      <c r="BN388" s="6">
        <v>0</v>
      </c>
      <c r="BO388" s="6">
        <v>0</v>
      </c>
      <c r="BP388" s="6">
        <v>0</v>
      </c>
      <c r="BQ388" s="6">
        <v>0</v>
      </c>
      <c r="BR388" s="6">
        <v>0</v>
      </c>
      <c r="BS388" s="6">
        <v>0</v>
      </c>
      <c r="BT388" s="6">
        <v>0</v>
      </c>
      <c r="BU388" s="6">
        <v>0</v>
      </c>
      <c r="BV388" s="6">
        <v>0</v>
      </c>
      <c r="BW388" s="6">
        <v>0</v>
      </c>
      <c r="BX388" s="6">
        <v>0</v>
      </c>
      <c r="BY388" s="6">
        <v>0</v>
      </c>
      <c r="BZ388" s="6">
        <v>0</v>
      </c>
      <c r="CA388" s="6">
        <v>0</v>
      </c>
      <c r="CB388" s="6">
        <v>0</v>
      </c>
      <c r="CC388" s="6">
        <f>IF(Table3[[#This Row],[Type]]="EM",IF((Table3[[#This Row],[Diameter]]/2)-Table3[[#This Row],[CornerRadius]]-0.012&gt;0,(Table3[[#This Row],[Diameter]]/2)-Table3[[#This Row],[CornerRadius]]-0.012,0),)</f>
        <v>0</v>
      </c>
      <c r="CE388" s="6" t="str">
        <f>IF(Table3[[#This Row],[ShoulderLength]]="","",IF(Table3[[#This Row],[ShoulderLength]]&lt;Table3[[#This Row],[LOC]],"FIX",""))</f>
        <v/>
      </c>
    </row>
    <row r="389" spans="1:83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v>0</v>
      </c>
      <c r="BN389" s="6">
        <v>0</v>
      </c>
      <c r="BO389" s="6">
        <v>0</v>
      </c>
      <c r="BP389" s="6">
        <v>0</v>
      </c>
      <c r="BQ389" s="6">
        <v>0</v>
      </c>
      <c r="BR389" s="6">
        <v>0</v>
      </c>
      <c r="BS389" s="6">
        <v>0</v>
      </c>
      <c r="BT389" s="6">
        <v>0</v>
      </c>
      <c r="BU389" s="6">
        <v>0</v>
      </c>
      <c r="BV389" s="6">
        <v>0</v>
      </c>
      <c r="BW389" s="6">
        <v>0</v>
      </c>
      <c r="BX389" s="6">
        <v>0</v>
      </c>
      <c r="BY389" s="6">
        <v>0</v>
      </c>
      <c r="BZ389" s="6">
        <v>0</v>
      </c>
      <c r="CA389" s="6">
        <v>0</v>
      </c>
      <c r="CB389" s="6">
        <v>0</v>
      </c>
      <c r="CC389" s="6">
        <f>IF(Table3[[#This Row],[Type]]="EM",IF((Table3[[#This Row],[Diameter]]/2)-Table3[[#This Row],[CornerRadius]]-0.012&gt;0,(Table3[[#This Row],[Diameter]]/2)-Table3[[#This Row],[CornerRadius]]-0.012,0),)</f>
        <v>0</v>
      </c>
      <c r="CE389" s="6" t="str">
        <f>IF(Table3[[#This Row],[ShoulderLength]]="","",IF(Table3[[#This Row],[ShoulderLength]]&lt;Table3[[#This Row],[LOC]],"FIX",""))</f>
        <v/>
      </c>
    </row>
    <row r="390" spans="1:83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v>0</v>
      </c>
      <c r="BN390" s="6">
        <v>0</v>
      </c>
      <c r="BO390" s="6">
        <v>0</v>
      </c>
      <c r="BP390" s="6">
        <v>0</v>
      </c>
      <c r="BQ390" s="6">
        <v>0</v>
      </c>
      <c r="BR390" s="6">
        <v>0</v>
      </c>
      <c r="BS390" s="6">
        <v>0</v>
      </c>
      <c r="BT390" s="6">
        <v>0</v>
      </c>
      <c r="BU390" s="6">
        <v>0</v>
      </c>
      <c r="BV390" s="6">
        <v>0</v>
      </c>
      <c r="BW390" s="6">
        <v>0</v>
      </c>
      <c r="BX390" s="6">
        <v>0</v>
      </c>
      <c r="BY390" s="6">
        <v>0</v>
      </c>
      <c r="BZ390" s="6">
        <v>0</v>
      </c>
      <c r="CA390" s="6">
        <v>0</v>
      </c>
      <c r="CB390" s="6">
        <v>0</v>
      </c>
      <c r="CC390" s="6">
        <f>IF(Table3[[#This Row],[Type]]="EM",IF((Table3[[#This Row],[Diameter]]/2)-Table3[[#This Row],[CornerRadius]]-0.012&gt;0,(Table3[[#This Row],[Diameter]]/2)-Table3[[#This Row],[CornerRadius]]-0.012,0),)</f>
        <v>0</v>
      </c>
      <c r="CE390" s="6" t="str">
        <f>IF(Table3[[#This Row],[ShoulderLength]]="","",IF(Table3[[#This Row],[ShoulderLength]]&lt;Table3[[#This Row],[LOC]],"FIX",""))</f>
        <v/>
      </c>
    </row>
    <row r="391" spans="1:83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v>0</v>
      </c>
      <c r="BN391" s="6">
        <v>0</v>
      </c>
      <c r="BO391" s="6">
        <v>0</v>
      </c>
      <c r="BP391" s="6">
        <v>0</v>
      </c>
      <c r="BQ391" s="6">
        <v>0</v>
      </c>
      <c r="BR391" s="6">
        <v>0</v>
      </c>
      <c r="BS391" s="6">
        <v>0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>
        <v>0</v>
      </c>
      <c r="CA391" s="6">
        <v>0</v>
      </c>
      <c r="CB391" s="6">
        <v>0</v>
      </c>
      <c r="CC391" s="6">
        <f>IF(Table3[[#This Row],[Type]]="EM",IF((Table3[[#This Row],[Diameter]]/2)-Table3[[#This Row],[CornerRadius]]-0.012&gt;0,(Table3[[#This Row],[Diameter]]/2)-Table3[[#This Row],[CornerRadius]]-0.012,0),)</f>
        <v>0</v>
      </c>
      <c r="CE391" s="6" t="str">
        <f>IF(Table3[[#This Row],[ShoulderLength]]="","",IF(Table3[[#This Row],[ShoulderLength]]&lt;Table3[[#This Row],[LOC]],"FIX",""))</f>
        <v/>
      </c>
    </row>
    <row r="392" spans="1:83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v>0</v>
      </c>
      <c r="BN392" s="6">
        <v>0</v>
      </c>
      <c r="BO392" s="6">
        <v>0</v>
      </c>
      <c r="BP392" s="6">
        <v>0</v>
      </c>
      <c r="BQ392" s="6">
        <v>0</v>
      </c>
      <c r="BR392" s="6">
        <v>0</v>
      </c>
      <c r="BS392" s="6">
        <v>0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>
        <v>0</v>
      </c>
      <c r="CA392" s="6">
        <v>0</v>
      </c>
      <c r="CB392" s="6">
        <v>0</v>
      </c>
      <c r="CC392" s="6">
        <f>IF(Table3[[#This Row],[Type]]="EM",IF((Table3[[#This Row],[Diameter]]/2)-Table3[[#This Row],[CornerRadius]]-0.012&gt;0,(Table3[[#This Row],[Diameter]]/2)-Table3[[#This Row],[CornerRadius]]-0.012,0),)</f>
        <v>0</v>
      </c>
      <c r="CE392" s="6" t="str">
        <f>IF(Table3[[#This Row],[ShoulderLength]]="","",IF(Table3[[#This Row],[ShoulderLength]]&lt;Table3[[#This Row],[LOC]],"FIX",""))</f>
        <v/>
      </c>
    </row>
    <row r="393" spans="1:83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v>0</v>
      </c>
      <c r="BN393" s="6">
        <v>0</v>
      </c>
      <c r="BO393" s="6">
        <v>0</v>
      </c>
      <c r="BP393" s="6">
        <v>0</v>
      </c>
      <c r="BQ393" s="6">
        <v>0</v>
      </c>
      <c r="BR393" s="6">
        <v>0</v>
      </c>
      <c r="BS393" s="6">
        <v>0</v>
      </c>
      <c r="BT393" s="6">
        <v>0</v>
      </c>
      <c r="BU393" s="6">
        <v>0</v>
      </c>
      <c r="BV393" s="6">
        <v>0</v>
      </c>
      <c r="BW393" s="6">
        <v>0</v>
      </c>
      <c r="BX393" s="6">
        <v>0</v>
      </c>
      <c r="BY393" s="6">
        <v>0</v>
      </c>
      <c r="BZ393" s="6">
        <v>0</v>
      </c>
      <c r="CA393" s="6">
        <v>0</v>
      </c>
      <c r="CB393" s="6">
        <v>0</v>
      </c>
      <c r="CC393" s="6">
        <f>IF(Table3[[#This Row],[Type]]="EM",IF((Table3[[#This Row],[Diameter]]/2)-Table3[[#This Row],[CornerRadius]]-0.012&gt;0,(Table3[[#This Row],[Diameter]]/2)-Table3[[#This Row],[CornerRadius]]-0.012,0),)</f>
        <v>0</v>
      </c>
      <c r="CE393" s="6" t="str">
        <f>IF(Table3[[#This Row],[ShoulderLength]]="","",IF(Table3[[#This Row],[ShoulderLength]]&lt;Table3[[#This Row],[LOC]],"FIX",""))</f>
        <v/>
      </c>
    </row>
    <row r="394" spans="1:83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v>0</v>
      </c>
      <c r="BN394" s="6">
        <v>0</v>
      </c>
      <c r="BO394" s="6">
        <v>0</v>
      </c>
      <c r="BP394" s="6">
        <v>0</v>
      </c>
      <c r="BQ394" s="6">
        <v>0</v>
      </c>
      <c r="BR394" s="6">
        <v>0</v>
      </c>
      <c r="BS394" s="6">
        <v>0</v>
      </c>
      <c r="BT394" s="6">
        <v>0</v>
      </c>
      <c r="BU394" s="6">
        <v>0</v>
      </c>
      <c r="BV394" s="6">
        <v>0</v>
      </c>
      <c r="BW394" s="6">
        <v>0</v>
      </c>
      <c r="BX394" s="6">
        <v>0</v>
      </c>
      <c r="BY394" s="6">
        <v>0</v>
      </c>
      <c r="BZ394" s="6">
        <v>0</v>
      </c>
      <c r="CA394" s="6">
        <v>0</v>
      </c>
      <c r="CB394" s="6">
        <v>0</v>
      </c>
      <c r="CC394" s="6">
        <f>IF(Table3[[#This Row],[Type]]="EM",IF((Table3[[#This Row],[Diameter]]/2)-Table3[[#This Row],[CornerRadius]]-0.012&gt;0,(Table3[[#This Row],[Diameter]]/2)-Table3[[#This Row],[CornerRadius]]-0.012,0),)</f>
        <v>0</v>
      </c>
      <c r="CE394" s="6" t="str">
        <f>IF(Table3[[#This Row],[ShoulderLength]]="","",IF(Table3[[#This Row],[ShoulderLength]]&lt;Table3[[#This Row],[LOC]],"FIX",""))</f>
        <v/>
      </c>
    </row>
    <row r="395" spans="1:83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v>0</v>
      </c>
      <c r="BN395" s="6">
        <v>0</v>
      </c>
      <c r="BO395" s="6">
        <v>0</v>
      </c>
      <c r="BP395" s="6">
        <v>0</v>
      </c>
      <c r="BQ395" s="6">
        <v>0</v>
      </c>
      <c r="BR395" s="6">
        <v>0</v>
      </c>
      <c r="BS395" s="6">
        <v>0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>
        <v>0</v>
      </c>
      <c r="CA395" s="6">
        <v>0</v>
      </c>
      <c r="CB395" s="6">
        <v>0</v>
      </c>
      <c r="CC395" s="6">
        <f>IF(Table3[[#This Row],[Type]]="EM",IF((Table3[[#This Row],[Diameter]]/2)-Table3[[#This Row],[CornerRadius]]-0.012&gt;0,(Table3[[#This Row],[Diameter]]/2)-Table3[[#This Row],[CornerRadius]]-0.012,0),)</f>
        <v>0</v>
      </c>
      <c r="CE395" s="6" t="str">
        <f>IF(Table3[[#This Row],[ShoulderLength]]="","",IF(Table3[[#This Row],[ShoulderLength]]&lt;Table3[[#This Row],[LOC]],"FIX",""))</f>
        <v/>
      </c>
    </row>
    <row r="396" spans="1:83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v>0</v>
      </c>
      <c r="BN396" s="6">
        <v>0</v>
      </c>
      <c r="BO396" s="6">
        <v>0</v>
      </c>
      <c r="BP396" s="6">
        <v>0</v>
      </c>
      <c r="BQ396" s="6">
        <v>0</v>
      </c>
      <c r="BR396" s="6">
        <v>0</v>
      </c>
      <c r="BS396" s="6">
        <v>0</v>
      </c>
      <c r="BT396" s="6">
        <v>0</v>
      </c>
      <c r="BU396" s="6">
        <v>0</v>
      </c>
      <c r="BV396" s="6">
        <v>0</v>
      </c>
      <c r="BW396" s="6">
        <v>0</v>
      </c>
      <c r="BX396" s="6">
        <v>0</v>
      </c>
      <c r="BY396" s="6">
        <v>0</v>
      </c>
      <c r="BZ396" s="6">
        <v>0</v>
      </c>
      <c r="CA396" s="6">
        <v>0</v>
      </c>
      <c r="CB396" s="6">
        <v>0</v>
      </c>
      <c r="CC396" s="6">
        <f>IF(Table3[[#This Row],[Type]]="EM",IF((Table3[[#This Row],[Diameter]]/2)-Table3[[#This Row],[CornerRadius]]-0.012&gt;0,(Table3[[#This Row],[Diameter]]/2)-Table3[[#This Row],[CornerRadius]]-0.012,0),)</f>
        <v>0</v>
      </c>
      <c r="CE396" s="6" t="str">
        <f>IF(Table3[[#This Row],[ShoulderLength]]="","",IF(Table3[[#This Row],[ShoulderLength]]&lt;Table3[[#This Row],[LOC]],"FIX",""))</f>
        <v/>
      </c>
    </row>
    <row r="397" spans="1:83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v>0</v>
      </c>
      <c r="BN397" s="6">
        <v>0</v>
      </c>
      <c r="BO397" s="6">
        <v>0</v>
      </c>
      <c r="BP397" s="6">
        <v>0</v>
      </c>
      <c r="BQ397" s="6">
        <v>0</v>
      </c>
      <c r="BR397" s="6">
        <v>0</v>
      </c>
      <c r="BS397" s="6">
        <v>0</v>
      </c>
      <c r="BT397" s="6">
        <v>0</v>
      </c>
      <c r="BU397" s="6">
        <v>0</v>
      </c>
      <c r="BV397" s="6">
        <v>0</v>
      </c>
      <c r="BW397" s="6">
        <v>0</v>
      </c>
      <c r="BX397" s="6">
        <v>0</v>
      </c>
      <c r="BY397" s="6">
        <v>0</v>
      </c>
      <c r="BZ397" s="6">
        <v>0</v>
      </c>
      <c r="CA397" s="6">
        <v>0</v>
      </c>
      <c r="CB397" s="6">
        <v>0</v>
      </c>
      <c r="CC397" s="6">
        <f>IF(Table3[[#This Row],[Type]]="EM",IF((Table3[[#This Row],[Diameter]]/2)-Table3[[#This Row],[CornerRadius]]-0.012&gt;0,(Table3[[#This Row],[Diameter]]/2)-Table3[[#This Row],[CornerRadius]]-0.012,0),)</f>
        <v>0</v>
      </c>
      <c r="CE397" s="6" t="str">
        <f>IF(Table3[[#This Row],[ShoulderLength]]="","",IF(Table3[[#This Row],[ShoulderLength]]&lt;Table3[[#This Row],[LOC]],"FIX",""))</f>
        <v/>
      </c>
    </row>
    <row r="398" spans="1:83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v>0</v>
      </c>
      <c r="BN398" s="6">
        <v>0</v>
      </c>
      <c r="BO398" s="6">
        <v>0</v>
      </c>
      <c r="BP398" s="6">
        <v>0</v>
      </c>
      <c r="BQ398" s="6">
        <v>0</v>
      </c>
      <c r="BR398" s="6">
        <v>0</v>
      </c>
      <c r="BS398" s="6">
        <v>0</v>
      </c>
      <c r="BT398" s="6">
        <v>0</v>
      </c>
      <c r="BU398" s="6">
        <v>0</v>
      </c>
      <c r="BV398" s="6">
        <v>0</v>
      </c>
      <c r="BW398" s="6">
        <v>0</v>
      </c>
      <c r="BX398" s="6">
        <v>0</v>
      </c>
      <c r="BY398" s="6">
        <v>0</v>
      </c>
      <c r="BZ398" s="6">
        <v>0</v>
      </c>
      <c r="CA398" s="6">
        <v>0</v>
      </c>
      <c r="CB398" s="6">
        <v>0</v>
      </c>
      <c r="CC398" s="6">
        <f>IF(Table3[[#This Row],[Type]]="EM",IF((Table3[[#This Row],[Diameter]]/2)-Table3[[#This Row],[CornerRadius]]-0.012&gt;0,(Table3[[#This Row],[Diameter]]/2)-Table3[[#This Row],[CornerRadius]]-0.012,0),)</f>
        <v>0</v>
      </c>
      <c r="CE398" s="6" t="str">
        <f>IF(Table3[[#This Row],[ShoulderLength]]="","",IF(Table3[[#This Row],[ShoulderLength]]&lt;Table3[[#This Row],[LOC]],"FIX",""))</f>
        <v/>
      </c>
    </row>
    <row r="399" spans="1:83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v>0</v>
      </c>
      <c r="BN399" s="6">
        <v>0</v>
      </c>
      <c r="BO399" s="6">
        <v>0</v>
      </c>
      <c r="BP399" s="6">
        <v>0</v>
      </c>
      <c r="BQ399" s="6">
        <v>0</v>
      </c>
      <c r="BR399" s="6">
        <v>0</v>
      </c>
      <c r="BS399" s="6">
        <v>0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>
        <v>0</v>
      </c>
      <c r="CA399" s="6">
        <v>0</v>
      </c>
      <c r="CB399" s="6">
        <v>0</v>
      </c>
      <c r="CC399" s="6">
        <f>IF(Table3[[#This Row],[Type]]="EM",IF((Table3[[#This Row],[Diameter]]/2)-Table3[[#This Row],[CornerRadius]]-0.012&gt;0,(Table3[[#This Row],[Diameter]]/2)-Table3[[#This Row],[CornerRadius]]-0.012,0),)</f>
        <v>0</v>
      </c>
      <c r="CE399" s="6" t="str">
        <f>IF(Table3[[#This Row],[ShoulderLength]]="","",IF(Table3[[#This Row],[ShoulderLength]]&lt;Table3[[#This Row],[LOC]],"FIX",""))</f>
        <v/>
      </c>
    </row>
    <row r="400" spans="1:83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v>0</v>
      </c>
      <c r="BN400" s="6">
        <v>0</v>
      </c>
      <c r="BO400" s="6">
        <v>0</v>
      </c>
      <c r="BP400" s="6">
        <v>0</v>
      </c>
      <c r="BQ400" s="6">
        <v>0</v>
      </c>
      <c r="BR400" s="6">
        <v>0</v>
      </c>
      <c r="BS400" s="6">
        <v>0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>
        <v>0</v>
      </c>
      <c r="CA400" s="6">
        <v>0</v>
      </c>
      <c r="CB400" s="6">
        <v>0</v>
      </c>
      <c r="CC400" s="6">
        <f>IF(Table3[[#This Row],[Type]]="EM",IF((Table3[[#This Row],[Diameter]]/2)-Table3[[#This Row],[CornerRadius]]-0.012&gt;0,(Table3[[#This Row],[Diameter]]/2)-Table3[[#This Row],[CornerRadius]]-0.012,0),)</f>
        <v>0</v>
      </c>
      <c r="CE400" s="6" t="str">
        <f>IF(Table3[[#This Row],[ShoulderLength]]="","",IF(Table3[[#This Row],[ShoulderLength]]&lt;Table3[[#This Row],[LOC]],"FIX",""))</f>
        <v/>
      </c>
    </row>
    <row r="401" spans="1:83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v>0</v>
      </c>
      <c r="BN401" s="6">
        <v>0</v>
      </c>
      <c r="BO401" s="6">
        <v>0</v>
      </c>
      <c r="BP401" s="6">
        <v>0</v>
      </c>
      <c r="BQ401" s="6">
        <v>0</v>
      </c>
      <c r="BR401" s="6">
        <v>0</v>
      </c>
      <c r="BS401" s="6">
        <v>0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>
        <v>0</v>
      </c>
      <c r="CA401" s="6">
        <v>0</v>
      </c>
      <c r="CB401" s="6">
        <v>0</v>
      </c>
      <c r="CC401" s="6">
        <f>IF(Table3[[#This Row],[Type]]="EM",IF((Table3[[#This Row],[Diameter]]/2)-Table3[[#This Row],[CornerRadius]]-0.012&gt;0,(Table3[[#This Row],[Diameter]]/2)-Table3[[#This Row],[CornerRadius]]-0.012,0),)</f>
        <v>0</v>
      </c>
      <c r="CE401" s="6" t="str">
        <f>IF(Table3[[#This Row],[ShoulderLength]]="","",IF(Table3[[#This Row],[ShoulderLength]]&lt;Table3[[#This Row],[LOC]],"FIX",""))</f>
        <v/>
      </c>
    </row>
    <row r="402" spans="1:83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v>0</v>
      </c>
      <c r="BN402" s="6">
        <v>0</v>
      </c>
      <c r="BO402" s="6">
        <v>0</v>
      </c>
      <c r="BP402" s="6">
        <v>0</v>
      </c>
      <c r="BQ402" s="6">
        <v>0</v>
      </c>
      <c r="BR402" s="6">
        <v>0</v>
      </c>
      <c r="BS402" s="6">
        <v>0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>
        <v>0</v>
      </c>
      <c r="CA402" s="6">
        <v>0</v>
      </c>
      <c r="CB402" s="6">
        <v>0</v>
      </c>
      <c r="CC402" s="6">
        <f>IF(Table3[[#This Row],[Type]]="EM",IF((Table3[[#This Row],[Diameter]]/2)-Table3[[#This Row],[CornerRadius]]-0.012&gt;0,(Table3[[#This Row],[Diameter]]/2)-Table3[[#This Row],[CornerRadius]]-0.012,0),)</f>
        <v>0</v>
      </c>
      <c r="CE402" s="6" t="str">
        <f>IF(Table3[[#This Row],[ShoulderLength]]="","",IF(Table3[[#This Row],[ShoulderLength]]&lt;Table3[[#This Row],[LOC]],"FIX",""))</f>
        <v/>
      </c>
    </row>
    <row r="403" spans="1:83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v>0</v>
      </c>
      <c r="BN403" s="6">
        <v>0</v>
      </c>
      <c r="BO403" s="6">
        <v>0</v>
      </c>
      <c r="BP403" s="6">
        <v>0</v>
      </c>
      <c r="BQ403" s="6">
        <v>0</v>
      </c>
      <c r="BR403" s="6">
        <v>0</v>
      </c>
      <c r="BS403" s="6">
        <v>0</v>
      </c>
      <c r="BT403" s="6">
        <v>0</v>
      </c>
      <c r="BU403" s="6">
        <v>0</v>
      </c>
      <c r="BV403" s="6">
        <v>0</v>
      </c>
      <c r="BW403" s="6">
        <v>0</v>
      </c>
      <c r="BX403" s="6">
        <v>0</v>
      </c>
      <c r="BY403" s="6">
        <v>0</v>
      </c>
      <c r="BZ403" s="6">
        <v>0</v>
      </c>
      <c r="CA403" s="6">
        <v>0</v>
      </c>
      <c r="CB403" s="6">
        <v>0</v>
      </c>
      <c r="CC403" s="6">
        <f>IF(Table3[[#This Row],[Type]]="EM",IF((Table3[[#This Row],[Diameter]]/2)-Table3[[#This Row],[CornerRadius]]-0.012&gt;0,(Table3[[#This Row],[Diameter]]/2)-Table3[[#This Row],[CornerRadius]]-0.012,0),)</f>
        <v>0</v>
      </c>
      <c r="CE403" s="6" t="str">
        <f>IF(Table3[[#This Row],[ShoulderLength]]="","",IF(Table3[[#This Row],[ShoulderLength]]&lt;Table3[[#This Row],[LOC]],"FIX",""))</f>
        <v/>
      </c>
    </row>
    <row r="404" spans="1:83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v>0</v>
      </c>
      <c r="BN404" s="6">
        <v>0</v>
      </c>
      <c r="BO404" s="6">
        <v>0</v>
      </c>
      <c r="BP404" s="6">
        <v>0</v>
      </c>
      <c r="BQ404" s="6">
        <v>0</v>
      </c>
      <c r="BR404" s="6">
        <v>0</v>
      </c>
      <c r="BS404" s="6">
        <v>0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>
        <v>0</v>
      </c>
      <c r="CA404" s="6">
        <v>0</v>
      </c>
      <c r="CB404" s="6">
        <v>0</v>
      </c>
      <c r="CC404" s="6">
        <f>IF(Table3[[#This Row],[Type]]="EM",IF((Table3[[#This Row],[Diameter]]/2)-Table3[[#This Row],[CornerRadius]]-0.012&gt;0,(Table3[[#This Row],[Diameter]]/2)-Table3[[#This Row],[CornerRadius]]-0.012,0),)</f>
        <v>0</v>
      </c>
      <c r="CE404" s="6" t="str">
        <f>IF(Table3[[#This Row],[ShoulderLength]]="","",IF(Table3[[#This Row],[ShoulderLength]]&lt;Table3[[#This Row],[LOC]],"FIX",""))</f>
        <v/>
      </c>
    </row>
    <row r="405" spans="1:83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v>0</v>
      </c>
      <c r="BN405" s="6">
        <v>0</v>
      </c>
      <c r="BO405" s="6">
        <v>0</v>
      </c>
      <c r="BP405" s="6">
        <v>0</v>
      </c>
      <c r="BQ405" s="6">
        <v>0</v>
      </c>
      <c r="BR405" s="6">
        <v>0</v>
      </c>
      <c r="BS405" s="6">
        <v>0</v>
      </c>
      <c r="BT405" s="6">
        <v>0</v>
      </c>
      <c r="BU405" s="6">
        <v>0</v>
      </c>
      <c r="BV405" s="6">
        <v>0</v>
      </c>
      <c r="BW405" s="6">
        <v>0</v>
      </c>
      <c r="BX405" s="6">
        <v>0</v>
      </c>
      <c r="BY405" s="6">
        <v>0</v>
      </c>
      <c r="BZ405" s="6">
        <v>0</v>
      </c>
      <c r="CA405" s="6">
        <v>0</v>
      </c>
      <c r="CB405" s="6">
        <v>0</v>
      </c>
      <c r="CC405" s="6">
        <f>IF(Table3[[#This Row],[Type]]="EM",IF((Table3[[#This Row],[Diameter]]/2)-Table3[[#This Row],[CornerRadius]]-0.012&gt;0,(Table3[[#This Row],[Diameter]]/2)-Table3[[#This Row],[CornerRadius]]-0.012,0),)</f>
        <v>0</v>
      </c>
      <c r="CE405" s="6" t="str">
        <f>IF(Table3[[#This Row],[ShoulderLength]]="","",IF(Table3[[#This Row],[ShoulderLength]]&lt;Table3[[#This Row],[LOC]],"FIX",""))</f>
        <v/>
      </c>
    </row>
    <row r="406" spans="1:83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v>0</v>
      </c>
      <c r="BN406" s="6">
        <v>0</v>
      </c>
      <c r="BO406" s="6">
        <v>0</v>
      </c>
      <c r="BP406" s="6">
        <v>0</v>
      </c>
      <c r="BQ406" s="6">
        <v>0</v>
      </c>
      <c r="BR406" s="6">
        <v>0</v>
      </c>
      <c r="BS406" s="6">
        <v>0</v>
      </c>
      <c r="BT406" s="6">
        <v>0</v>
      </c>
      <c r="BU406" s="6">
        <v>0</v>
      </c>
      <c r="BV406" s="6">
        <v>0</v>
      </c>
      <c r="BW406" s="6">
        <v>0</v>
      </c>
      <c r="BX406" s="6">
        <v>0</v>
      </c>
      <c r="BY406" s="6">
        <v>0</v>
      </c>
      <c r="BZ406" s="6">
        <v>0</v>
      </c>
      <c r="CA406" s="6">
        <v>0</v>
      </c>
      <c r="CB406" s="6">
        <v>0</v>
      </c>
      <c r="CC406" s="6">
        <f>IF(Table3[[#This Row],[Type]]="EM",IF((Table3[[#This Row],[Diameter]]/2)-Table3[[#This Row],[CornerRadius]]-0.012&gt;0,(Table3[[#This Row],[Diameter]]/2)-Table3[[#This Row],[CornerRadius]]-0.012,0),)</f>
        <v>0</v>
      </c>
      <c r="CE406" s="6" t="str">
        <f>IF(Table3[[#This Row],[ShoulderLength]]="","",IF(Table3[[#This Row],[ShoulderLength]]&lt;Table3[[#This Row],[LOC]],"FIX",""))</f>
        <v/>
      </c>
    </row>
    <row r="407" spans="1:83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v>0</v>
      </c>
      <c r="BN407" s="6">
        <v>0</v>
      </c>
      <c r="BO407" s="6">
        <v>0</v>
      </c>
      <c r="BP407" s="6">
        <v>0</v>
      </c>
      <c r="BQ407" s="6">
        <v>0</v>
      </c>
      <c r="BR407" s="6">
        <v>0</v>
      </c>
      <c r="BS407" s="6">
        <v>0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>
        <v>0</v>
      </c>
      <c r="CA407" s="6">
        <v>0</v>
      </c>
      <c r="CB407" s="6">
        <v>0</v>
      </c>
      <c r="CC407" s="6">
        <f>IF(Table3[[#This Row],[Type]]="EM",IF((Table3[[#This Row],[Diameter]]/2)-Table3[[#This Row],[CornerRadius]]-0.012&gt;0,(Table3[[#This Row],[Diameter]]/2)-Table3[[#This Row],[CornerRadius]]-0.012,0),)</f>
        <v>0</v>
      </c>
      <c r="CE407" s="6" t="str">
        <f>IF(Table3[[#This Row],[ShoulderLength]]="","",IF(Table3[[#This Row],[ShoulderLength]]&lt;Table3[[#This Row],[LOC]],"FIX",""))</f>
        <v/>
      </c>
    </row>
    <row r="408" spans="1:83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v>0</v>
      </c>
      <c r="BN408" s="6">
        <v>0</v>
      </c>
      <c r="BO408" s="6">
        <v>0</v>
      </c>
      <c r="BP408" s="6">
        <v>0</v>
      </c>
      <c r="BQ408" s="6">
        <v>0</v>
      </c>
      <c r="BR408" s="6">
        <v>0</v>
      </c>
      <c r="BS408" s="6">
        <v>0</v>
      </c>
      <c r="BT408" s="6">
        <v>0</v>
      </c>
      <c r="BU408" s="6">
        <v>0</v>
      </c>
      <c r="BV408" s="6">
        <v>0</v>
      </c>
      <c r="BW408" s="6">
        <v>0</v>
      </c>
      <c r="BX408" s="6">
        <v>0</v>
      </c>
      <c r="BY408" s="6">
        <v>0</v>
      </c>
      <c r="BZ408" s="6">
        <v>0</v>
      </c>
      <c r="CA408" s="6">
        <v>0</v>
      </c>
      <c r="CB408" s="6">
        <v>0</v>
      </c>
      <c r="CC408" s="6">
        <f>IF(Table3[[#This Row],[Type]]="EM",IF((Table3[[#This Row],[Diameter]]/2)-Table3[[#This Row],[CornerRadius]]-0.012&gt;0,(Table3[[#This Row],[Diameter]]/2)-Table3[[#This Row],[CornerRadius]]-0.012,0),)</f>
        <v>0</v>
      </c>
      <c r="CE408" s="6" t="str">
        <f>IF(Table3[[#This Row],[ShoulderLength]]="","",IF(Table3[[#This Row],[ShoulderLength]]&lt;Table3[[#This Row],[LOC]],"FIX",""))</f>
        <v/>
      </c>
    </row>
    <row r="409" spans="1:83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v>0</v>
      </c>
      <c r="BN409" s="6">
        <v>0</v>
      </c>
      <c r="BO409" s="6">
        <v>0</v>
      </c>
      <c r="BP409" s="6">
        <v>0</v>
      </c>
      <c r="BQ409" s="6">
        <v>0</v>
      </c>
      <c r="BR409" s="6">
        <v>0</v>
      </c>
      <c r="BS409" s="6">
        <v>0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>
        <v>0</v>
      </c>
      <c r="CA409" s="6">
        <v>0</v>
      </c>
      <c r="CB409" s="6">
        <v>0</v>
      </c>
      <c r="CC409" s="6">
        <f>IF(Table3[[#This Row],[Type]]="EM",IF((Table3[[#This Row],[Diameter]]/2)-Table3[[#This Row],[CornerRadius]]-0.012&gt;0,(Table3[[#This Row],[Diameter]]/2)-Table3[[#This Row],[CornerRadius]]-0.012,0),)</f>
        <v>0</v>
      </c>
      <c r="CE409" s="6" t="str">
        <f>IF(Table3[[#This Row],[ShoulderLength]]="","",IF(Table3[[#This Row],[ShoulderLength]]&lt;Table3[[#This Row],[LOC]],"FIX",""))</f>
        <v/>
      </c>
    </row>
    <row r="410" spans="1:83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v>0</v>
      </c>
      <c r="BN410" s="6">
        <v>0</v>
      </c>
      <c r="BO410" s="6">
        <v>0</v>
      </c>
      <c r="BP410" s="6">
        <v>0</v>
      </c>
      <c r="BQ410" s="6">
        <v>0</v>
      </c>
      <c r="BR410" s="6">
        <v>0</v>
      </c>
      <c r="BS410" s="6">
        <v>0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>
        <v>0</v>
      </c>
      <c r="CA410" s="6">
        <v>0</v>
      </c>
      <c r="CB410" s="6">
        <v>0</v>
      </c>
      <c r="CC410" s="6">
        <f>IF(Table3[[#This Row],[Type]]="EM",IF((Table3[[#This Row],[Diameter]]/2)-Table3[[#This Row],[CornerRadius]]-0.012&gt;0,(Table3[[#This Row],[Diameter]]/2)-Table3[[#This Row],[CornerRadius]]-0.012,0),)</f>
        <v>0</v>
      </c>
      <c r="CE410" s="6" t="str">
        <f>IF(Table3[[#This Row],[ShoulderLength]]="","",IF(Table3[[#This Row],[ShoulderLength]]&lt;Table3[[#This Row],[LOC]],"FIX",""))</f>
        <v/>
      </c>
    </row>
    <row r="411" spans="1:83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v>0</v>
      </c>
      <c r="BN411" s="6">
        <v>0</v>
      </c>
      <c r="BO411" s="6">
        <v>0</v>
      </c>
      <c r="BP411" s="6">
        <v>0</v>
      </c>
      <c r="BQ411" s="6">
        <v>0</v>
      </c>
      <c r="BR411" s="6">
        <v>0</v>
      </c>
      <c r="BS411" s="6">
        <v>0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>
        <v>0</v>
      </c>
      <c r="CA411" s="6">
        <v>0</v>
      </c>
      <c r="CB411" s="6">
        <v>0</v>
      </c>
      <c r="CC411" s="6">
        <f>IF(Table3[[#This Row],[Type]]="EM",IF((Table3[[#This Row],[Diameter]]/2)-Table3[[#This Row],[CornerRadius]]-0.012&gt;0,(Table3[[#This Row],[Diameter]]/2)-Table3[[#This Row],[CornerRadius]]-0.012,0),)</f>
        <v>0</v>
      </c>
      <c r="CE411" s="6" t="str">
        <f>IF(Table3[[#This Row],[ShoulderLength]]="","",IF(Table3[[#This Row],[ShoulderLength]]&lt;Table3[[#This Row],[LOC]],"FIX",""))</f>
        <v/>
      </c>
    </row>
    <row r="412" spans="1:83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v>0</v>
      </c>
      <c r="BN412" s="6">
        <v>0</v>
      </c>
      <c r="BO412" s="6">
        <v>0</v>
      </c>
      <c r="BP412" s="6">
        <v>0</v>
      </c>
      <c r="BQ412" s="6">
        <v>0</v>
      </c>
      <c r="BR412" s="6">
        <v>0</v>
      </c>
      <c r="BS412" s="6">
        <v>0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>
        <v>0</v>
      </c>
      <c r="CA412" s="6">
        <v>0</v>
      </c>
      <c r="CB412" s="6">
        <v>0</v>
      </c>
      <c r="CC412" s="6">
        <f>IF(Table3[[#This Row],[Type]]="EM",IF((Table3[[#This Row],[Diameter]]/2)-Table3[[#This Row],[CornerRadius]]-0.012&gt;0,(Table3[[#This Row],[Diameter]]/2)-Table3[[#This Row],[CornerRadius]]-0.012,0),)</f>
        <v>0</v>
      </c>
      <c r="CE412" s="6" t="str">
        <f>IF(Table3[[#This Row],[ShoulderLength]]="","",IF(Table3[[#This Row],[ShoulderLength]]&lt;Table3[[#This Row],[LOC]],"FIX",""))</f>
        <v/>
      </c>
    </row>
    <row r="413" spans="1:83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v>0</v>
      </c>
      <c r="BN413" s="6">
        <v>0</v>
      </c>
      <c r="BO413" s="6">
        <v>0</v>
      </c>
      <c r="BP413" s="6">
        <v>0</v>
      </c>
      <c r="BQ413" s="6">
        <v>0</v>
      </c>
      <c r="BR413" s="6">
        <v>0</v>
      </c>
      <c r="BS413" s="6">
        <v>0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>
        <v>0</v>
      </c>
      <c r="CA413" s="6">
        <v>0</v>
      </c>
      <c r="CB413" s="6">
        <v>0</v>
      </c>
      <c r="CC413" s="6">
        <f>IF(Table3[[#This Row],[Type]]="EM",IF((Table3[[#This Row],[Diameter]]/2)-Table3[[#This Row],[CornerRadius]]-0.012&gt;0,(Table3[[#This Row],[Diameter]]/2)-Table3[[#This Row],[CornerRadius]]-0.012,0),)</f>
        <v>0</v>
      </c>
      <c r="CE413" s="6" t="str">
        <f>IF(Table3[[#This Row],[ShoulderLength]]="","",IF(Table3[[#This Row],[ShoulderLength]]&lt;Table3[[#This Row],[LOC]],"FIX",""))</f>
        <v/>
      </c>
    </row>
    <row r="414" spans="1:83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v>0</v>
      </c>
      <c r="BN414" s="6">
        <v>0</v>
      </c>
      <c r="BO414" s="6">
        <v>0</v>
      </c>
      <c r="BP414" s="6">
        <v>0</v>
      </c>
      <c r="BQ414" s="6">
        <v>0</v>
      </c>
      <c r="BR414" s="6">
        <v>0</v>
      </c>
      <c r="BS414" s="6">
        <v>0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>
        <v>0</v>
      </c>
      <c r="CA414" s="6">
        <v>0</v>
      </c>
      <c r="CB414" s="6">
        <v>0</v>
      </c>
      <c r="CC414" s="6">
        <f>IF(Table3[[#This Row],[Type]]="EM",IF((Table3[[#This Row],[Diameter]]/2)-Table3[[#This Row],[CornerRadius]]-0.012&gt;0,(Table3[[#This Row],[Diameter]]/2)-Table3[[#This Row],[CornerRadius]]-0.012,0),)</f>
        <v>0</v>
      </c>
      <c r="CE414" s="6" t="str">
        <f>IF(Table3[[#This Row],[ShoulderLength]]="","",IF(Table3[[#This Row],[ShoulderLength]]&lt;Table3[[#This Row],[LOC]],"FIX",""))</f>
        <v/>
      </c>
    </row>
    <row r="415" spans="1:83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v>0</v>
      </c>
      <c r="BN415" s="6">
        <v>0</v>
      </c>
      <c r="BO415" s="6">
        <v>0</v>
      </c>
      <c r="BP415" s="6">
        <v>0</v>
      </c>
      <c r="BQ415" s="6">
        <v>0</v>
      </c>
      <c r="BR415" s="6">
        <v>0</v>
      </c>
      <c r="BS415" s="6">
        <v>0</v>
      </c>
      <c r="BT415" s="6">
        <v>0</v>
      </c>
      <c r="BU415" s="6">
        <v>0</v>
      </c>
      <c r="BV415" s="6">
        <v>0</v>
      </c>
      <c r="BW415" s="6">
        <v>0</v>
      </c>
      <c r="BX415" s="6">
        <v>0</v>
      </c>
      <c r="BY415" s="6">
        <v>0</v>
      </c>
      <c r="BZ415" s="6">
        <v>0</v>
      </c>
      <c r="CA415" s="6">
        <v>0</v>
      </c>
      <c r="CB415" s="6">
        <v>0</v>
      </c>
      <c r="CC415" s="6">
        <f>IF(Table3[[#This Row],[Type]]="EM",IF((Table3[[#This Row],[Diameter]]/2)-Table3[[#This Row],[CornerRadius]]-0.012&gt;0,(Table3[[#This Row],[Diameter]]/2)-Table3[[#This Row],[CornerRadius]]-0.012,0),)</f>
        <v>0</v>
      </c>
      <c r="CE415" s="6" t="str">
        <f>IF(Table3[[#This Row],[ShoulderLength]]="","",IF(Table3[[#This Row],[ShoulderLength]]&lt;Table3[[#This Row],[LOC]],"FIX",""))</f>
        <v/>
      </c>
    </row>
    <row r="416" spans="1:83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v>0</v>
      </c>
      <c r="BN416" s="6">
        <v>0</v>
      </c>
      <c r="BO416" s="6">
        <v>0</v>
      </c>
      <c r="BP416" s="6">
        <v>0</v>
      </c>
      <c r="BQ416" s="6">
        <v>0</v>
      </c>
      <c r="BR416" s="6">
        <v>0</v>
      </c>
      <c r="BS416" s="6">
        <v>0</v>
      </c>
      <c r="BT416" s="6">
        <v>0</v>
      </c>
      <c r="BU416" s="6">
        <v>0</v>
      </c>
      <c r="BV416" s="6">
        <v>0</v>
      </c>
      <c r="BW416" s="6">
        <v>0</v>
      </c>
      <c r="BX416" s="6">
        <v>0</v>
      </c>
      <c r="BY416" s="6">
        <v>0</v>
      </c>
      <c r="BZ416" s="6">
        <v>0</v>
      </c>
      <c r="CA416" s="6">
        <v>0</v>
      </c>
      <c r="CB416" s="6">
        <v>0</v>
      </c>
      <c r="CC416" s="6">
        <f>IF(Table3[[#This Row],[Type]]="EM",IF((Table3[[#This Row],[Diameter]]/2)-Table3[[#This Row],[CornerRadius]]-0.012&gt;0,(Table3[[#This Row],[Diameter]]/2)-Table3[[#This Row],[CornerRadius]]-0.012,0),)</f>
        <v>0</v>
      </c>
      <c r="CE416" s="6" t="str">
        <f>IF(Table3[[#This Row],[ShoulderLength]]="","",IF(Table3[[#This Row],[ShoulderLength]]&lt;Table3[[#This Row],[LOC]],"FIX",""))</f>
        <v/>
      </c>
    </row>
    <row r="417" spans="1:83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v>0</v>
      </c>
      <c r="BN417" s="6">
        <v>0</v>
      </c>
      <c r="BO417" s="6">
        <v>0</v>
      </c>
      <c r="BP417" s="6">
        <v>0</v>
      </c>
      <c r="BQ417" s="6">
        <v>0</v>
      </c>
      <c r="BR417" s="6">
        <v>0</v>
      </c>
      <c r="BS417" s="6">
        <v>0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>
        <v>0</v>
      </c>
      <c r="CA417" s="6">
        <v>0</v>
      </c>
      <c r="CB417" s="6">
        <v>0</v>
      </c>
      <c r="CC417" s="6">
        <f>IF(Table3[[#This Row],[Type]]="EM",IF((Table3[[#This Row],[Diameter]]/2)-Table3[[#This Row],[CornerRadius]]-0.012&gt;0,(Table3[[#This Row],[Diameter]]/2)-Table3[[#This Row],[CornerRadius]]-0.012,0),)</f>
        <v>0</v>
      </c>
      <c r="CE417" s="6" t="str">
        <f>IF(Table3[[#This Row],[ShoulderLength]]="","",IF(Table3[[#This Row],[ShoulderLength]]&lt;Table3[[#This Row],[LOC]],"FIX",""))</f>
        <v/>
      </c>
    </row>
    <row r="418" spans="1:83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v>0</v>
      </c>
      <c r="BN418" s="6">
        <v>0</v>
      </c>
      <c r="BO418" s="6">
        <v>0</v>
      </c>
      <c r="BP418" s="6">
        <v>0</v>
      </c>
      <c r="BQ418" s="6">
        <v>0</v>
      </c>
      <c r="BR418" s="6">
        <v>0</v>
      </c>
      <c r="BS418" s="6">
        <v>0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>
        <v>0</v>
      </c>
      <c r="CA418" s="6">
        <v>0</v>
      </c>
      <c r="CB418" s="6">
        <v>0</v>
      </c>
      <c r="CC418" s="6">
        <f>IF(Table3[[#This Row],[Type]]="EM",IF((Table3[[#This Row],[Diameter]]/2)-Table3[[#This Row],[CornerRadius]]-0.012&gt;0,(Table3[[#This Row],[Diameter]]/2)-Table3[[#This Row],[CornerRadius]]-0.012,0),)</f>
        <v>0</v>
      </c>
      <c r="CE418" s="6" t="str">
        <f>IF(Table3[[#This Row],[ShoulderLength]]="","",IF(Table3[[#This Row],[ShoulderLength]]&lt;Table3[[#This Row],[LOC]],"FIX",""))</f>
        <v/>
      </c>
    </row>
    <row r="419" spans="1:83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v>0</v>
      </c>
      <c r="BN419" s="6">
        <v>0</v>
      </c>
      <c r="BO419" s="6">
        <v>0</v>
      </c>
      <c r="BP419" s="6">
        <v>0</v>
      </c>
      <c r="BQ419" s="6">
        <v>0</v>
      </c>
      <c r="BR419" s="6">
        <v>0</v>
      </c>
      <c r="BS419" s="6">
        <v>0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>
        <v>0</v>
      </c>
      <c r="CA419" s="6">
        <v>0</v>
      </c>
      <c r="CB419" s="6">
        <v>0</v>
      </c>
      <c r="CC419" s="6">
        <f>IF(Table3[[#This Row],[Type]]="EM",IF((Table3[[#This Row],[Diameter]]/2)-Table3[[#This Row],[CornerRadius]]-0.012&gt;0,(Table3[[#This Row],[Diameter]]/2)-Table3[[#This Row],[CornerRadius]]-0.012,0),)</f>
        <v>0</v>
      </c>
      <c r="CE419" s="6" t="str">
        <f>IF(Table3[[#This Row],[ShoulderLength]]="","",IF(Table3[[#This Row],[ShoulderLength]]&lt;Table3[[#This Row],[LOC]],"FIX",""))</f>
        <v/>
      </c>
    </row>
    <row r="420" spans="1:83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v>0</v>
      </c>
      <c r="BN420" s="6">
        <v>0</v>
      </c>
      <c r="BO420" s="6">
        <v>0</v>
      </c>
      <c r="BP420" s="6">
        <v>0</v>
      </c>
      <c r="BQ420" s="6">
        <v>0</v>
      </c>
      <c r="BR420" s="6">
        <v>0</v>
      </c>
      <c r="BS420" s="6">
        <v>0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>
        <v>0</v>
      </c>
      <c r="CA420" s="6">
        <v>0</v>
      </c>
      <c r="CB420" s="6">
        <v>0</v>
      </c>
      <c r="CC420" s="6">
        <f>IF(Table3[[#This Row],[Type]]="EM",IF((Table3[[#This Row],[Diameter]]/2)-Table3[[#This Row],[CornerRadius]]-0.012&gt;0,(Table3[[#This Row],[Diameter]]/2)-Table3[[#This Row],[CornerRadius]]-0.012,0),)</f>
        <v>0</v>
      </c>
      <c r="CE420" s="6" t="str">
        <f>IF(Table3[[#This Row],[ShoulderLength]]="","",IF(Table3[[#This Row],[ShoulderLength]]&lt;Table3[[#This Row],[LOC]],"FIX",""))</f>
        <v/>
      </c>
    </row>
    <row r="421" spans="1:83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v>0</v>
      </c>
      <c r="BN421" s="6">
        <v>0</v>
      </c>
      <c r="BO421" s="6">
        <v>0</v>
      </c>
      <c r="BP421" s="6">
        <v>0</v>
      </c>
      <c r="BQ421" s="6">
        <v>0</v>
      </c>
      <c r="BR421" s="6">
        <v>0</v>
      </c>
      <c r="BS421" s="6">
        <v>0</v>
      </c>
      <c r="BT421" s="6">
        <v>0</v>
      </c>
      <c r="BU421" s="6">
        <v>0</v>
      </c>
      <c r="BV421" s="6">
        <v>0</v>
      </c>
      <c r="BW421" s="6">
        <v>0</v>
      </c>
      <c r="BX421" s="6">
        <v>0</v>
      </c>
      <c r="BY421" s="6">
        <v>0</v>
      </c>
      <c r="BZ421" s="6">
        <v>0</v>
      </c>
      <c r="CA421" s="6">
        <v>0</v>
      </c>
      <c r="CB421" s="6">
        <v>0</v>
      </c>
      <c r="CC421" s="6">
        <f>IF(Table3[[#This Row],[Type]]="EM",IF((Table3[[#This Row],[Diameter]]/2)-Table3[[#This Row],[CornerRadius]]-0.012&gt;0,(Table3[[#This Row],[Diameter]]/2)-Table3[[#This Row],[CornerRadius]]-0.012,0),)</f>
        <v>0</v>
      </c>
      <c r="CE421" s="6" t="str">
        <f>IF(Table3[[#This Row],[ShoulderLength]]="","",IF(Table3[[#This Row],[ShoulderLength]]&lt;Table3[[#This Row],[LOC]],"FIX",""))</f>
        <v/>
      </c>
    </row>
    <row r="422" spans="1:83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v>0</v>
      </c>
      <c r="BN422" s="6">
        <v>0</v>
      </c>
      <c r="BO422" s="6">
        <v>0</v>
      </c>
      <c r="BP422" s="6">
        <v>0</v>
      </c>
      <c r="BQ422" s="6">
        <v>0</v>
      </c>
      <c r="BR422" s="6">
        <v>0</v>
      </c>
      <c r="BS422" s="6">
        <v>0</v>
      </c>
      <c r="BT422" s="6">
        <v>0</v>
      </c>
      <c r="BU422" s="6">
        <v>0</v>
      </c>
      <c r="BV422" s="6">
        <v>0</v>
      </c>
      <c r="BW422" s="6">
        <v>0</v>
      </c>
      <c r="BX422" s="6">
        <v>0</v>
      </c>
      <c r="BY422" s="6">
        <v>0</v>
      </c>
      <c r="BZ422" s="6">
        <v>0</v>
      </c>
      <c r="CA422" s="6">
        <v>0</v>
      </c>
      <c r="CB422" s="6">
        <v>0</v>
      </c>
      <c r="CC422" s="6">
        <f>IF(Table3[[#This Row],[Type]]="EM",IF((Table3[[#This Row],[Diameter]]/2)-Table3[[#This Row],[CornerRadius]]-0.012&gt;0,(Table3[[#This Row],[Diameter]]/2)-Table3[[#This Row],[CornerRadius]]-0.012,0),)</f>
        <v>0</v>
      </c>
      <c r="CE422" s="6" t="str">
        <f>IF(Table3[[#This Row],[ShoulderLength]]="","",IF(Table3[[#This Row],[ShoulderLength]]&lt;Table3[[#This Row],[LOC]],"FIX",""))</f>
        <v/>
      </c>
    </row>
    <row r="423" spans="1:83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v>0</v>
      </c>
      <c r="BN423" s="6">
        <v>0</v>
      </c>
      <c r="BO423" s="6">
        <v>0</v>
      </c>
      <c r="BP423" s="6">
        <v>0</v>
      </c>
      <c r="BQ423" s="6">
        <v>0</v>
      </c>
      <c r="BR423" s="6">
        <v>0</v>
      </c>
      <c r="BS423" s="6">
        <v>0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>
        <v>0</v>
      </c>
      <c r="CA423" s="6">
        <v>0</v>
      </c>
      <c r="CB423" s="6">
        <v>0</v>
      </c>
      <c r="CC423" s="6">
        <f>IF(Table3[[#This Row],[Type]]="EM",IF((Table3[[#This Row],[Diameter]]/2)-Table3[[#This Row],[CornerRadius]]-0.012&gt;0,(Table3[[#This Row],[Diameter]]/2)-Table3[[#This Row],[CornerRadius]]-0.012,0),)</f>
        <v>0</v>
      </c>
      <c r="CE423" s="6" t="str">
        <f>IF(Table3[[#This Row],[ShoulderLength]]="","",IF(Table3[[#This Row],[ShoulderLength]]&lt;Table3[[#This Row],[LOC]],"FIX",""))</f>
        <v/>
      </c>
    </row>
    <row r="424" spans="1:83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v>0</v>
      </c>
      <c r="BN424" s="6">
        <v>0</v>
      </c>
      <c r="BO424" s="6">
        <v>0</v>
      </c>
      <c r="BP424" s="6">
        <v>0</v>
      </c>
      <c r="BQ424" s="6">
        <v>0</v>
      </c>
      <c r="BR424" s="6">
        <v>0</v>
      </c>
      <c r="BS424" s="6">
        <v>0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0</v>
      </c>
      <c r="BZ424" s="6">
        <v>0</v>
      </c>
      <c r="CA424" s="6">
        <v>0</v>
      </c>
      <c r="CB424" s="6">
        <v>0</v>
      </c>
      <c r="CC424" s="6">
        <f>IF(Table3[[#This Row],[Type]]="EM",IF((Table3[[#This Row],[Diameter]]/2)-Table3[[#This Row],[CornerRadius]]-0.012&gt;0,(Table3[[#This Row],[Diameter]]/2)-Table3[[#This Row],[CornerRadius]]-0.012,0),)</f>
        <v>0</v>
      </c>
      <c r="CE424" s="6" t="str">
        <f>IF(Table3[[#This Row],[ShoulderLength]]="","",IF(Table3[[#This Row],[ShoulderLength]]&lt;Table3[[#This Row],[LOC]],"FIX",""))</f>
        <v/>
      </c>
    </row>
    <row r="425" spans="1:83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v>0</v>
      </c>
      <c r="BN425" s="6">
        <v>0</v>
      </c>
      <c r="BO425" s="6">
        <v>0</v>
      </c>
      <c r="BP425" s="6">
        <v>0</v>
      </c>
      <c r="BQ425" s="6">
        <v>0</v>
      </c>
      <c r="BR425" s="6">
        <v>0</v>
      </c>
      <c r="BS425" s="6">
        <v>0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>
        <v>0</v>
      </c>
      <c r="CA425" s="6">
        <v>0</v>
      </c>
      <c r="CB425" s="6">
        <v>0</v>
      </c>
      <c r="CC425" s="6">
        <f>IF(Table3[[#This Row],[Type]]="EM",IF((Table3[[#This Row],[Diameter]]/2)-Table3[[#This Row],[CornerRadius]]-0.012&gt;0,(Table3[[#This Row],[Diameter]]/2)-Table3[[#This Row],[CornerRadius]]-0.012,0),)</f>
        <v>0</v>
      </c>
      <c r="CE425" s="6" t="str">
        <f>IF(Table3[[#This Row],[ShoulderLength]]="","",IF(Table3[[#This Row],[ShoulderLength]]&lt;Table3[[#This Row],[LOC]],"FIX",""))</f>
        <v/>
      </c>
    </row>
    <row r="426" spans="1:83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v>0</v>
      </c>
      <c r="BN426" s="6">
        <v>0</v>
      </c>
      <c r="BO426" s="6">
        <v>0</v>
      </c>
      <c r="BP426" s="6">
        <v>0</v>
      </c>
      <c r="BQ426" s="6">
        <v>0</v>
      </c>
      <c r="BR426" s="6">
        <v>0</v>
      </c>
      <c r="BS426" s="6">
        <v>0</v>
      </c>
      <c r="BT426" s="6">
        <v>0</v>
      </c>
      <c r="BU426" s="6">
        <v>0</v>
      </c>
      <c r="BV426" s="6">
        <v>0</v>
      </c>
      <c r="BW426" s="6">
        <v>0</v>
      </c>
      <c r="BX426" s="6">
        <v>0</v>
      </c>
      <c r="BY426" s="6">
        <v>0</v>
      </c>
      <c r="BZ426" s="6">
        <v>0</v>
      </c>
      <c r="CA426" s="6">
        <v>0</v>
      </c>
      <c r="CB426" s="6">
        <v>0</v>
      </c>
      <c r="CC426" s="6">
        <f>IF(Table3[[#This Row],[Type]]="EM",IF((Table3[[#This Row],[Diameter]]/2)-Table3[[#This Row],[CornerRadius]]-0.012&gt;0,(Table3[[#This Row],[Diameter]]/2)-Table3[[#This Row],[CornerRadius]]-0.012,0),)</f>
        <v>0</v>
      </c>
      <c r="CE426" s="6" t="str">
        <f>IF(Table3[[#This Row],[ShoulderLength]]="","",IF(Table3[[#This Row],[ShoulderLength]]&lt;Table3[[#This Row],[LOC]],"FIX",""))</f>
        <v/>
      </c>
    </row>
    <row r="427" spans="1:83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v>0</v>
      </c>
      <c r="BN427" s="6">
        <v>0</v>
      </c>
      <c r="BO427" s="6">
        <v>0</v>
      </c>
      <c r="BP427" s="6">
        <v>0</v>
      </c>
      <c r="BQ427" s="6">
        <v>0</v>
      </c>
      <c r="BR427" s="6">
        <v>0</v>
      </c>
      <c r="BS427" s="6">
        <v>0</v>
      </c>
      <c r="BT427" s="6">
        <v>0</v>
      </c>
      <c r="BU427" s="6">
        <v>0</v>
      </c>
      <c r="BV427" s="6">
        <v>0</v>
      </c>
      <c r="BW427" s="6">
        <v>0</v>
      </c>
      <c r="BX427" s="6">
        <v>0</v>
      </c>
      <c r="BY427" s="6">
        <v>0</v>
      </c>
      <c r="BZ427" s="6">
        <v>0</v>
      </c>
      <c r="CA427" s="6">
        <v>0</v>
      </c>
      <c r="CB427" s="6">
        <v>0</v>
      </c>
      <c r="CC427" s="6">
        <f>IF(Table3[[#This Row],[Type]]="EM",IF((Table3[[#This Row],[Diameter]]/2)-Table3[[#This Row],[CornerRadius]]-0.012&gt;0,(Table3[[#This Row],[Diameter]]/2)-Table3[[#This Row],[CornerRadius]]-0.012,0),)</f>
        <v>0</v>
      </c>
      <c r="CE427" s="6" t="str">
        <f>IF(Table3[[#This Row],[ShoulderLength]]="","",IF(Table3[[#This Row],[ShoulderLength]]&lt;Table3[[#This Row],[LOC]],"FIX",""))</f>
        <v/>
      </c>
    </row>
    <row r="428" spans="1:83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v>0</v>
      </c>
      <c r="BN428" s="6">
        <v>0</v>
      </c>
      <c r="BO428" s="6">
        <v>0</v>
      </c>
      <c r="BP428" s="6">
        <v>0</v>
      </c>
      <c r="BQ428" s="6">
        <v>0</v>
      </c>
      <c r="BR428" s="6">
        <v>0</v>
      </c>
      <c r="BS428" s="6">
        <v>0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>
        <v>0</v>
      </c>
      <c r="CA428" s="6">
        <v>0</v>
      </c>
      <c r="CB428" s="6">
        <v>0</v>
      </c>
      <c r="CC428" s="6">
        <f>IF(Table3[[#This Row],[Type]]="EM",IF((Table3[[#This Row],[Diameter]]/2)-Table3[[#This Row],[CornerRadius]]-0.012&gt;0,(Table3[[#This Row],[Diameter]]/2)-Table3[[#This Row],[CornerRadius]]-0.012,0),)</f>
        <v>0</v>
      </c>
      <c r="CE428" s="6" t="str">
        <f>IF(Table3[[#This Row],[ShoulderLength]]="","",IF(Table3[[#This Row],[ShoulderLength]]&lt;Table3[[#This Row],[LOC]],"FIX",""))</f>
        <v/>
      </c>
    </row>
    <row r="429" spans="1:83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v>0</v>
      </c>
      <c r="BN429" s="6">
        <v>0</v>
      </c>
      <c r="BO429" s="6">
        <v>0</v>
      </c>
      <c r="BP429" s="6">
        <v>0</v>
      </c>
      <c r="BQ429" s="6">
        <v>0</v>
      </c>
      <c r="BR429" s="6">
        <v>0</v>
      </c>
      <c r="BS429" s="6">
        <v>0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>
        <v>0</v>
      </c>
      <c r="CA429" s="6">
        <v>0</v>
      </c>
      <c r="CB429" s="6">
        <v>0</v>
      </c>
      <c r="CC429" s="6">
        <f>IF(Table3[[#This Row],[Type]]="EM",IF((Table3[[#This Row],[Diameter]]/2)-Table3[[#This Row],[CornerRadius]]-0.012&gt;0,(Table3[[#This Row],[Diameter]]/2)-Table3[[#This Row],[CornerRadius]]-0.012,0),)</f>
        <v>0</v>
      </c>
      <c r="CE429" s="6" t="str">
        <f>IF(Table3[[#This Row],[ShoulderLength]]="","",IF(Table3[[#This Row],[ShoulderLength]]&lt;Table3[[#This Row],[LOC]],"FIX",""))</f>
        <v/>
      </c>
    </row>
    <row r="430" spans="1:83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v>0</v>
      </c>
      <c r="BN430" s="6">
        <v>0</v>
      </c>
      <c r="BO430" s="6">
        <v>0</v>
      </c>
      <c r="BP430" s="6">
        <v>0</v>
      </c>
      <c r="BQ430" s="6">
        <v>0</v>
      </c>
      <c r="BR430" s="6">
        <v>0</v>
      </c>
      <c r="BS430" s="6">
        <v>0</v>
      </c>
      <c r="BT430" s="6">
        <v>0</v>
      </c>
      <c r="BU430" s="6">
        <v>0</v>
      </c>
      <c r="BV430" s="6">
        <v>0</v>
      </c>
      <c r="BW430" s="6">
        <v>0</v>
      </c>
      <c r="BX430" s="6">
        <v>0</v>
      </c>
      <c r="BY430" s="6">
        <v>0</v>
      </c>
      <c r="BZ430" s="6">
        <v>0</v>
      </c>
      <c r="CA430" s="6">
        <v>0</v>
      </c>
      <c r="CB430" s="6">
        <v>0</v>
      </c>
      <c r="CC430" s="6">
        <f>IF(Table3[[#This Row],[Type]]="EM",IF((Table3[[#This Row],[Diameter]]/2)-Table3[[#This Row],[CornerRadius]]-0.012&gt;0,(Table3[[#This Row],[Diameter]]/2)-Table3[[#This Row],[CornerRadius]]-0.012,0),)</f>
        <v>0</v>
      </c>
      <c r="CE430" s="6" t="str">
        <f>IF(Table3[[#This Row],[ShoulderLength]]="","",IF(Table3[[#This Row],[ShoulderLength]]&lt;Table3[[#This Row],[LOC]],"FIX",""))</f>
        <v/>
      </c>
    </row>
    <row r="431" spans="1:83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v>0</v>
      </c>
      <c r="BN431" s="6">
        <v>0</v>
      </c>
      <c r="BO431" s="6">
        <v>0</v>
      </c>
      <c r="BP431" s="6">
        <v>0</v>
      </c>
      <c r="BQ431" s="6">
        <v>0</v>
      </c>
      <c r="BR431" s="6">
        <v>0</v>
      </c>
      <c r="BS431" s="6">
        <v>0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>
        <v>0</v>
      </c>
      <c r="CA431" s="6">
        <v>0</v>
      </c>
      <c r="CB431" s="6">
        <v>0</v>
      </c>
      <c r="CC431" s="6">
        <f>IF(Table3[[#This Row],[Type]]="EM",IF((Table3[[#This Row],[Diameter]]/2)-Table3[[#This Row],[CornerRadius]]-0.012&gt;0,(Table3[[#This Row],[Diameter]]/2)-Table3[[#This Row],[CornerRadius]]-0.012,0),)</f>
        <v>0</v>
      </c>
      <c r="CE431" s="6" t="str">
        <f>IF(Table3[[#This Row],[ShoulderLength]]="","",IF(Table3[[#This Row],[ShoulderLength]]&lt;Table3[[#This Row],[LOC]],"FIX",""))</f>
        <v/>
      </c>
    </row>
    <row r="432" spans="1:83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v>0</v>
      </c>
      <c r="BN432" s="6">
        <v>0</v>
      </c>
      <c r="BO432" s="6">
        <v>0</v>
      </c>
      <c r="BP432" s="6">
        <v>0</v>
      </c>
      <c r="BQ432" s="6">
        <v>0</v>
      </c>
      <c r="BR432" s="6">
        <v>0</v>
      </c>
      <c r="BS432" s="6">
        <v>0</v>
      </c>
      <c r="BT432" s="6">
        <v>0</v>
      </c>
      <c r="BU432" s="6">
        <v>0</v>
      </c>
      <c r="BV432" s="6">
        <v>0</v>
      </c>
      <c r="BW432" s="6">
        <v>0</v>
      </c>
      <c r="BX432" s="6">
        <v>0</v>
      </c>
      <c r="BY432" s="6">
        <v>0</v>
      </c>
      <c r="BZ432" s="6">
        <v>0</v>
      </c>
      <c r="CA432" s="6">
        <v>0</v>
      </c>
      <c r="CB432" s="6">
        <v>0</v>
      </c>
      <c r="CC432" s="6">
        <f>IF(Table3[[#This Row],[Type]]="EM",IF((Table3[[#This Row],[Diameter]]/2)-Table3[[#This Row],[CornerRadius]]-0.012&gt;0,(Table3[[#This Row],[Diameter]]/2)-Table3[[#This Row],[CornerRadius]]-0.012,0),)</f>
        <v>0</v>
      </c>
      <c r="CE432" s="6" t="str">
        <f>IF(Table3[[#This Row],[ShoulderLength]]="","",IF(Table3[[#This Row],[ShoulderLength]]&lt;Table3[[#This Row],[LOC]],"FIX",""))</f>
        <v/>
      </c>
    </row>
    <row r="433" spans="1:83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v>0</v>
      </c>
      <c r="BN433" s="6">
        <v>0</v>
      </c>
      <c r="BO433" s="6">
        <v>0</v>
      </c>
      <c r="BP433" s="6">
        <v>0</v>
      </c>
      <c r="BQ433" s="6">
        <v>0</v>
      </c>
      <c r="BR433" s="6">
        <v>0</v>
      </c>
      <c r="BS433" s="6">
        <v>0</v>
      </c>
      <c r="BT433" s="6">
        <v>0</v>
      </c>
      <c r="BU433" s="6">
        <v>0</v>
      </c>
      <c r="BV433" s="6">
        <v>0</v>
      </c>
      <c r="BW433" s="6">
        <v>0</v>
      </c>
      <c r="BX433" s="6">
        <v>0</v>
      </c>
      <c r="BY433" s="6">
        <v>0</v>
      </c>
      <c r="BZ433" s="6">
        <v>0</v>
      </c>
      <c r="CA433" s="6">
        <v>0</v>
      </c>
      <c r="CB433" s="6">
        <v>0</v>
      </c>
      <c r="CC433" s="6">
        <f>IF(Table3[[#This Row],[Type]]="EM",IF((Table3[[#This Row],[Diameter]]/2)-Table3[[#This Row],[CornerRadius]]-0.012&gt;0,(Table3[[#This Row],[Diameter]]/2)-Table3[[#This Row],[CornerRadius]]-0.012,0),)</f>
        <v>0</v>
      </c>
      <c r="CE433" s="6" t="str">
        <f>IF(Table3[[#This Row],[ShoulderLength]]="","",IF(Table3[[#This Row],[ShoulderLength]]&lt;Table3[[#This Row],[LOC]],"FIX",""))</f>
        <v/>
      </c>
    </row>
    <row r="434" spans="1:83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v>0</v>
      </c>
      <c r="BN434" s="6">
        <v>0</v>
      </c>
      <c r="BO434" s="6">
        <v>0</v>
      </c>
      <c r="BP434" s="6">
        <v>0</v>
      </c>
      <c r="BQ434" s="6">
        <v>0</v>
      </c>
      <c r="BR434" s="6">
        <v>0</v>
      </c>
      <c r="BS434" s="6">
        <v>0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>
        <v>0</v>
      </c>
      <c r="CA434" s="6">
        <v>0</v>
      </c>
      <c r="CB434" s="6">
        <v>0</v>
      </c>
      <c r="CC434" s="6">
        <f>IF(Table3[[#This Row],[Type]]="EM",IF((Table3[[#This Row],[Diameter]]/2)-Table3[[#This Row],[CornerRadius]]-0.012&gt;0,(Table3[[#This Row],[Diameter]]/2)-Table3[[#This Row],[CornerRadius]]-0.012,0),)</f>
        <v>0</v>
      </c>
      <c r="CE434" s="6" t="str">
        <f>IF(Table3[[#This Row],[ShoulderLength]]="","",IF(Table3[[#This Row],[ShoulderLength]]&lt;Table3[[#This Row],[LOC]],"FIX",""))</f>
        <v/>
      </c>
    </row>
    <row r="435" spans="1:83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v>0</v>
      </c>
      <c r="BN435" s="6">
        <v>0</v>
      </c>
      <c r="BO435" s="6">
        <v>0</v>
      </c>
      <c r="BP435" s="6">
        <v>0</v>
      </c>
      <c r="BQ435" s="6">
        <v>0</v>
      </c>
      <c r="BR435" s="6">
        <v>0</v>
      </c>
      <c r="BS435" s="6">
        <v>0</v>
      </c>
      <c r="BT435" s="6">
        <v>0</v>
      </c>
      <c r="BU435" s="6">
        <v>0</v>
      </c>
      <c r="BV435" s="6">
        <v>0</v>
      </c>
      <c r="BW435" s="6">
        <v>0</v>
      </c>
      <c r="BX435" s="6">
        <v>0</v>
      </c>
      <c r="BY435" s="6">
        <v>0</v>
      </c>
      <c r="BZ435" s="6">
        <v>0</v>
      </c>
      <c r="CA435" s="6">
        <v>0</v>
      </c>
      <c r="CB435" s="6">
        <v>0</v>
      </c>
      <c r="CC435" s="6">
        <f>IF(Table3[[#This Row],[Type]]="EM",IF((Table3[[#This Row],[Diameter]]/2)-Table3[[#This Row],[CornerRadius]]-0.012&gt;0,(Table3[[#This Row],[Diameter]]/2)-Table3[[#This Row],[CornerRadius]]-0.012,0),)</f>
        <v>0</v>
      </c>
      <c r="CE435" s="6" t="str">
        <f>IF(Table3[[#This Row],[ShoulderLength]]="","",IF(Table3[[#This Row],[ShoulderLength]]&lt;Table3[[#This Row],[LOC]],"FIX",""))</f>
        <v/>
      </c>
    </row>
    <row r="436" spans="1:83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v>0</v>
      </c>
      <c r="BN436" s="6">
        <v>0</v>
      </c>
      <c r="BO436" s="6">
        <v>0</v>
      </c>
      <c r="BP436" s="6">
        <v>0</v>
      </c>
      <c r="BQ436" s="6">
        <v>0</v>
      </c>
      <c r="BR436" s="6">
        <v>0</v>
      </c>
      <c r="BS436" s="6">
        <v>0</v>
      </c>
      <c r="BT436" s="6">
        <v>0</v>
      </c>
      <c r="BU436" s="6">
        <v>0</v>
      </c>
      <c r="BV436" s="6">
        <v>0</v>
      </c>
      <c r="BW436" s="6">
        <v>0</v>
      </c>
      <c r="BX436" s="6">
        <v>0</v>
      </c>
      <c r="BY436" s="6">
        <v>0</v>
      </c>
      <c r="BZ436" s="6">
        <v>0</v>
      </c>
      <c r="CA436" s="6">
        <v>0</v>
      </c>
      <c r="CB436" s="6">
        <v>0</v>
      </c>
      <c r="CC436" s="6">
        <f>IF(Table3[[#This Row],[Type]]="EM",IF((Table3[[#This Row],[Diameter]]/2)-Table3[[#This Row],[CornerRadius]]-0.012&gt;0,(Table3[[#This Row],[Diameter]]/2)-Table3[[#This Row],[CornerRadius]]-0.012,0),)</f>
        <v>0</v>
      </c>
      <c r="CE436" s="6" t="str">
        <f>IF(Table3[[#This Row],[ShoulderLength]]="","",IF(Table3[[#This Row],[ShoulderLength]]&lt;Table3[[#This Row],[LOC]],"FIX",""))</f>
        <v/>
      </c>
    </row>
    <row r="437" spans="1:83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v>0</v>
      </c>
      <c r="BN437" s="6">
        <v>0</v>
      </c>
      <c r="BO437" s="6">
        <v>0</v>
      </c>
      <c r="BP437" s="6">
        <v>0</v>
      </c>
      <c r="BQ437" s="6">
        <v>0</v>
      </c>
      <c r="BR437" s="6">
        <v>0</v>
      </c>
      <c r="BS437" s="6">
        <v>0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>
        <v>0</v>
      </c>
      <c r="CA437" s="6">
        <v>0</v>
      </c>
      <c r="CB437" s="6">
        <v>0</v>
      </c>
      <c r="CC437" s="6">
        <f>IF(Table3[[#This Row],[Type]]="EM",IF((Table3[[#This Row],[Diameter]]/2)-Table3[[#This Row],[CornerRadius]]-0.012&gt;0,(Table3[[#This Row],[Diameter]]/2)-Table3[[#This Row],[CornerRadius]]-0.012,0),)</f>
        <v>0</v>
      </c>
      <c r="CE437" s="6" t="str">
        <f>IF(Table3[[#This Row],[ShoulderLength]]="","",IF(Table3[[#This Row],[ShoulderLength]]&lt;Table3[[#This Row],[LOC]],"FIX",""))</f>
        <v/>
      </c>
    </row>
    <row r="438" spans="1:83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v>0</v>
      </c>
      <c r="BN438" s="6">
        <v>0</v>
      </c>
      <c r="BO438" s="6">
        <v>0</v>
      </c>
      <c r="BP438" s="6">
        <v>0</v>
      </c>
      <c r="BQ438" s="6">
        <v>0</v>
      </c>
      <c r="BR438" s="6">
        <v>0</v>
      </c>
      <c r="BS438" s="6">
        <v>0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>
        <v>0</v>
      </c>
      <c r="CA438" s="6">
        <v>0</v>
      </c>
      <c r="CB438" s="6">
        <v>0</v>
      </c>
      <c r="CC438" s="6">
        <f>IF(Table3[[#This Row],[Type]]="EM",IF((Table3[[#This Row],[Diameter]]/2)-Table3[[#This Row],[CornerRadius]]-0.012&gt;0,(Table3[[#This Row],[Diameter]]/2)-Table3[[#This Row],[CornerRadius]]-0.012,0),)</f>
        <v>0</v>
      </c>
      <c r="CE438" s="6" t="str">
        <f>IF(Table3[[#This Row],[ShoulderLength]]="","",IF(Table3[[#This Row],[ShoulderLength]]&lt;Table3[[#This Row],[LOC]],"FIX",""))</f>
        <v/>
      </c>
    </row>
    <row r="439" spans="1:83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v>0</v>
      </c>
      <c r="BN439" s="6">
        <v>0</v>
      </c>
      <c r="BO439" s="6">
        <v>0</v>
      </c>
      <c r="BP439" s="6">
        <v>0</v>
      </c>
      <c r="BQ439" s="6">
        <v>0</v>
      </c>
      <c r="BR439" s="6">
        <v>0</v>
      </c>
      <c r="BS439" s="6">
        <v>0</v>
      </c>
      <c r="BT439" s="6">
        <v>0</v>
      </c>
      <c r="BU439" s="6">
        <v>0</v>
      </c>
      <c r="BV439" s="6">
        <v>0</v>
      </c>
      <c r="BW439" s="6">
        <v>0</v>
      </c>
      <c r="BX439" s="6">
        <v>0</v>
      </c>
      <c r="BY439" s="6">
        <v>0</v>
      </c>
      <c r="BZ439" s="6">
        <v>0</v>
      </c>
      <c r="CA439" s="6">
        <v>0</v>
      </c>
      <c r="CB439" s="6">
        <v>0</v>
      </c>
      <c r="CC439" s="6">
        <f>IF(Table3[[#This Row],[Type]]="EM",IF((Table3[[#This Row],[Diameter]]/2)-Table3[[#This Row],[CornerRadius]]-0.012&gt;0,(Table3[[#This Row],[Diameter]]/2)-Table3[[#This Row],[CornerRadius]]-0.012,0),)</f>
        <v>0</v>
      </c>
      <c r="CE439" s="6" t="str">
        <f>IF(Table3[[#This Row],[ShoulderLength]]="","",IF(Table3[[#This Row],[ShoulderLength]]&lt;Table3[[#This Row],[LOC]],"FIX",""))</f>
        <v/>
      </c>
    </row>
    <row r="440" spans="1:83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v>0</v>
      </c>
      <c r="BN440" s="6">
        <v>0</v>
      </c>
      <c r="BO440" s="6">
        <v>0</v>
      </c>
      <c r="BP440" s="6">
        <v>0</v>
      </c>
      <c r="BQ440" s="6">
        <v>0</v>
      </c>
      <c r="BR440" s="6">
        <v>0</v>
      </c>
      <c r="BS440" s="6">
        <v>0</v>
      </c>
      <c r="BT440" s="6">
        <v>0</v>
      </c>
      <c r="BU440" s="6">
        <v>0</v>
      </c>
      <c r="BV440" s="6">
        <v>0</v>
      </c>
      <c r="BW440" s="6">
        <v>0</v>
      </c>
      <c r="BX440" s="6">
        <v>0</v>
      </c>
      <c r="BY440" s="6">
        <v>0</v>
      </c>
      <c r="BZ440" s="6">
        <v>0</v>
      </c>
      <c r="CA440" s="6">
        <v>0</v>
      </c>
      <c r="CB440" s="6">
        <v>0</v>
      </c>
      <c r="CC440" s="6">
        <f>IF(Table3[[#This Row],[Type]]="EM",IF((Table3[[#This Row],[Diameter]]/2)-Table3[[#This Row],[CornerRadius]]-0.012&gt;0,(Table3[[#This Row],[Diameter]]/2)-Table3[[#This Row],[CornerRadius]]-0.012,0),)</f>
        <v>0</v>
      </c>
      <c r="CE440" s="6" t="str">
        <f>IF(Table3[[#This Row],[ShoulderLength]]="","",IF(Table3[[#This Row],[ShoulderLength]]&lt;Table3[[#This Row],[LOC]],"FIX",""))</f>
        <v/>
      </c>
    </row>
    <row r="441" spans="1:83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v>0</v>
      </c>
      <c r="BN441" s="6">
        <v>0</v>
      </c>
      <c r="BO441" s="6">
        <v>0</v>
      </c>
      <c r="BP441" s="6">
        <v>0</v>
      </c>
      <c r="BQ441" s="6">
        <v>0</v>
      </c>
      <c r="BR441" s="6">
        <v>0</v>
      </c>
      <c r="BS441" s="6">
        <v>0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>
        <v>0</v>
      </c>
      <c r="CA441" s="6">
        <v>0</v>
      </c>
      <c r="CB441" s="6">
        <v>0</v>
      </c>
      <c r="CC441" s="6">
        <f>IF(Table3[[#This Row],[Type]]="EM",IF((Table3[[#This Row],[Diameter]]/2)-Table3[[#This Row],[CornerRadius]]-0.012&gt;0,(Table3[[#This Row],[Diameter]]/2)-Table3[[#This Row],[CornerRadius]]-0.012,0),)</f>
        <v>0</v>
      </c>
      <c r="CE441" s="6" t="str">
        <f>IF(Table3[[#This Row],[ShoulderLength]]="","",IF(Table3[[#This Row],[ShoulderLength]]&lt;Table3[[#This Row],[LOC]],"FIX",""))</f>
        <v/>
      </c>
    </row>
    <row r="442" spans="1:83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v>0</v>
      </c>
      <c r="BN442" s="6">
        <v>0</v>
      </c>
      <c r="BO442" s="6">
        <v>0</v>
      </c>
      <c r="BP442" s="6">
        <v>0</v>
      </c>
      <c r="BQ442" s="6">
        <v>0</v>
      </c>
      <c r="BR442" s="6">
        <v>0</v>
      </c>
      <c r="BS442" s="6">
        <v>0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>
        <v>0</v>
      </c>
      <c r="CA442" s="6">
        <v>0</v>
      </c>
      <c r="CB442" s="6">
        <v>0</v>
      </c>
      <c r="CC442" s="6">
        <f>IF(Table3[[#This Row],[Type]]="EM",IF((Table3[[#This Row],[Diameter]]/2)-Table3[[#This Row],[CornerRadius]]-0.012&gt;0,(Table3[[#This Row],[Diameter]]/2)-Table3[[#This Row],[CornerRadius]]-0.012,0),)</f>
        <v>0</v>
      </c>
      <c r="CE442" s="6" t="str">
        <f>IF(Table3[[#This Row],[ShoulderLength]]="","",IF(Table3[[#This Row],[ShoulderLength]]&lt;Table3[[#This Row],[LOC]],"FIX",""))</f>
        <v/>
      </c>
    </row>
    <row r="443" spans="1:83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v>0</v>
      </c>
      <c r="BN443" s="6">
        <v>0</v>
      </c>
      <c r="BO443" s="6">
        <v>0</v>
      </c>
      <c r="BP443" s="6">
        <v>0</v>
      </c>
      <c r="BQ443" s="6">
        <v>0</v>
      </c>
      <c r="BR443" s="6">
        <v>0</v>
      </c>
      <c r="BS443" s="6">
        <v>0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>
        <v>0</v>
      </c>
      <c r="CA443" s="6">
        <v>0</v>
      </c>
      <c r="CB443" s="6">
        <v>0</v>
      </c>
      <c r="CC443" s="6">
        <f>IF(Table3[[#This Row],[Type]]="EM",IF((Table3[[#This Row],[Diameter]]/2)-Table3[[#This Row],[CornerRadius]]-0.012&gt;0,(Table3[[#This Row],[Diameter]]/2)-Table3[[#This Row],[CornerRadius]]-0.012,0),)</f>
        <v>0</v>
      </c>
      <c r="CE443" s="6" t="str">
        <f>IF(Table3[[#This Row],[ShoulderLength]]="","",IF(Table3[[#This Row],[ShoulderLength]]&lt;Table3[[#This Row],[LOC]],"FIX",""))</f>
        <v/>
      </c>
    </row>
    <row r="444" spans="1:83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v>0</v>
      </c>
      <c r="BN444" s="6">
        <v>0</v>
      </c>
      <c r="BO444" s="6">
        <v>0</v>
      </c>
      <c r="BP444" s="6">
        <v>0</v>
      </c>
      <c r="BQ444" s="6">
        <v>0</v>
      </c>
      <c r="BR444" s="6">
        <v>0</v>
      </c>
      <c r="BS444" s="6">
        <v>0</v>
      </c>
      <c r="BT444" s="6">
        <v>0</v>
      </c>
      <c r="BU444" s="6">
        <v>0</v>
      </c>
      <c r="BV444" s="6">
        <v>0</v>
      </c>
      <c r="BW444" s="6">
        <v>0</v>
      </c>
      <c r="BX444" s="6">
        <v>0</v>
      </c>
      <c r="BY444" s="6">
        <v>0</v>
      </c>
      <c r="BZ444" s="6">
        <v>0</v>
      </c>
      <c r="CA444" s="6">
        <v>0</v>
      </c>
      <c r="CB444" s="6">
        <v>0</v>
      </c>
      <c r="CC444" s="6">
        <f>IF(Table3[[#This Row],[Type]]="EM",IF((Table3[[#This Row],[Diameter]]/2)-Table3[[#This Row],[CornerRadius]]-0.012&gt;0,(Table3[[#This Row],[Diameter]]/2)-Table3[[#This Row],[CornerRadius]]-0.012,0),)</f>
        <v>0</v>
      </c>
      <c r="CE444" s="6" t="str">
        <f>IF(Table3[[#This Row],[ShoulderLength]]="","",IF(Table3[[#This Row],[ShoulderLength]]&lt;Table3[[#This Row],[LOC]],"FIX",""))</f>
        <v/>
      </c>
    </row>
    <row r="445" spans="1:83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v>0</v>
      </c>
      <c r="BN445" s="6">
        <v>0</v>
      </c>
      <c r="BO445" s="6">
        <v>0</v>
      </c>
      <c r="BP445" s="6">
        <v>0</v>
      </c>
      <c r="BQ445" s="6">
        <v>0</v>
      </c>
      <c r="BR445" s="6">
        <v>0</v>
      </c>
      <c r="BS445" s="6">
        <v>0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>
        <v>0</v>
      </c>
      <c r="CA445" s="6">
        <v>0</v>
      </c>
      <c r="CB445" s="6">
        <v>0</v>
      </c>
      <c r="CC445" s="6">
        <f>IF(Table3[[#This Row],[Type]]="EM",IF((Table3[[#This Row],[Diameter]]/2)-Table3[[#This Row],[CornerRadius]]-0.012&gt;0,(Table3[[#This Row],[Diameter]]/2)-Table3[[#This Row],[CornerRadius]]-0.012,0),)</f>
        <v>0</v>
      </c>
      <c r="CE445" s="6" t="str">
        <f>IF(Table3[[#This Row],[ShoulderLength]]="","",IF(Table3[[#This Row],[ShoulderLength]]&lt;Table3[[#This Row],[LOC]],"FIX",""))</f>
        <v/>
      </c>
    </row>
    <row r="446" spans="1:83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v>0</v>
      </c>
      <c r="BN446" s="6">
        <v>0</v>
      </c>
      <c r="BO446" s="6">
        <v>0</v>
      </c>
      <c r="BP446" s="6">
        <v>0</v>
      </c>
      <c r="BQ446" s="6">
        <v>0</v>
      </c>
      <c r="BR446" s="6">
        <v>0</v>
      </c>
      <c r="BS446" s="6">
        <v>0</v>
      </c>
      <c r="BT446" s="6">
        <v>0</v>
      </c>
      <c r="BU446" s="6">
        <v>0</v>
      </c>
      <c r="BV446" s="6">
        <v>0</v>
      </c>
      <c r="BW446" s="6">
        <v>0</v>
      </c>
      <c r="BX446" s="6">
        <v>0</v>
      </c>
      <c r="BY446" s="6">
        <v>0</v>
      </c>
      <c r="BZ446" s="6">
        <v>0</v>
      </c>
      <c r="CA446" s="6">
        <v>0</v>
      </c>
      <c r="CB446" s="6">
        <v>0</v>
      </c>
      <c r="CC446" s="6">
        <f>IF(Table3[[#This Row],[Type]]="EM",IF((Table3[[#This Row],[Diameter]]/2)-Table3[[#This Row],[CornerRadius]]-0.012&gt;0,(Table3[[#This Row],[Diameter]]/2)-Table3[[#This Row],[CornerRadius]]-0.012,0),)</f>
        <v>0</v>
      </c>
      <c r="CE446" s="6" t="str">
        <f>IF(Table3[[#This Row],[ShoulderLength]]="","",IF(Table3[[#This Row],[ShoulderLength]]&lt;Table3[[#This Row],[LOC]],"FIX",""))</f>
        <v/>
      </c>
    </row>
    <row r="447" spans="1:83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v>0</v>
      </c>
      <c r="BN447" s="6">
        <v>0</v>
      </c>
      <c r="BO447" s="6">
        <v>0</v>
      </c>
      <c r="BP447" s="6">
        <v>0</v>
      </c>
      <c r="BQ447" s="6">
        <v>0</v>
      </c>
      <c r="BR447" s="6">
        <v>0</v>
      </c>
      <c r="BS447" s="6">
        <v>0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>
        <v>0</v>
      </c>
      <c r="CA447" s="6">
        <v>0</v>
      </c>
      <c r="CB447" s="6">
        <v>0</v>
      </c>
      <c r="CC447" s="6">
        <f>IF(Table3[[#This Row],[Type]]="EM",IF((Table3[[#This Row],[Diameter]]/2)-Table3[[#This Row],[CornerRadius]]-0.012&gt;0,(Table3[[#This Row],[Diameter]]/2)-Table3[[#This Row],[CornerRadius]]-0.012,0),)</f>
        <v>0</v>
      </c>
      <c r="CE447" s="6" t="str">
        <f>IF(Table3[[#This Row],[ShoulderLength]]="","",IF(Table3[[#This Row],[ShoulderLength]]&lt;Table3[[#This Row],[LOC]],"FIX",""))</f>
        <v/>
      </c>
    </row>
    <row r="448" spans="1:83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0</v>
      </c>
      <c r="BO448" s="6">
        <v>0</v>
      </c>
      <c r="BP448" s="6">
        <v>0</v>
      </c>
      <c r="BQ448" s="6">
        <v>0</v>
      </c>
      <c r="BR448" s="6">
        <v>0</v>
      </c>
      <c r="BS448" s="6">
        <v>0</v>
      </c>
      <c r="BT448" s="6">
        <v>0</v>
      </c>
      <c r="BU448" s="6">
        <v>0</v>
      </c>
      <c r="BV448" s="6">
        <v>0</v>
      </c>
      <c r="BW448" s="6">
        <v>0</v>
      </c>
      <c r="BX448" s="6">
        <v>0</v>
      </c>
      <c r="BY448" s="6">
        <v>0</v>
      </c>
      <c r="BZ448" s="6">
        <v>0</v>
      </c>
      <c r="CA448" s="6">
        <v>0</v>
      </c>
      <c r="CB448" s="6">
        <v>0</v>
      </c>
      <c r="CC448" s="6">
        <f>IF(Table3[[#This Row],[Type]]="EM",IF((Table3[[#This Row],[Diameter]]/2)-Table3[[#This Row],[CornerRadius]]-0.012&gt;0,(Table3[[#This Row],[Diameter]]/2)-Table3[[#This Row],[CornerRadius]]-0.012,0),)</f>
        <v>0</v>
      </c>
      <c r="CE448" s="6" t="str">
        <f>IF(Table3[[#This Row],[ShoulderLength]]="","",IF(Table3[[#This Row],[ShoulderLength]]&lt;Table3[[#This Row],[LOC]],"FIX",""))</f>
        <v/>
      </c>
    </row>
    <row r="449" spans="1:83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0</v>
      </c>
      <c r="BO449" s="6">
        <v>0</v>
      </c>
      <c r="BP449" s="6">
        <v>0</v>
      </c>
      <c r="BQ449" s="6">
        <v>0</v>
      </c>
      <c r="BR449" s="6">
        <v>0</v>
      </c>
      <c r="BS449" s="6">
        <v>0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>
        <v>0</v>
      </c>
      <c r="CA449" s="6">
        <v>0</v>
      </c>
      <c r="CB449" s="6">
        <v>0</v>
      </c>
      <c r="CC449" s="6">
        <f>IF(Table3[[#This Row],[Type]]="EM",IF((Table3[[#This Row],[Diameter]]/2)-Table3[[#This Row],[CornerRadius]]-0.012&gt;0,(Table3[[#This Row],[Diameter]]/2)-Table3[[#This Row],[CornerRadius]]-0.012,0),)</f>
        <v>0</v>
      </c>
      <c r="CE449" s="6" t="str">
        <f>IF(Table3[[#This Row],[ShoulderLength]]="","",IF(Table3[[#This Row],[ShoulderLength]]&lt;Table3[[#This Row],[LOC]],"FIX",""))</f>
        <v/>
      </c>
    </row>
    <row r="450" spans="1:83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0</v>
      </c>
      <c r="BO450" s="6">
        <v>0</v>
      </c>
      <c r="BP450" s="6">
        <v>0</v>
      </c>
      <c r="BQ450" s="6">
        <v>0</v>
      </c>
      <c r="BR450" s="6">
        <v>0</v>
      </c>
      <c r="BS450" s="6">
        <v>0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>
        <v>0</v>
      </c>
      <c r="CA450" s="6">
        <v>0</v>
      </c>
      <c r="CB450" s="6">
        <v>0</v>
      </c>
      <c r="CC450" s="6">
        <f>IF(Table3[[#This Row],[Type]]="EM",IF((Table3[[#This Row],[Diameter]]/2)-Table3[[#This Row],[CornerRadius]]-0.012&gt;0,(Table3[[#This Row],[Diameter]]/2)-Table3[[#This Row],[CornerRadius]]-0.012,0),)</f>
        <v>0</v>
      </c>
      <c r="CE450" s="6" t="str">
        <f>IF(Table3[[#This Row],[ShoulderLength]]="","",IF(Table3[[#This Row],[ShoulderLength]]&lt;Table3[[#This Row],[LOC]],"FIX",""))</f>
        <v/>
      </c>
    </row>
    <row r="451" spans="1:83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v>0</v>
      </c>
      <c r="BN451" s="6">
        <v>0</v>
      </c>
      <c r="BO451" s="6">
        <v>0</v>
      </c>
      <c r="BP451" s="6">
        <v>0</v>
      </c>
      <c r="BQ451" s="6">
        <v>0</v>
      </c>
      <c r="BR451" s="6">
        <v>0</v>
      </c>
      <c r="BS451" s="6">
        <v>0</v>
      </c>
      <c r="BT451" s="6">
        <v>0</v>
      </c>
      <c r="BU451" s="6">
        <v>0</v>
      </c>
      <c r="BV451" s="6">
        <v>0</v>
      </c>
      <c r="BW451" s="6">
        <v>0</v>
      </c>
      <c r="BX451" s="6">
        <v>0</v>
      </c>
      <c r="BY451" s="6">
        <v>0</v>
      </c>
      <c r="BZ451" s="6">
        <v>0</v>
      </c>
      <c r="CA451" s="6">
        <v>0</v>
      </c>
      <c r="CB451" s="6">
        <v>0</v>
      </c>
      <c r="CC451" s="6">
        <f>IF(Table3[[#This Row],[Type]]="EM",IF((Table3[[#This Row],[Diameter]]/2)-Table3[[#This Row],[CornerRadius]]-0.012&gt;0,(Table3[[#This Row],[Diameter]]/2)-Table3[[#This Row],[CornerRadius]]-0.012,0),)</f>
        <v>0</v>
      </c>
      <c r="CE451" s="6" t="str">
        <f>IF(Table3[[#This Row],[ShoulderLength]]="","",IF(Table3[[#This Row],[ShoulderLength]]&lt;Table3[[#This Row],[LOC]],"FIX",""))</f>
        <v/>
      </c>
    </row>
    <row r="452" spans="1:83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v>0</v>
      </c>
      <c r="BN452" s="6">
        <v>0</v>
      </c>
      <c r="BO452" s="6">
        <v>0</v>
      </c>
      <c r="BP452" s="6">
        <v>0</v>
      </c>
      <c r="BQ452" s="6">
        <v>0</v>
      </c>
      <c r="BR452" s="6">
        <v>0</v>
      </c>
      <c r="BS452" s="6">
        <v>0</v>
      </c>
      <c r="BT452" s="6">
        <v>0</v>
      </c>
      <c r="BU452" s="6">
        <v>0</v>
      </c>
      <c r="BV452" s="6">
        <v>0</v>
      </c>
      <c r="BW452" s="6">
        <v>0</v>
      </c>
      <c r="BX452" s="6">
        <v>0</v>
      </c>
      <c r="BY452" s="6">
        <v>0</v>
      </c>
      <c r="BZ452" s="6">
        <v>0</v>
      </c>
      <c r="CA452" s="6">
        <v>0</v>
      </c>
      <c r="CB452" s="6">
        <v>0</v>
      </c>
      <c r="CC452" s="6">
        <f>IF(Table3[[#This Row],[Type]]="EM",IF((Table3[[#This Row],[Diameter]]/2)-Table3[[#This Row],[CornerRadius]]-0.012&gt;0,(Table3[[#This Row],[Diameter]]/2)-Table3[[#This Row],[CornerRadius]]-0.012,0),)</f>
        <v>0</v>
      </c>
      <c r="CE452" s="6" t="str">
        <f>IF(Table3[[#This Row],[ShoulderLength]]="","",IF(Table3[[#This Row],[ShoulderLength]]&lt;Table3[[#This Row],[LOC]],"FIX",""))</f>
        <v/>
      </c>
    </row>
    <row r="453" spans="1:83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v>0</v>
      </c>
      <c r="BN453" s="6">
        <v>0</v>
      </c>
      <c r="BO453" s="6">
        <v>0</v>
      </c>
      <c r="BP453" s="6">
        <v>0</v>
      </c>
      <c r="BQ453" s="6">
        <v>0</v>
      </c>
      <c r="BR453" s="6">
        <v>0</v>
      </c>
      <c r="BS453" s="6">
        <v>0</v>
      </c>
      <c r="BT453" s="6">
        <v>0</v>
      </c>
      <c r="BU453" s="6">
        <v>0</v>
      </c>
      <c r="BV453" s="6">
        <v>0</v>
      </c>
      <c r="BW453" s="6">
        <v>0</v>
      </c>
      <c r="BX453" s="6">
        <v>0</v>
      </c>
      <c r="BY453" s="6">
        <v>0</v>
      </c>
      <c r="BZ453" s="6">
        <v>0</v>
      </c>
      <c r="CA453" s="6">
        <v>0</v>
      </c>
      <c r="CB453" s="6">
        <v>0</v>
      </c>
      <c r="CC453" s="6">
        <f>IF(Table3[[#This Row],[Type]]="EM",IF((Table3[[#This Row],[Diameter]]/2)-Table3[[#This Row],[CornerRadius]]-0.012&gt;0,(Table3[[#This Row],[Diameter]]/2)-Table3[[#This Row],[CornerRadius]]-0.012,0),)</f>
        <v>0</v>
      </c>
      <c r="CE453" s="6" t="str">
        <f>IF(Table3[[#This Row],[ShoulderLength]]="","",IF(Table3[[#This Row],[ShoulderLength]]&lt;Table3[[#This Row],[LOC]],"FIX",""))</f>
        <v/>
      </c>
    </row>
    <row r="454" spans="1:83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v>0</v>
      </c>
      <c r="BN454" s="6">
        <v>0</v>
      </c>
      <c r="BO454" s="6">
        <v>0</v>
      </c>
      <c r="BP454" s="6">
        <v>0</v>
      </c>
      <c r="BQ454" s="6">
        <v>0</v>
      </c>
      <c r="BR454" s="6">
        <v>0</v>
      </c>
      <c r="BS454" s="6">
        <v>0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>
        <v>0</v>
      </c>
      <c r="CA454" s="6">
        <v>0</v>
      </c>
      <c r="CB454" s="6">
        <v>0</v>
      </c>
      <c r="CC454" s="6">
        <f>IF(Table3[[#This Row],[Type]]="EM",IF((Table3[[#This Row],[Diameter]]/2)-Table3[[#This Row],[CornerRadius]]-0.012&gt;0,(Table3[[#This Row],[Diameter]]/2)-Table3[[#This Row],[CornerRadius]]-0.012,0),)</f>
        <v>0</v>
      </c>
      <c r="CE454" s="6" t="str">
        <f>IF(Table3[[#This Row],[ShoulderLength]]="","",IF(Table3[[#This Row],[ShoulderLength]]&lt;Table3[[#This Row],[LOC]],"FIX",""))</f>
        <v/>
      </c>
    </row>
    <row r="455" spans="1:83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v>0</v>
      </c>
      <c r="BN455" s="6">
        <v>0</v>
      </c>
      <c r="BO455" s="6">
        <v>0</v>
      </c>
      <c r="BP455" s="6">
        <v>0</v>
      </c>
      <c r="BQ455" s="6">
        <v>0</v>
      </c>
      <c r="BR455" s="6">
        <v>0</v>
      </c>
      <c r="BS455" s="6">
        <v>0</v>
      </c>
      <c r="BT455" s="6">
        <v>0</v>
      </c>
      <c r="BU455" s="6">
        <v>0</v>
      </c>
      <c r="BV455" s="6">
        <v>0</v>
      </c>
      <c r="BW455" s="6">
        <v>0</v>
      </c>
      <c r="BX455" s="6">
        <v>0</v>
      </c>
      <c r="BY455" s="6">
        <v>0</v>
      </c>
      <c r="BZ455" s="6">
        <v>0</v>
      </c>
      <c r="CA455" s="6">
        <v>0</v>
      </c>
      <c r="CB455" s="6">
        <v>0</v>
      </c>
      <c r="CC455" s="6">
        <f>IF(Table3[[#This Row],[Type]]="EM",IF((Table3[[#This Row],[Diameter]]/2)-Table3[[#This Row],[CornerRadius]]-0.012&gt;0,(Table3[[#This Row],[Diameter]]/2)-Table3[[#This Row],[CornerRadius]]-0.012,0),)</f>
        <v>0</v>
      </c>
      <c r="CE455" s="6" t="str">
        <f>IF(Table3[[#This Row],[ShoulderLength]]="","",IF(Table3[[#This Row],[ShoulderLength]]&lt;Table3[[#This Row],[LOC]],"FIX",""))</f>
        <v/>
      </c>
    </row>
    <row r="456" spans="1:83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v>0</v>
      </c>
      <c r="BN456" s="6">
        <v>0</v>
      </c>
      <c r="BO456" s="6">
        <v>0</v>
      </c>
      <c r="BP456" s="6">
        <v>0</v>
      </c>
      <c r="BQ456" s="6">
        <v>0</v>
      </c>
      <c r="BR456" s="6">
        <v>0</v>
      </c>
      <c r="BS456" s="6">
        <v>0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>
        <v>0</v>
      </c>
      <c r="CA456" s="6">
        <v>0</v>
      </c>
      <c r="CB456" s="6">
        <v>0</v>
      </c>
      <c r="CC456" s="6">
        <f>IF(Table3[[#This Row],[Type]]="EM",IF((Table3[[#This Row],[Diameter]]/2)-Table3[[#This Row],[CornerRadius]]-0.012&gt;0,(Table3[[#This Row],[Diameter]]/2)-Table3[[#This Row],[CornerRadius]]-0.012,0),)</f>
        <v>0</v>
      </c>
      <c r="CE456" s="6" t="str">
        <f>IF(Table3[[#This Row],[ShoulderLength]]="","",IF(Table3[[#This Row],[ShoulderLength]]&lt;Table3[[#This Row],[LOC]],"FIX",""))</f>
        <v/>
      </c>
    </row>
    <row r="457" spans="1:83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v>0</v>
      </c>
      <c r="BN457" s="6">
        <v>0</v>
      </c>
      <c r="BO457" s="6">
        <v>0</v>
      </c>
      <c r="BP457" s="6">
        <v>0</v>
      </c>
      <c r="BQ457" s="6">
        <v>0</v>
      </c>
      <c r="BR457" s="6">
        <v>0</v>
      </c>
      <c r="BS457" s="6">
        <v>0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>
        <v>0</v>
      </c>
      <c r="CA457" s="6">
        <v>0</v>
      </c>
      <c r="CB457" s="6">
        <v>0</v>
      </c>
      <c r="CC457" s="6">
        <f>IF(Table3[[#This Row],[Type]]="EM",IF((Table3[[#This Row],[Diameter]]/2)-Table3[[#This Row],[CornerRadius]]-0.012&gt;0,(Table3[[#This Row],[Diameter]]/2)-Table3[[#This Row],[CornerRadius]]-0.012,0),)</f>
        <v>0</v>
      </c>
      <c r="CE457" s="6" t="str">
        <f>IF(Table3[[#This Row],[ShoulderLength]]="","",IF(Table3[[#This Row],[ShoulderLength]]&lt;Table3[[#This Row],[LOC]],"FIX",""))</f>
        <v/>
      </c>
    </row>
    <row r="458" spans="1:83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v>0</v>
      </c>
      <c r="BN458" s="6">
        <v>0</v>
      </c>
      <c r="BO458" s="6">
        <v>0</v>
      </c>
      <c r="BP458" s="6">
        <v>0</v>
      </c>
      <c r="BQ458" s="6">
        <v>0</v>
      </c>
      <c r="BR458" s="6">
        <v>0</v>
      </c>
      <c r="BS458" s="6">
        <v>0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>
        <v>0</v>
      </c>
      <c r="CA458" s="6">
        <v>0</v>
      </c>
      <c r="CB458" s="6">
        <v>0</v>
      </c>
      <c r="CC458" s="6">
        <f>IF(Table3[[#This Row],[Type]]="EM",IF((Table3[[#This Row],[Diameter]]/2)-Table3[[#This Row],[CornerRadius]]-0.012&gt;0,(Table3[[#This Row],[Diameter]]/2)-Table3[[#This Row],[CornerRadius]]-0.012,0),)</f>
        <v>0</v>
      </c>
      <c r="CE458" s="6" t="str">
        <f>IF(Table3[[#This Row],[ShoulderLength]]="","",IF(Table3[[#This Row],[ShoulderLength]]&lt;Table3[[#This Row],[LOC]],"FIX",""))</f>
        <v/>
      </c>
    </row>
    <row r="459" spans="1:83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v>0</v>
      </c>
      <c r="BN459" s="6">
        <v>0</v>
      </c>
      <c r="BO459" s="6">
        <v>0</v>
      </c>
      <c r="BP459" s="6">
        <v>0</v>
      </c>
      <c r="BQ459" s="6">
        <v>0</v>
      </c>
      <c r="BR459" s="6">
        <v>0</v>
      </c>
      <c r="BS459" s="6">
        <v>0</v>
      </c>
      <c r="BT459" s="6">
        <v>0</v>
      </c>
      <c r="BU459" s="6">
        <v>0</v>
      </c>
      <c r="BV459" s="6">
        <v>0</v>
      </c>
      <c r="BW459" s="6">
        <v>0</v>
      </c>
      <c r="BX459" s="6">
        <v>0</v>
      </c>
      <c r="BY459" s="6">
        <v>0</v>
      </c>
      <c r="BZ459" s="6">
        <v>0</v>
      </c>
      <c r="CA459" s="6">
        <v>0</v>
      </c>
      <c r="CB459" s="6">
        <v>0</v>
      </c>
      <c r="CC459" s="6">
        <f>IF(Table3[[#This Row],[Type]]="EM",IF((Table3[[#This Row],[Diameter]]/2)-Table3[[#This Row],[CornerRadius]]-0.012&gt;0,(Table3[[#This Row],[Diameter]]/2)-Table3[[#This Row],[CornerRadius]]-0.012,0),)</f>
        <v>0</v>
      </c>
      <c r="CE459" s="6" t="str">
        <f>IF(Table3[[#This Row],[ShoulderLength]]="","",IF(Table3[[#This Row],[ShoulderLength]]&lt;Table3[[#This Row],[LOC]],"FIX",""))</f>
        <v/>
      </c>
    </row>
    <row r="460" spans="1:83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0</v>
      </c>
      <c r="BO460" s="6">
        <v>0</v>
      </c>
      <c r="BP460" s="6">
        <v>0</v>
      </c>
      <c r="BQ460" s="6">
        <v>0</v>
      </c>
      <c r="BR460" s="6">
        <v>0</v>
      </c>
      <c r="BS460" s="6">
        <v>0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>
        <v>0</v>
      </c>
      <c r="CA460" s="6">
        <v>0</v>
      </c>
      <c r="CB460" s="6">
        <v>0</v>
      </c>
      <c r="CC460" s="6">
        <f>IF(Table3[[#This Row],[Type]]="EM",IF((Table3[[#This Row],[Diameter]]/2)-Table3[[#This Row],[CornerRadius]]-0.012&gt;0,(Table3[[#This Row],[Diameter]]/2)-Table3[[#This Row],[CornerRadius]]-0.012,0),)</f>
        <v>0</v>
      </c>
      <c r="CE460" s="6" t="str">
        <f>IF(Table3[[#This Row],[ShoulderLength]]="","",IF(Table3[[#This Row],[ShoulderLength]]&lt;Table3[[#This Row],[LOC]],"FIX",""))</f>
        <v/>
      </c>
    </row>
    <row r="461" spans="1:83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v>0</v>
      </c>
      <c r="BN461" s="6">
        <v>0</v>
      </c>
      <c r="BO461" s="6">
        <v>0</v>
      </c>
      <c r="BP461" s="6">
        <v>0</v>
      </c>
      <c r="BQ461" s="6">
        <v>0</v>
      </c>
      <c r="BR461" s="6">
        <v>0</v>
      </c>
      <c r="BS461" s="6">
        <v>0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>
        <v>0</v>
      </c>
      <c r="CA461" s="6">
        <v>0</v>
      </c>
      <c r="CB461" s="6">
        <v>0</v>
      </c>
      <c r="CC461" s="6">
        <f>IF(Table3[[#This Row],[Type]]="EM",IF((Table3[[#This Row],[Diameter]]/2)-Table3[[#This Row],[CornerRadius]]-0.012&gt;0,(Table3[[#This Row],[Diameter]]/2)-Table3[[#This Row],[CornerRadius]]-0.012,0),)</f>
        <v>0</v>
      </c>
      <c r="CE461" s="6" t="str">
        <f>IF(Table3[[#This Row],[ShoulderLength]]="","",IF(Table3[[#This Row],[ShoulderLength]]&lt;Table3[[#This Row],[LOC]],"FIX",""))</f>
        <v/>
      </c>
    </row>
    <row r="462" spans="1:83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v>0</v>
      </c>
      <c r="BN462" s="6">
        <v>0</v>
      </c>
      <c r="BO462" s="6">
        <v>0</v>
      </c>
      <c r="BP462" s="6">
        <v>0</v>
      </c>
      <c r="BQ462" s="6">
        <v>0</v>
      </c>
      <c r="BR462" s="6">
        <v>0</v>
      </c>
      <c r="BS462" s="6">
        <v>0</v>
      </c>
      <c r="BT462" s="6">
        <v>0</v>
      </c>
      <c r="BU462" s="6">
        <v>0</v>
      </c>
      <c r="BV462" s="6">
        <v>0</v>
      </c>
      <c r="BW462" s="6">
        <v>0</v>
      </c>
      <c r="BX462" s="6">
        <v>0</v>
      </c>
      <c r="BY462" s="6">
        <v>0</v>
      </c>
      <c r="BZ462" s="6">
        <v>0</v>
      </c>
      <c r="CA462" s="6">
        <v>0</v>
      </c>
      <c r="CB462" s="6">
        <v>0</v>
      </c>
      <c r="CC462" s="6">
        <f>IF(Table3[[#This Row],[Type]]="EM",IF((Table3[[#This Row],[Diameter]]/2)-Table3[[#This Row],[CornerRadius]]-0.012&gt;0,(Table3[[#This Row],[Diameter]]/2)-Table3[[#This Row],[CornerRadius]]-0.012,0),)</f>
        <v>0</v>
      </c>
      <c r="CE462" s="6" t="str">
        <f>IF(Table3[[#This Row],[ShoulderLength]]="","",IF(Table3[[#This Row],[ShoulderLength]]&lt;Table3[[#This Row],[LOC]],"FIX",""))</f>
        <v/>
      </c>
    </row>
    <row r="463" spans="1:83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v>0</v>
      </c>
      <c r="BN463" s="6">
        <v>0</v>
      </c>
      <c r="BO463" s="6">
        <v>0</v>
      </c>
      <c r="BP463" s="6">
        <v>0</v>
      </c>
      <c r="BQ463" s="6">
        <v>0</v>
      </c>
      <c r="BR463" s="6">
        <v>0</v>
      </c>
      <c r="BS463" s="6">
        <v>0</v>
      </c>
      <c r="BT463" s="6">
        <v>0</v>
      </c>
      <c r="BU463" s="6">
        <v>0</v>
      </c>
      <c r="BV463" s="6">
        <v>0</v>
      </c>
      <c r="BW463" s="6">
        <v>0</v>
      </c>
      <c r="BX463" s="6">
        <v>0</v>
      </c>
      <c r="BY463" s="6">
        <v>0</v>
      </c>
      <c r="BZ463" s="6">
        <v>0</v>
      </c>
      <c r="CA463" s="6">
        <v>0</v>
      </c>
      <c r="CB463" s="6">
        <v>0</v>
      </c>
      <c r="CC463" s="6">
        <f>IF(Table3[[#This Row],[Type]]="EM",IF((Table3[[#This Row],[Diameter]]/2)-Table3[[#This Row],[CornerRadius]]-0.012&gt;0,(Table3[[#This Row],[Diameter]]/2)-Table3[[#This Row],[CornerRadius]]-0.012,0),)</f>
        <v>0</v>
      </c>
      <c r="CE463" s="6" t="str">
        <f>IF(Table3[[#This Row],[ShoulderLength]]="","",IF(Table3[[#This Row],[ShoulderLength]]&lt;Table3[[#This Row],[LOC]],"FIX",""))</f>
        <v/>
      </c>
    </row>
    <row r="464" spans="1:83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v>0</v>
      </c>
      <c r="BN464" s="6">
        <v>0</v>
      </c>
      <c r="BO464" s="6">
        <v>0</v>
      </c>
      <c r="BP464" s="6">
        <v>0</v>
      </c>
      <c r="BQ464" s="6">
        <v>0</v>
      </c>
      <c r="BR464" s="6">
        <v>0</v>
      </c>
      <c r="BS464" s="6">
        <v>0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>
        <v>0</v>
      </c>
      <c r="CA464" s="6">
        <v>0</v>
      </c>
      <c r="CB464" s="6">
        <v>0</v>
      </c>
      <c r="CC464" s="6">
        <f>IF(Table3[[#This Row],[Type]]="EM",IF((Table3[[#This Row],[Diameter]]/2)-Table3[[#This Row],[CornerRadius]]-0.012&gt;0,(Table3[[#This Row],[Diameter]]/2)-Table3[[#This Row],[CornerRadius]]-0.012,0),)</f>
        <v>0</v>
      </c>
      <c r="CE464" s="6" t="str">
        <f>IF(Table3[[#This Row],[ShoulderLength]]="","",IF(Table3[[#This Row],[ShoulderLength]]&lt;Table3[[#This Row],[LOC]],"FIX",""))</f>
        <v/>
      </c>
    </row>
    <row r="465" spans="1:83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v>0</v>
      </c>
      <c r="BN465" s="6">
        <v>0</v>
      </c>
      <c r="BO465" s="6">
        <v>0</v>
      </c>
      <c r="BP465" s="6">
        <v>0</v>
      </c>
      <c r="BQ465" s="6">
        <v>0</v>
      </c>
      <c r="BR465" s="6">
        <v>0</v>
      </c>
      <c r="BS465" s="6">
        <v>0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>
        <v>0</v>
      </c>
      <c r="CA465" s="6">
        <v>0</v>
      </c>
      <c r="CB465" s="6">
        <v>0</v>
      </c>
      <c r="CC465" s="6">
        <f>IF(Table3[[#This Row],[Type]]="EM",IF((Table3[[#This Row],[Diameter]]/2)-Table3[[#This Row],[CornerRadius]]-0.012&gt;0,(Table3[[#This Row],[Diameter]]/2)-Table3[[#This Row],[CornerRadius]]-0.012,0),)</f>
        <v>0</v>
      </c>
      <c r="CE465" s="6" t="str">
        <f>IF(Table3[[#This Row],[ShoulderLength]]="","",IF(Table3[[#This Row],[ShoulderLength]]&lt;Table3[[#This Row],[LOC]],"FIX",""))</f>
        <v/>
      </c>
    </row>
    <row r="466" spans="1:83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v>0</v>
      </c>
      <c r="BN466" s="6">
        <v>0</v>
      </c>
      <c r="BO466" s="6">
        <v>0</v>
      </c>
      <c r="BP466" s="6">
        <v>0</v>
      </c>
      <c r="BQ466" s="6">
        <v>0</v>
      </c>
      <c r="BR466" s="6">
        <v>0</v>
      </c>
      <c r="BS466" s="6">
        <v>0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0</v>
      </c>
      <c r="BZ466" s="6">
        <v>0</v>
      </c>
      <c r="CA466" s="6">
        <v>0</v>
      </c>
      <c r="CB466" s="6">
        <v>0</v>
      </c>
      <c r="CC466" s="6">
        <f>IF(Table3[[#This Row],[Type]]="EM",IF((Table3[[#This Row],[Diameter]]/2)-Table3[[#This Row],[CornerRadius]]-0.012&gt;0,(Table3[[#This Row],[Diameter]]/2)-Table3[[#This Row],[CornerRadius]]-0.012,0),)</f>
        <v>0</v>
      </c>
      <c r="CE466" s="6" t="str">
        <f>IF(Table3[[#This Row],[ShoulderLength]]="","",IF(Table3[[#This Row],[ShoulderLength]]&lt;Table3[[#This Row],[LOC]],"FIX",""))</f>
        <v/>
      </c>
    </row>
    <row r="467" spans="1:83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v>0</v>
      </c>
      <c r="BN467" s="6">
        <v>0</v>
      </c>
      <c r="BO467" s="6">
        <v>0</v>
      </c>
      <c r="BP467" s="6">
        <v>0</v>
      </c>
      <c r="BQ467" s="6">
        <v>0</v>
      </c>
      <c r="BR467" s="6">
        <v>0</v>
      </c>
      <c r="BS467" s="6">
        <v>0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>
        <v>0</v>
      </c>
      <c r="CA467" s="6">
        <v>0</v>
      </c>
      <c r="CB467" s="6">
        <v>0</v>
      </c>
      <c r="CC467" s="6">
        <f>IF(Table3[[#This Row],[Type]]="EM",IF((Table3[[#This Row],[Diameter]]/2)-Table3[[#This Row],[CornerRadius]]-0.012&gt;0,(Table3[[#This Row],[Diameter]]/2)-Table3[[#This Row],[CornerRadius]]-0.012,0),)</f>
        <v>0</v>
      </c>
      <c r="CE467" s="6" t="str">
        <f>IF(Table3[[#This Row],[ShoulderLength]]="","",IF(Table3[[#This Row],[ShoulderLength]]&lt;Table3[[#This Row],[LOC]],"FIX",""))</f>
        <v/>
      </c>
    </row>
    <row r="468" spans="1:83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v>0</v>
      </c>
      <c r="BN468" s="6">
        <v>0</v>
      </c>
      <c r="BO468" s="6">
        <v>0</v>
      </c>
      <c r="BP468" s="6">
        <v>0</v>
      </c>
      <c r="BQ468" s="6">
        <v>0</v>
      </c>
      <c r="BR468" s="6">
        <v>0</v>
      </c>
      <c r="BS468" s="6">
        <v>0</v>
      </c>
      <c r="BT468" s="6">
        <v>0</v>
      </c>
      <c r="BU468" s="6">
        <v>0</v>
      </c>
      <c r="BV468" s="6">
        <v>0</v>
      </c>
      <c r="BW468" s="6">
        <v>0</v>
      </c>
      <c r="BX468" s="6">
        <v>0</v>
      </c>
      <c r="BY468" s="6">
        <v>0</v>
      </c>
      <c r="BZ468" s="6">
        <v>0</v>
      </c>
      <c r="CA468" s="6">
        <v>0</v>
      </c>
      <c r="CB468" s="6">
        <v>0</v>
      </c>
      <c r="CC468" s="6">
        <f>IF(Table3[[#This Row],[Type]]="EM",IF((Table3[[#This Row],[Diameter]]/2)-Table3[[#This Row],[CornerRadius]]-0.012&gt;0,(Table3[[#This Row],[Diameter]]/2)-Table3[[#This Row],[CornerRadius]]-0.012,0),)</f>
        <v>0</v>
      </c>
      <c r="CE468" s="6" t="str">
        <f>IF(Table3[[#This Row],[ShoulderLength]]="","",IF(Table3[[#This Row],[ShoulderLength]]&lt;Table3[[#This Row],[LOC]],"FIX",""))</f>
        <v/>
      </c>
    </row>
    <row r="469" spans="1:83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v>0</v>
      </c>
      <c r="BN469" s="6">
        <v>0</v>
      </c>
      <c r="BO469" s="6">
        <v>0</v>
      </c>
      <c r="BP469" s="6">
        <v>0</v>
      </c>
      <c r="BQ469" s="6">
        <v>0</v>
      </c>
      <c r="BR469" s="6">
        <v>0</v>
      </c>
      <c r="BS469" s="6">
        <v>0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>
        <v>0</v>
      </c>
      <c r="CA469" s="6">
        <v>0</v>
      </c>
      <c r="CB469" s="6">
        <v>0</v>
      </c>
      <c r="CC469" s="6">
        <f>IF(Table3[[#This Row],[Type]]="EM",IF((Table3[[#This Row],[Diameter]]/2)-Table3[[#This Row],[CornerRadius]]-0.012&gt;0,(Table3[[#This Row],[Diameter]]/2)-Table3[[#This Row],[CornerRadius]]-0.012,0),)</f>
        <v>0</v>
      </c>
      <c r="CE469" s="6" t="str">
        <f>IF(Table3[[#This Row],[ShoulderLength]]="","",IF(Table3[[#This Row],[ShoulderLength]]&lt;Table3[[#This Row],[LOC]],"FIX",""))</f>
        <v/>
      </c>
    </row>
    <row r="470" spans="1:83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v>0</v>
      </c>
      <c r="BN470" s="6">
        <v>0</v>
      </c>
      <c r="BO470" s="6">
        <v>0</v>
      </c>
      <c r="BP470" s="6">
        <v>0</v>
      </c>
      <c r="BQ470" s="6">
        <v>0</v>
      </c>
      <c r="BR470" s="6">
        <v>0</v>
      </c>
      <c r="BS470" s="6">
        <v>0</v>
      </c>
      <c r="BT470" s="6">
        <v>0</v>
      </c>
      <c r="BU470" s="6">
        <v>0</v>
      </c>
      <c r="BV470" s="6">
        <v>0</v>
      </c>
      <c r="BW470" s="6">
        <v>0</v>
      </c>
      <c r="BX470" s="6">
        <v>0</v>
      </c>
      <c r="BY470" s="6">
        <v>0</v>
      </c>
      <c r="BZ470" s="6">
        <v>0</v>
      </c>
      <c r="CA470" s="6">
        <v>0</v>
      </c>
      <c r="CB470" s="6">
        <v>0</v>
      </c>
      <c r="CC470" s="6">
        <f>IF(Table3[[#This Row],[Type]]="EM",IF((Table3[[#This Row],[Diameter]]/2)-Table3[[#This Row],[CornerRadius]]-0.012&gt;0,(Table3[[#This Row],[Diameter]]/2)-Table3[[#This Row],[CornerRadius]]-0.012,0),)</f>
        <v>0</v>
      </c>
      <c r="CE470" s="6" t="str">
        <f>IF(Table3[[#This Row],[ShoulderLength]]="","",IF(Table3[[#This Row],[ShoulderLength]]&lt;Table3[[#This Row],[LOC]],"FIX",""))</f>
        <v/>
      </c>
    </row>
    <row r="471" spans="1:83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v>0</v>
      </c>
      <c r="BN471" s="6">
        <v>0</v>
      </c>
      <c r="BO471" s="6">
        <v>0</v>
      </c>
      <c r="BP471" s="6">
        <v>0</v>
      </c>
      <c r="BQ471" s="6">
        <v>0</v>
      </c>
      <c r="BR471" s="6">
        <v>0</v>
      </c>
      <c r="BS471" s="6">
        <v>0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>
        <v>0</v>
      </c>
      <c r="CA471" s="6">
        <v>0</v>
      </c>
      <c r="CB471" s="6">
        <v>0</v>
      </c>
      <c r="CC471" s="6">
        <f>IF(Table3[[#This Row],[Type]]="EM",IF((Table3[[#This Row],[Diameter]]/2)-Table3[[#This Row],[CornerRadius]]-0.012&gt;0,(Table3[[#This Row],[Diameter]]/2)-Table3[[#This Row],[CornerRadius]]-0.012,0),)</f>
        <v>0</v>
      </c>
      <c r="CE471" s="6" t="str">
        <f>IF(Table3[[#This Row],[ShoulderLength]]="","",IF(Table3[[#This Row],[ShoulderLength]]&lt;Table3[[#This Row],[LOC]],"FIX",""))</f>
        <v/>
      </c>
    </row>
    <row r="472" spans="1:83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v>0</v>
      </c>
      <c r="BN472" s="6">
        <v>0</v>
      </c>
      <c r="BO472" s="6">
        <v>0</v>
      </c>
      <c r="BP472" s="6">
        <v>0</v>
      </c>
      <c r="BQ472" s="6">
        <v>0</v>
      </c>
      <c r="BR472" s="6">
        <v>0</v>
      </c>
      <c r="BS472" s="6">
        <v>0</v>
      </c>
      <c r="BT472" s="6">
        <v>0</v>
      </c>
      <c r="BU472" s="6">
        <v>0</v>
      </c>
      <c r="BV472" s="6">
        <v>0</v>
      </c>
      <c r="BW472" s="6">
        <v>0</v>
      </c>
      <c r="BX472" s="6">
        <v>0</v>
      </c>
      <c r="BY472" s="6">
        <v>0</v>
      </c>
      <c r="BZ472" s="6">
        <v>0</v>
      </c>
      <c r="CA472" s="6">
        <v>0</v>
      </c>
      <c r="CB472" s="6">
        <v>0</v>
      </c>
      <c r="CC472" s="6">
        <f>IF(Table3[[#This Row],[Type]]="EM",IF((Table3[[#This Row],[Diameter]]/2)-Table3[[#This Row],[CornerRadius]]-0.012&gt;0,(Table3[[#This Row],[Diameter]]/2)-Table3[[#This Row],[CornerRadius]]-0.012,0),)</f>
        <v>0</v>
      </c>
      <c r="CE472" s="6" t="str">
        <f>IF(Table3[[#This Row],[ShoulderLength]]="","",IF(Table3[[#This Row],[ShoulderLength]]&lt;Table3[[#This Row],[LOC]],"FIX",""))</f>
        <v/>
      </c>
    </row>
    <row r="473" spans="1:83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v>0</v>
      </c>
      <c r="BN473" s="6">
        <v>0</v>
      </c>
      <c r="BO473" s="6">
        <v>0</v>
      </c>
      <c r="BP473" s="6">
        <v>0</v>
      </c>
      <c r="BQ473" s="6">
        <v>0</v>
      </c>
      <c r="BR473" s="6">
        <v>0</v>
      </c>
      <c r="BS473" s="6">
        <v>0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>
        <v>0</v>
      </c>
      <c r="CA473" s="6">
        <v>0</v>
      </c>
      <c r="CB473" s="6">
        <v>0</v>
      </c>
      <c r="CC473" s="6">
        <f>IF(Table3[[#This Row],[Type]]="EM",IF((Table3[[#This Row],[Diameter]]/2)-Table3[[#This Row],[CornerRadius]]-0.012&gt;0,(Table3[[#This Row],[Diameter]]/2)-Table3[[#This Row],[CornerRadius]]-0.012,0),)</f>
        <v>0</v>
      </c>
      <c r="CE473" s="6" t="str">
        <f>IF(Table3[[#This Row],[ShoulderLength]]="","",IF(Table3[[#This Row],[ShoulderLength]]&lt;Table3[[#This Row],[LOC]],"FIX",""))</f>
        <v/>
      </c>
    </row>
    <row r="474" spans="1:83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v>0</v>
      </c>
      <c r="BN474" s="6">
        <v>0</v>
      </c>
      <c r="BO474" s="6">
        <v>0</v>
      </c>
      <c r="BP474" s="6">
        <v>0</v>
      </c>
      <c r="BQ474" s="6">
        <v>0</v>
      </c>
      <c r="BR474" s="6">
        <v>0</v>
      </c>
      <c r="BS474" s="6">
        <v>0</v>
      </c>
      <c r="BT474" s="6">
        <v>0</v>
      </c>
      <c r="BU474" s="6">
        <v>0</v>
      </c>
      <c r="BV474" s="6">
        <v>0</v>
      </c>
      <c r="BW474" s="6">
        <v>0</v>
      </c>
      <c r="BX474" s="6">
        <v>0</v>
      </c>
      <c r="BY474" s="6">
        <v>0</v>
      </c>
      <c r="BZ474" s="6">
        <v>0</v>
      </c>
      <c r="CA474" s="6">
        <v>0</v>
      </c>
      <c r="CB474" s="6">
        <v>0</v>
      </c>
      <c r="CC474" s="6">
        <f>IF(Table3[[#This Row],[Type]]="EM",IF((Table3[[#This Row],[Diameter]]/2)-Table3[[#This Row],[CornerRadius]]-0.012&gt;0,(Table3[[#This Row],[Diameter]]/2)-Table3[[#This Row],[CornerRadius]]-0.012,0),)</f>
        <v>0</v>
      </c>
      <c r="CE474" s="6" t="str">
        <f>IF(Table3[[#This Row],[ShoulderLength]]="","",IF(Table3[[#This Row],[ShoulderLength]]&lt;Table3[[#This Row],[LOC]],"FIX",""))</f>
        <v/>
      </c>
    </row>
    <row r="475" spans="1:83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v>0</v>
      </c>
      <c r="BN475" s="6">
        <v>0</v>
      </c>
      <c r="BO475" s="6">
        <v>0</v>
      </c>
      <c r="BP475" s="6">
        <v>0</v>
      </c>
      <c r="BQ475" s="6">
        <v>0</v>
      </c>
      <c r="BR475" s="6">
        <v>0</v>
      </c>
      <c r="BS475" s="6">
        <v>0</v>
      </c>
      <c r="BT475" s="6">
        <v>0</v>
      </c>
      <c r="BU475" s="6">
        <v>0</v>
      </c>
      <c r="BV475" s="6">
        <v>0</v>
      </c>
      <c r="BW475" s="6">
        <v>0</v>
      </c>
      <c r="BX475" s="6">
        <v>0</v>
      </c>
      <c r="BY475" s="6">
        <v>0</v>
      </c>
      <c r="BZ475" s="6">
        <v>0</v>
      </c>
      <c r="CA475" s="6">
        <v>0</v>
      </c>
      <c r="CB475" s="6">
        <v>0</v>
      </c>
      <c r="CC475" s="6">
        <f>IF(Table3[[#This Row],[Type]]="EM",IF((Table3[[#This Row],[Diameter]]/2)-Table3[[#This Row],[CornerRadius]]-0.012&gt;0,(Table3[[#This Row],[Diameter]]/2)-Table3[[#This Row],[CornerRadius]]-0.012,0),)</f>
        <v>0</v>
      </c>
      <c r="CE475" s="6" t="str">
        <f>IF(Table3[[#This Row],[ShoulderLength]]="","",IF(Table3[[#This Row],[ShoulderLength]]&lt;Table3[[#This Row],[LOC]],"FIX",""))</f>
        <v/>
      </c>
    </row>
    <row r="476" spans="1:83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v>0</v>
      </c>
      <c r="BN476" s="6">
        <v>0</v>
      </c>
      <c r="BO476" s="6">
        <v>0</v>
      </c>
      <c r="BP476" s="6">
        <v>0</v>
      </c>
      <c r="BQ476" s="6">
        <v>0</v>
      </c>
      <c r="BR476" s="6">
        <v>0</v>
      </c>
      <c r="BS476" s="6">
        <v>0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>
        <v>0</v>
      </c>
      <c r="CA476" s="6">
        <v>0</v>
      </c>
      <c r="CB476" s="6">
        <v>0</v>
      </c>
      <c r="CC476" s="6">
        <f>IF(Table3[[#This Row],[Type]]="EM",IF((Table3[[#This Row],[Diameter]]/2)-Table3[[#This Row],[CornerRadius]]-0.012&gt;0,(Table3[[#This Row],[Diameter]]/2)-Table3[[#This Row],[CornerRadius]]-0.012,0),)</f>
        <v>0</v>
      </c>
      <c r="CE476" s="6" t="str">
        <f>IF(Table3[[#This Row],[ShoulderLength]]="","",IF(Table3[[#This Row],[ShoulderLength]]&lt;Table3[[#This Row],[LOC]],"FIX",""))</f>
        <v/>
      </c>
    </row>
    <row r="477" spans="1:83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v>0</v>
      </c>
      <c r="BN477" s="6">
        <v>0</v>
      </c>
      <c r="BO477" s="6">
        <v>0</v>
      </c>
      <c r="BP477" s="6">
        <v>0</v>
      </c>
      <c r="BQ477" s="6">
        <v>0</v>
      </c>
      <c r="BR477" s="6">
        <v>0</v>
      </c>
      <c r="BS477" s="6">
        <v>0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>
        <v>0</v>
      </c>
      <c r="CA477" s="6">
        <v>0</v>
      </c>
      <c r="CB477" s="6">
        <v>0</v>
      </c>
      <c r="CC477" s="6">
        <f>IF(Table3[[#This Row],[Type]]="EM",IF((Table3[[#This Row],[Diameter]]/2)-Table3[[#This Row],[CornerRadius]]-0.012&gt;0,(Table3[[#This Row],[Diameter]]/2)-Table3[[#This Row],[CornerRadius]]-0.012,0),)</f>
        <v>0</v>
      </c>
      <c r="CE477" s="6" t="str">
        <f>IF(Table3[[#This Row],[ShoulderLength]]="","",IF(Table3[[#This Row],[ShoulderLength]]&lt;Table3[[#This Row],[LOC]],"FIX",""))</f>
        <v/>
      </c>
    </row>
    <row r="478" spans="1:83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v>0</v>
      </c>
      <c r="BN478" s="6">
        <v>0</v>
      </c>
      <c r="BO478" s="6">
        <v>0</v>
      </c>
      <c r="BP478" s="6">
        <v>0</v>
      </c>
      <c r="BQ478" s="6">
        <v>0</v>
      </c>
      <c r="BR478" s="6">
        <v>0</v>
      </c>
      <c r="BS478" s="6">
        <v>0</v>
      </c>
      <c r="BT478" s="6">
        <v>0</v>
      </c>
      <c r="BU478" s="6">
        <v>0</v>
      </c>
      <c r="BV478" s="6">
        <v>0</v>
      </c>
      <c r="BW478" s="6">
        <v>0</v>
      </c>
      <c r="BX478" s="6">
        <v>0</v>
      </c>
      <c r="BY478" s="6">
        <v>0</v>
      </c>
      <c r="BZ478" s="6">
        <v>0</v>
      </c>
      <c r="CA478" s="6">
        <v>0</v>
      </c>
      <c r="CB478" s="6">
        <v>0</v>
      </c>
      <c r="CC478" s="6">
        <f>IF(Table3[[#This Row],[Type]]="EM",IF((Table3[[#This Row],[Diameter]]/2)-Table3[[#This Row],[CornerRadius]]-0.012&gt;0,(Table3[[#This Row],[Diameter]]/2)-Table3[[#This Row],[CornerRadius]]-0.012,0),)</f>
        <v>0</v>
      </c>
      <c r="CE478" s="6" t="str">
        <f>IF(Table3[[#This Row],[ShoulderLength]]="","",IF(Table3[[#This Row],[ShoulderLength]]&lt;Table3[[#This Row],[LOC]],"FIX",""))</f>
        <v/>
      </c>
    </row>
    <row r="479" spans="1:83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v>0</v>
      </c>
      <c r="BN479" s="6">
        <v>0</v>
      </c>
      <c r="BO479" s="6">
        <v>0</v>
      </c>
      <c r="BP479" s="6">
        <v>0</v>
      </c>
      <c r="BQ479" s="6">
        <v>0</v>
      </c>
      <c r="BR479" s="6">
        <v>0</v>
      </c>
      <c r="BS479" s="6">
        <v>0</v>
      </c>
      <c r="BT479" s="6">
        <v>0</v>
      </c>
      <c r="BU479" s="6">
        <v>0</v>
      </c>
      <c r="BV479" s="6">
        <v>0</v>
      </c>
      <c r="BW479" s="6">
        <v>0</v>
      </c>
      <c r="BX479" s="6">
        <v>0</v>
      </c>
      <c r="BY479" s="6">
        <v>0</v>
      </c>
      <c r="BZ479" s="6">
        <v>0</v>
      </c>
      <c r="CA479" s="6">
        <v>0</v>
      </c>
      <c r="CB479" s="6">
        <v>0</v>
      </c>
      <c r="CC479" s="6">
        <f>IF(Table3[[#This Row],[Type]]="EM",IF((Table3[[#This Row],[Diameter]]/2)-Table3[[#This Row],[CornerRadius]]-0.012&gt;0,(Table3[[#This Row],[Diameter]]/2)-Table3[[#This Row],[CornerRadius]]-0.012,0),)</f>
        <v>0</v>
      </c>
      <c r="CE479" s="6" t="str">
        <f>IF(Table3[[#This Row],[ShoulderLength]]="","",IF(Table3[[#This Row],[ShoulderLength]]&lt;Table3[[#This Row],[LOC]],"FIX",""))</f>
        <v/>
      </c>
    </row>
    <row r="480" spans="1:83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v>0</v>
      </c>
      <c r="BN480" s="6">
        <v>0</v>
      </c>
      <c r="BO480" s="6">
        <v>0</v>
      </c>
      <c r="BP480" s="6">
        <v>0</v>
      </c>
      <c r="BQ480" s="6">
        <v>0</v>
      </c>
      <c r="BR480" s="6">
        <v>0</v>
      </c>
      <c r="BS480" s="6">
        <v>0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>
        <v>0</v>
      </c>
      <c r="CA480" s="6">
        <v>0</v>
      </c>
      <c r="CB480" s="6">
        <v>0</v>
      </c>
      <c r="CC480" s="6">
        <f>IF(Table3[[#This Row],[Type]]="EM",IF((Table3[[#This Row],[Diameter]]/2)-Table3[[#This Row],[CornerRadius]]-0.012&gt;0,(Table3[[#This Row],[Diameter]]/2)-Table3[[#This Row],[CornerRadius]]-0.012,0),)</f>
        <v>0</v>
      </c>
      <c r="CE480" s="6" t="str">
        <f>IF(Table3[[#This Row],[ShoulderLength]]="","",IF(Table3[[#This Row],[ShoulderLength]]&lt;Table3[[#This Row],[LOC]],"FIX",""))</f>
        <v/>
      </c>
    </row>
    <row r="481" spans="1:83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v>0</v>
      </c>
      <c r="BN481" s="6">
        <v>0</v>
      </c>
      <c r="BO481" s="6">
        <v>0</v>
      </c>
      <c r="BP481" s="6">
        <v>0</v>
      </c>
      <c r="BQ481" s="6">
        <v>0</v>
      </c>
      <c r="BR481" s="6">
        <v>0</v>
      </c>
      <c r="BS481" s="6">
        <v>0</v>
      </c>
      <c r="BT481" s="6">
        <v>0</v>
      </c>
      <c r="BU481" s="6">
        <v>0</v>
      </c>
      <c r="BV481" s="6">
        <v>0</v>
      </c>
      <c r="BW481" s="6">
        <v>0</v>
      </c>
      <c r="BX481" s="6">
        <v>0</v>
      </c>
      <c r="BY481" s="6">
        <v>0</v>
      </c>
      <c r="BZ481" s="6">
        <v>0</v>
      </c>
      <c r="CA481" s="6">
        <v>0</v>
      </c>
      <c r="CB481" s="6">
        <v>0</v>
      </c>
      <c r="CC481" s="6">
        <f>IF(Table3[[#This Row],[Type]]="EM",IF((Table3[[#This Row],[Diameter]]/2)-Table3[[#This Row],[CornerRadius]]-0.012&gt;0,(Table3[[#This Row],[Diameter]]/2)-Table3[[#This Row],[CornerRadius]]-0.012,0),)</f>
        <v>0</v>
      </c>
      <c r="CE481" s="6" t="str">
        <f>IF(Table3[[#This Row],[ShoulderLength]]="","",IF(Table3[[#This Row],[ShoulderLength]]&lt;Table3[[#This Row],[LOC]],"FIX",""))</f>
        <v/>
      </c>
    </row>
    <row r="482" spans="1:83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v>0</v>
      </c>
      <c r="BN482" s="6">
        <v>0</v>
      </c>
      <c r="BO482" s="6">
        <v>0</v>
      </c>
      <c r="BP482" s="6">
        <v>0</v>
      </c>
      <c r="BQ482" s="6">
        <v>0</v>
      </c>
      <c r="BR482" s="6">
        <v>0</v>
      </c>
      <c r="BS482" s="6">
        <v>0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>
        <v>0</v>
      </c>
      <c r="CA482" s="6">
        <v>0</v>
      </c>
      <c r="CB482" s="6">
        <v>0</v>
      </c>
      <c r="CC482" s="6">
        <f>IF(Table3[[#This Row],[Type]]="EM",IF((Table3[[#This Row],[Diameter]]/2)-Table3[[#This Row],[CornerRadius]]-0.012&gt;0,(Table3[[#This Row],[Diameter]]/2)-Table3[[#This Row],[CornerRadius]]-0.012,0),)</f>
        <v>0</v>
      </c>
      <c r="CE482" s="6" t="str">
        <f>IF(Table3[[#This Row],[ShoulderLength]]="","",IF(Table3[[#This Row],[ShoulderLength]]&lt;Table3[[#This Row],[LOC]],"FIX",""))</f>
        <v/>
      </c>
    </row>
    <row r="483" spans="1:83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v>0</v>
      </c>
      <c r="BN483" s="6">
        <v>0</v>
      </c>
      <c r="BO483" s="6">
        <v>0</v>
      </c>
      <c r="BP483" s="6">
        <v>0</v>
      </c>
      <c r="BQ483" s="6">
        <v>0</v>
      </c>
      <c r="BR483" s="6">
        <v>0</v>
      </c>
      <c r="BS483" s="6">
        <v>0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>
        <v>0</v>
      </c>
      <c r="CA483" s="6">
        <v>0</v>
      </c>
      <c r="CB483" s="6">
        <v>0</v>
      </c>
      <c r="CC483" s="6">
        <f>IF(Table3[[#This Row],[Type]]="EM",IF((Table3[[#This Row],[Diameter]]/2)-Table3[[#This Row],[CornerRadius]]-0.012&gt;0,(Table3[[#This Row],[Diameter]]/2)-Table3[[#This Row],[CornerRadius]]-0.012,0),)</f>
        <v>0</v>
      </c>
      <c r="CE483" s="6" t="str">
        <f>IF(Table3[[#This Row],[ShoulderLength]]="","",IF(Table3[[#This Row],[ShoulderLength]]&lt;Table3[[#This Row],[LOC]],"FIX",""))</f>
        <v/>
      </c>
    </row>
    <row r="484" spans="1:83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v>0</v>
      </c>
      <c r="BN484" s="6">
        <v>0</v>
      </c>
      <c r="BO484" s="6">
        <v>0</v>
      </c>
      <c r="BP484" s="6">
        <v>0</v>
      </c>
      <c r="BQ484" s="6">
        <v>0</v>
      </c>
      <c r="BR484" s="6">
        <v>0</v>
      </c>
      <c r="BS484" s="6">
        <v>0</v>
      </c>
      <c r="BT484" s="6">
        <v>0</v>
      </c>
      <c r="BU484" s="6">
        <v>0</v>
      </c>
      <c r="BV484" s="6">
        <v>0</v>
      </c>
      <c r="BW484" s="6">
        <v>0</v>
      </c>
      <c r="BX484" s="6">
        <v>0</v>
      </c>
      <c r="BY484" s="6">
        <v>0</v>
      </c>
      <c r="BZ484" s="6">
        <v>0</v>
      </c>
      <c r="CA484" s="6">
        <v>0</v>
      </c>
      <c r="CB484" s="6">
        <v>0</v>
      </c>
      <c r="CC484" s="6">
        <f>IF(Table3[[#This Row],[Type]]="EM",IF((Table3[[#This Row],[Diameter]]/2)-Table3[[#This Row],[CornerRadius]]-0.012&gt;0,(Table3[[#This Row],[Diameter]]/2)-Table3[[#This Row],[CornerRadius]]-0.012,0),)</f>
        <v>0</v>
      </c>
      <c r="CE484" s="6" t="str">
        <f>IF(Table3[[#This Row],[ShoulderLength]]="","",IF(Table3[[#This Row],[ShoulderLength]]&lt;Table3[[#This Row],[LOC]],"FIX",""))</f>
        <v/>
      </c>
    </row>
    <row r="485" spans="1:83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v>0</v>
      </c>
      <c r="BN485" s="6">
        <v>0</v>
      </c>
      <c r="BO485" s="6">
        <v>0</v>
      </c>
      <c r="BP485" s="6">
        <v>0</v>
      </c>
      <c r="BQ485" s="6">
        <v>0</v>
      </c>
      <c r="BR485" s="6">
        <v>0</v>
      </c>
      <c r="BS485" s="6">
        <v>0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>
        <v>0</v>
      </c>
      <c r="CA485" s="6">
        <v>0</v>
      </c>
      <c r="CB485" s="6">
        <v>0</v>
      </c>
      <c r="CC485" s="6">
        <f>IF(Table3[[#This Row],[Type]]="EM",IF((Table3[[#This Row],[Diameter]]/2)-Table3[[#This Row],[CornerRadius]]-0.012&gt;0,(Table3[[#This Row],[Diameter]]/2)-Table3[[#This Row],[CornerRadius]]-0.012,0),)</f>
        <v>0</v>
      </c>
      <c r="CE485" s="6" t="str">
        <f>IF(Table3[[#This Row],[ShoulderLength]]="","",IF(Table3[[#This Row],[ShoulderLength]]&lt;Table3[[#This Row],[LOC]],"FIX",""))</f>
        <v/>
      </c>
    </row>
    <row r="486" spans="1:83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v>0</v>
      </c>
      <c r="BN486" s="6">
        <v>0</v>
      </c>
      <c r="BO486" s="6">
        <v>0</v>
      </c>
      <c r="BP486" s="6">
        <v>0</v>
      </c>
      <c r="BQ486" s="6">
        <v>0</v>
      </c>
      <c r="BR486" s="6">
        <v>0</v>
      </c>
      <c r="BS486" s="6">
        <v>0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>
        <v>0</v>
      </c>
      <c r="CA486" s="6">
        <v>0</v>
      </c>
      <c r="CB486" s="6">
        <v>0</v>
      </c>
      <c r="CC486" s="6">
        <f>IF(Table3[[#This Row],[Type]]="EM",IF((Table3[[#This Row],[Diameter]]/2)-Table3[[#This Row],[CornerRadius]]-0.012&gt;0,(Table3[[#This Row],[Diameter]]/2)-Table3[[#This Row],[CornerRadius]]-0.012,0),)</f>
        <v>0</v>
      </c>
      <c r="CE486" s="6" t="str">
        <f>IF(Table3[[#This Row],[ShoulderLength]]="","",IF(Table3[[#This Row],[ShoulderLength]]&lt;Table3[[#This Row],[LOC]],"FIX",""))</f>
        <v/>
      </c>
    </row>
    <row r="487" spans="1:83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v>0</v>
      </c>
      <c r="BN487" s="6">
        <v>0</v>
      </c>
      <c r="BO487" s="6">
        <v>0</v>
      </c>
      <c r="BP487" s="6">
        <v>0</v>
      </c>
      <c r="BQ487" s="6">
        <v>0</v>
      </c>
      <c r="BR487" s="6">
        <v>0</v>
      </c>
      <c r="BS487" s="6">
        <v>0</v>
      </c>
      <c r="BT487" s="6">
        <v>0</v>
      </c>
      <c r="BU487" s="6">
        <v>0</v>
      </c>
      <c r="BV487" s="6">
        <v>0</v>
      </c>
      <c r="BW487" s="6">
        <v>0</v>
      </c>
      <c r="BX487" s="6">
        <v>0</v>
      </c>
      <c r="BY487" s="6">
        <v>0</v>
      </c>
      <c r="BZ487" s="6">
        <v>0</v>
      </c>
      <c r="CA487" s="6">
        <v>0</v>
      </c>
      <c r="CB487" s="6">
        <v>0</v>
      </c>
      <c r="CC487" s="6">
        <f>IF(Table3[[#This Row],[Type]]="EM",IF((Table3[[#This Row],[Diameter]]/2)-Table3[[#This Row],[CornerRadius]]-0.012&gt;0,(Table3[[#This Row],[Diameter]]/2)-Table3[[#This Row],[CornerRadius]]-0.012,0),)</f>
        <v>0</v>
      </c>
      <c r="CE487" s="6" t="str">
        <f>IF(Table3[[#This Row],[ShoulderLength]]="","",IF(Table3[[#This Row],[ShoulderLength]]&lt;Table3[[#This Row],[LOC]],"FIX",""))</f>
        <v/>
      </c>
    </row>
    <row r="488" spans="1:83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v>0</v>
      </c>
      <c r="BN488" s="6">
        <v>0</v>
      </c>
      <c r="BO488" s="6">
        <v>0</v>
      </c>
      <c r="BP488" s="6">
        <v>0</v>
      </c>
      <c r="BQ488" s="6">
        <v>0</v>
      </c>
      <c r="BR488" s="6">
        <v>0</v>
      </c>
      <c r="BS488" s="6">
        <v>0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>
        <v>0</v>
      </c>
      <c r="CA488" s="6">
        <v>0</v>
      </c>
      <c r="CB488" s="6">
        <v>0</v>
      </c>
      <c r="CC488" s="6">
        <f>IF(Table3[[#This Row],[Type]]="EM",IF((Table3[[#This Row],[Diameter]]/2)-Table3[[#This Row],[CornerRadius]]-0.012&gt;0,(Table3[[#This Row],[Diameter]]/2)-Table3[[#This Row],[CornerRadius]]-0.012,0),)</f>
        <v>0</v>
      </c>
      <c r="CE488" s="6" t="str">
        <f>IF(Table3[[#This Row],[ShoulderLength]]="","",IF(Table3[[#This Row],[ShoulderLength]]&lt;Table3[[#This Row],[LOC]],"FIX",""))</f>
        <v/>
      </c>
    </row>
    <row r="489" spans="1:83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0</v>
      </c>
      <c r="BO489" s="6">
        <v>0</v>
      </c>
      <c r="BP489" s="6">
        <v>0</v>
      </c>
      <c r="BQ489" s="6">
        <v>0</v>
      </c>
      <c r="BR489" s="6">
        <v>0</v>
      </c>
      <c r="BS489" s="6">
        <v>0</v>
      </c>
      <c r="BT489" s="6">
        <v>0</v>
      </c>
      <c r="BU489" s="6">
        <v>0</v>
      </c>
      <c r="BV489" s="6">
        <v>0</v>
      </c>
      <c r="BW489" s="6">
        <v>0</v>
      </c>
      <c r="BX489" s="6">
        <v>0</v>
      </c>
      <c r="BY489" s="6">
        <v>0</v>
      </c>
      <c r="BZ489" s="6">
        <v>0</v>
      </c>
      <c r="CA489" s="6">
        <v>0</v>
      </c>
      <c r="CB489" s="6">
        <v>0</v>
      </c>
      <c r="CC489" s="6">
        <f>IF(Table3[[#This Row],[Type]]="EM",IF((Table3[[#This Row],[Diameter]]/2)-Table3[[#This Row],[CornerRadius]]-0.012&gt;0,(Table3[[#This Row],[Diameter]]/2)-Table3[[#This Row],[CornerRadius]]-0.012,0),)</f>
        <v>0</v>
      </c>
      <c r="CE489" s="6" t="str">
        <f>IF(Table3[[#This Row],[ShoulderLength]]="","",IF(Table3[[#This Row],[ShoulderLength]]&lt;Table3[[#This Row],[LOC]],"FIX",""))</f>
        <v/>
      </c>
    </row>
    <row r="490" spans="1:83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v>0</v>
      </c>
      <c r="BN490" s="6">
        <v>0</v>
      </c>
      <c r="BO490" s="6">
        <v>0</v>
      </c>
      <c r="BP490" s="6">
        <v>0</v>
      </c>
      <c r="BQ490" s="6">
        <v>0</v>
      </c>
      <c r="BR490" s="6">
        <v>0</v>
      </c>
      <c r="BS490" s="6">
        <v>0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>
        <v>0</v>
      </c>
      <c r="CA490" s="6">
        <v>0</v>
      </c>
      <c r="CB490" s="6">
        <v>0</v>
      </c>
      <c r="CC490" s="6">
        <f>IF(Table3[[#This Row],[Type]]="EM",IF((Table3[[#This Row],[Diameter]]/2)-Table3[[#This Row],[CornerRadius]]-0.012&gt;0,(Table3[[#This Row],[Diameter]]/2)-Table3[[#This Row],[CornerRadius]]-0.012,0),)</f>
        <v>0</v>
      </c>
      <c r="CE490" s="6" t="str">
        <f>IF(Table3[[#This Row],[ShoulderLength]]="","",IF(Table3[[#This Row],[ShoulderLength]]&lt;Table3[[#This Row],[LOC]],"FIX",""))</f>
        <v/>
      </c>
    </row>
    <row r="491" spans="1:83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v>0</v>
      </c>
      <c r="BN491" s="6">
        <v>0</v>
      </c>
      <c r="BO491" s="6">
        <v>0</v>
      </c>
      <c r="BP491" s="6">
        <v>0</v>
      </c>
      <c r="BQ491" s="6">
        <v>0</v>
      </c>
      <c r="BR491" s="6">
        <v>0</v>
      </c>
      <c r="BS491" s="6">
        <v>0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>
        <v>0</v>
      </c>
      <c r="CA491" s="6">
        <v>0</v>
      </c>
      <c r="CB491" s="6">
        <v>0</v>
      </c>
      <c r="CC491" s="6">
        <f>IF(Table3[[#This Row],[Type]]="EM",IF((Table3[[#This Row],[Diameter]]/2)-Table3[[#This Row],[CornerRadius]]-0.012&gt;0,(Table3[[#This Row],[Diameter]]/2)-Table3[[#This Row],[CornerRadius]]-0.012,0),)</f>
        <v>0</v>
      </c>
      <c r="CE491" s="6" t="str">
        <f>IF(Table3[[#This Row],[ShoulderLength]]="","",IF(Table3[[#This Row],[ShoulderLength]]&lt;Table3[[#This Row],[LOC]],"FIX",""))</f>
        <v/>
      </c>
    </row>
    <row r="492" spans="1:83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v>0</v>
      </c>
      <c r="BN492" s="6">
        <v>0</v>
      </c>
      <c r="BO492" s="6">
        <v>0</v>
      </c>
      <c r="BP492" s="6">
        <v>0</v>
      </c>
      <c r="BQ492" s="6">
        <v>0</v>
      </c>
      <c r="BR492" s="6">
        <v>0</v>
      </c>
      <c r="BS492" s="6">
        <v>0</v>
      </c>
      <c r="BT492" s="6">
        <v>0</v>
      </c>
      <c r="BU492" s="6">
        <v>0</v>
      </c>
      <c r="BV492" s="6">
        <v>0</v>
      </c>
      <c r="BW492" s="6">
        <v>0</v>
      </c>
      <c r="BX492" s="6">
        <v>0</v>
      </c>
      <c r="BY492" s="6">
        <v>0</v>
      </c>
      <c r="BZ492" s="6">
        <v>0</v>
      </c>
      <c r="CA492" s="6">
        <v>0</v>
      </c>
      <c r="CB492" s="6">
        <v>0</v>
      </c>
      <c r="CC492" s="6">
        <f>IF(Table3[[#This Row],[Type]]="EM",IF((Table3[[#This Row],[Diameter]]/2)-Table3[[#This Row],[CornerRadius]]-0.012&gt;0,(Table3[[#This Row],[Diameter]]/2)-Table3[[#This Row],[CornerRadius]]-0.012,0),)</f>
        <v>0</v>
      </c>
      <c r="CE492" s="6" t="str">
        <f>IF(Table3[[#This Row],[ShoulderLength]]="","",IF(Table3[[#This Row],[ShoulderLength]]&lt;Table3[[#This Row],[LOC]],"FIX",""))</f>
        <v/>
      </c>
    </row>
    <row r="493" spans="1:83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v>0</v>
      </c>
      <c r="BN493" s="6">
        <v>0</v>
      </c>
      <c r="BO493" s="6">
        <v>0</v>
      </c>
      <c r="BP493" s="6">
        <v>0</v>
      </c>
      <c r="BQ493" s="6">
        <v>0</v>
      </c>
      <c r="BR493" s="6">
        <v>0</v>
      </c>
      <c r="BS493" s="6">
        <v>0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>
        <v>0</v>
      </c>
      <c r="CA493" s="6">
        <v>0</v>
      </c>
      <c r="CB493" s="6">
        <v>0</v>
      </c>
      <c r="CC493" s="6">
        <f>IF(Table3[[#This Row],[Type]]="EM",IF((Table3[[#This Row],[Diameter]]/2)-Table3[[#This Row],[CornerRadius]]-0.012&gt;0,(Table3[[#This Row],[Diameter]]/2)-Table3[[#This Row],[CornerRadius]]-0.012,0),)</f>
        <v>0</v>
      </c>
      <c r="CE493" s="6" t="str">
        <f>IF(Table3[[#This Row],[ShoulderLength]]="","",IF(Table3[[#This Row],[ShoulderLength]]&lt;Table3[[#This Row],[LOC]],"FIX",""))</f>
        <v/>
      </c>
    </row>
    <row r="494" spans="1:83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v>0</v>
      </c>
      <c r="BN494" s="6">
        <v>0</v>
      </c>
      <c r="BO494" s="6">
        <v>0</v>
      </c>
      <c r="BP494" s="6">
        <v>0</v>
      </c>
      <c r="BQ494" s="6">
        <v>0</v>
      </c>
      <c r="BR494" s="6">
        <v>0</v>
      </c>
      <c r="BS494" s="6">
        <v>0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>
        <v>0</v>
      </c>
      <c r="CA494" s="6">
        <v>0</v>
      </c>
      <c r="CB494" s="6">
        <v>0</v>
      </c>
      <c r="CC494" s="6">
        <f>IF(Table3[[#This Row],[Type]]="EM",IF((Table3[[#This Row],[Diameter]]/2)-Table3[[#This Row],[CornerRadius]]-0.012&gt;0,(Table3[[#This Row],[Diameter]]/2)-Table3[[#This Row],[CornerRadius]]-0.012,0),)</f>
        <v>0</v>
      </c>
      <c r="CE494" s="6" t="str">
        <f>IF(Table3[[#This Row],[ShoulderLength]]="","",IF(Table3[[#This Row],[ShoulderLength]]&lt;Table3[[#This Row],[LOC]],"FIX",""))</f>
        <v/>
      </c>
    </row>
    <row r="495" spans="1:83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v>0</v>
      </c>
      <c r="BN495" s="6">
        <v>0</v>
      </c>
      <c r="BO495" s="6">
        <v>0</v>
      </c>
      <c r="BP495" s="6">
        <v>0</v>
      </c>
      <c r="BQ495" s="6">
        <v>0</v>
      </c>
      <c r="BR495" s="6">
        <v>0</v>
      </c>
      <c r="BS495" s="6">
        <v>0</v>
      </c>
      <c r="BT495" s="6">
        <v>0</v>
      </c>
      <c r="BU495" s="6">
        <v>0</v>
      </c>
      <c r="BV495" s="6">
        <v>0</v>
      </c>
      <c r="BW495" s="6">
        <v>0</v>
      </c>
      <c r="BX495" s="6">
        <v>0</v>
      </c>
      <c r="BY495" s="6">
        <v>0</v>
      </c>
      <c r="BZ495" s="6">
        <v>0</v>
      </c>
      <c r="CA495" s="6">
        <v>0</v>
      </c>
      <c r="CB495" s="6">
        <v>0</v>
      </c>
      <c r="CC495" s="6">
        <f>IF(Table3[[#This Row],[Type]]="EM",IF((Table3[[#This Row],[Diameter]]/2)-Table3[[#This Row],[CornerRadius]]-0.012&gt;0,(Table3[[#This Row],[Diameter]]/2)-Table3[[#This Row],[CornerRadius]]-0.012,0),)</f>
        <v>0</v>
      </c>
      <c r="CE495" s="6" t="str">
        <f>IF(Table3[[#This Row],[ShoulderLength]]="","",IF(Table3[[#This Row],[ShoulderLength]]&lt;Table3[[#This Row],[LOC]],"FIX",""))</f>
        <v/>
      </c>
    </row>
    <row r="496" spans="1:83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v>0</v>
      </c>
      <c r="BN496" s="6">
        <v>0</v>
      </c>
      <c r="BO496" s="6">
        <v>0</v>
      </c>
      <c r="BP496" s="6">
        <v>0</v>
      </c>
      <c r="BQ496" s="6">
        <v>0</v>
      </c>
      <c r="BR496" s="6">
        <v>0</v>
      </c>
      <c r="BS496" s="6">
        <v>0</v>
      </c>
      <c r="BT496" s="6">
        <v>0</v>
      </c>
      <c r="BU496" s="6">
        <v>0</v>
      </c>
      <c r="BV496" s="6">
        <v>0</v>
      </c>
      <c r="BW496" s="6">
        <v>0</v>
      </c>
      <c r="BX496" s="6">
        <v>0</v>
      </c>
      <c r="BY496" s="6">
        <v>0</v>
      </c>
      <c r="BZ496" s="6">
        <v>0</v>
      </c>
      <c r="CA496" s="6">
        <v>0</v>
      </c>
      <c r="CB496" s="6">
        <v>0</v>
      </c>
      <c r="CC496" s="6">
        <f>IF(Table3[[#This Row],[Type]]="EM",IF((Table3[[#This Row],[Diameter]]/2)-Table3[[#This Row],[CornerRadius]]-0.012&gt;0,(Table3[[#This Row],[Diameter]]/2)-Table3[[#This Row],[CornerRadius]]-0.012,0),)</f>
        <v>0</v>
      </c>
      <c r="CE496" s="6" t="str">
        <f>IF(Table3[[#This Row],[ShoulderLength]]="","",IF(Table3[[#This Row],[ShoulderLength]]&lt;Table3[[#This Row],[LOC]],"FIX",""))</f>
        <v/>
      </c>
    </row>
    <row r="497" spans="1:83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v>0</v>
      </c>
      <c r="BN497" s="6">
        <v>0</v>
      </c>
      <c r="BO497" s="6">
        <v>0</v>
      </c>
      <c r="BP497" s="6">
        <v>0</v>
      </c>
      <c r="BQ497" s="6">
        <v>0</v>
      </c>
      <c r="BR497" s="6">
        <v>0</v>
      </c>
      <c r="BS497" s="6">
        <v>0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>
        <v>0</v>
      </c>
      <c r="CA497" s="6">
        <v>0</v>
      </c>
      <c r="CB497" s="6">
        <v>0</v>
      </c>
      <c r="CC497" s="6">
        <f>IF(Table3[[#This Row],[Type]]="EM",IF((Table3[[#This Row],[Diameter]]/2)-Table3[[#This Row],[CornerRadius]]-0.012&gt;0,(Table3[[#This Row],[Diameter]]/2)-Table3[[#This Row],[CornerRadius]]-0.012,0),)</f>
        <v>0</v>
      </c>
      <c r="CE497" s="6" t="str">
        <f>IF(Table3[[#This Row],[ShoulderLength]]="","",IF(Table3[[#This Row],[ShoulderLength]]&lt;Table3[[#This Row],[LOC]],"FIX",""))</f>
        <v/>
      </c>
    </row>
    <row r="498" spans="1:83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v>0</v>
      </c>
      <c r="BN498" s="6">
        <v>0</v>
      </c>
      <c r="BO498" s="6">
        <v>0</v>
      </c>
      <c r="BP498" s="6">
        <v>0</v>
      </c>
      <c r="BQ498" s="6">
        <v>0</v>
      </c>
      <c r="BR498" s="6">
        <v>0</v>
      </c>
      <c r="BS498" s="6">
        <v>0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>
        <v>0</v>
      </c>
      <c r="CA498" s="6">
        <v>0</v>
      </c>
      <c r="CB498" s="6">
        <v>0</v>
      </c>
      <c r="CC498" s="6">
        <f>IF(Table3[[#This Row],[Type]]="EM",IF((Table3[[#This Row],[Diameter]]/2)-Table3[[#This Row],[CornerRadius]]-0.012&gt;0,(Table3[[#This Row],[Diameter]]/2)-Table3[[#This Row],[CornerRadius]]-0.012,0),)</f>
        <v>0</v>
      </c>
      <c r="CE498" s="6" t="str">
        <f>IF(Table3[[#This Row],[ShoulderLength]]="","",IF(Table3[[#This Row],[ShoulderLength]]&lt;Table3[[#This Row],[LOC]],"FIX",""))</f>
        <v/>
      </c>
    </row>
    <row r="499" spans="1:83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v>0</v>
      </c>
      <c r="BN499" s="6">
        <v>0</v>
      </c>
      <c r="BO499" s="6">
        <v>0</v>
      </c>
      <c r="BP499" s="6">
        <v>0</v>
      </c>
      <c r="BQ499" s="6">
        <v>0</v>
      </c>
      <c r="BR499" s="6">
        <v>0</v>
      </c>
      <c r="BS499" s="6">
        <v>0</v>
      </c>
      <c r="BT499" s="6">
        <v>0</v>
      </c>
      <c r="BU499" s="6">
        <v>0</v>
      </c>
      <c r="BV499" s="6">
        <v>0</v>
      </c>
      <c r="BW499" s="6">
        <v>0</v>
      </c>
      <c r="BX499" s="6">
        <v>0</v>
      </c>
      <c r="BY499" s="6">
        <v>0</v>
      </c>
      <c r="BZ499" s="6">
        <v>0</v>
      </c>
      <c r="CA499" s="6">
        <v>0</v>
      </c>
      <c r="CB499" s="6">
        <v>0</v>
      </c>
      <c r="CC499" s="6">
        <f>IF(Table3[[#This Row],[Type]]="EM",IF((Table3[[#This Row],[Diameter]]/2)-Table3[[#This Row],[CornerRadius]]-0.012&gt;0,(Table3[[#This Row],[Diameter]]/2)-Table3[[#This Row],[CornerRadius]]-0.012,0),)</f>
        <v>0</v>
      </c>
      <c r="CE499" s="6" t="str">
        <f>IF(Table3[[#This Row],[ShoulderLength]]="","",IF(Table3[[#This Row],[ShoulderLength]]&lt;Table3[[#This Row],[LOC]],"FIX",""))</f>
        <v/>
      </c>
    </row>
    <row r="500" spans="1:83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v>0</v>
      </c>
      <c r="BN500" s="6">
        <v>0</v>
      </c>
      <c r="BO500" s="6">
        <v>0</v>
      </c>
      <c r="BP500" s="6">
        <v>0</v>
      </c>
      <c r="BQ500" s="6">
        <v>0</v>
      </c>
      <c r="BR500" s="6">
        <v>0</v>
      </c>
      <c r="BS500" s="6">
        <v>0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>
        <v>0</v>
      </c>
      <c r="CA500" s="6">
        <v>0</v>
      </c>
      <c r="CB500" s="6">
        <v>0</v>
      </c>
      <c r="CC500" s="6">
        <f>IF(Table3[[#This Row],[Type]]="EM",IF((Table3[[#This Row],[Diameter]]/2)-Table3[[#This Row],[CornerRadius]]-0.012&gt;0,(Table3[[#This Row],[Diameter]]/2)-Table3[[#This Row],[CornerRadius]]-0.012,0),)</f>
        <v>0</v>
      </c>
      <c r="CE500" s="6" t="str">
        <f>IF(Table3[[#This Row],[ShoulderLength]]="","",IF(Table3[[#This Row],[ShoulderLength]]&lt;Table3[[#This Row],[LOC]],"FIX",""))</f>
        <v/>
      </c>
    </row>
    <row r="501" spans="1:83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v>0</v>
      </c>
      <c r="BN501" s="6">
        <v>0</v>
      </c>
      <c r="BO501" s="6">
        <v>0</v>
      </c>
      <c r="BP501" s="6">
        <v>0</v>
      </c>
      <c r="BQ501" s="6">
        <v>0</v>
      </c>
      <c r="BR501" s="6">
        <v>0</v>
      </c>
      <c r="BS501" s="6">
        <v>0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>
        <v>0</v>
      </c>
      <c r="CA501" s="6">
        <v>0</v>
      </c>
      <c r="CB501" s="6">
        <v>0</v>
      </c>
      <c r="CC501" s="6">
        <f>IF(Table3[[#This Row],[Type]]="EM",IF((Table3[[#This Row],[Diameter]]/2)-Table3[[#This Row],[CornerRadius]]-0.012&gt;0,(Table3[[#This Row],[Diameter]]/2)-Table3[[#This Row],[CornerRadius]]-0.012,0),)</f>
        <v>0</v>
      </c>
      <c r="CE501" s="6" t="str">
        <f>IF(Table3[[#This Row],[ShoulderLength]]="","",IF(Table3[[#This Row],[ShoulderLength]]&lt;Table3[[#This Row],[LOC]],"FIX",""))</f>
        <v/>
      </c>
    </row>
    <row r="502" spans="1:83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v>0</v>
      </c>
      <c r="BN502" s="6">
        <v>0</v>
      </c>
      <c r="BO502" s="6">
        <v>0</v>
      </c>
      <c r="BP502" s="6">
        <v>0</v>
      </c>
      <c r="BQ502" s="6">
        <v>0</v>
      </c>
      <c r="BR502" s="6">
        <v>0</v>
      </c>
      <c r="BS502" s="6">
        <v>0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>
        <v>0</v>
      </c>
      <c r="CA502" s="6">
        <v>0</v>
      </c>
      <c r="CB502" s="6">
        <v>0</v>
      </c>
      <c r="CC502" s="6">
        <f>IF(Table3[[#This Row],[Type]]="EM",IF((Table3[[#This Row],[Diameter]]/2)-Table3[[#This Row],[CornerRadius]]-0.012&gt;0,(Table3[[#This Row],[Diameter]]/2)-Table3[[#This Row],[CornerRadius]]-0.012,0),)</f>
        <v>0</v>
      </c>
      <c r="CE502" s="6" t="str">
        <f>IF(Table3[[#This Row],[ShoulderLength]]="","",IF(Table3[[#This Row],[ShoulderLength]]&lt;Table3[[#This Row],[LOC]],"FIX",""))</f>
        <v/>
      </c>
    </row>
    <row r="503" spans="1:83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v>0</v>
      </c>
      <c r="BN503" s="6">
        <v>0</v>
      </c>
      <c r="BO503" s="6">
        <v>0</v>
      </c>
      <c r="BP503" s="6">
        <v>0</v>
      </c>
      <c r="BQ503" s="6">
        <v>0</v>
      </c>
      <c r="BR503" s="6">
        <v>0</v>
      </c>
      <c r="BS503" s="6">
        <v>0</v>
      </c>
      <c r="BT503" s="6">
        <v>0</v>
      </c>
      <c r="BU503" s="6">
        <v>0</v>
      </c>
      <c r="BV503" s="6">
        <v>0</v>
      </c>
      <c r="BW503" s="6">
        <v>0</v>
      </c>
      <c r="BX503" s="6">
        <v>0</v>
      </c>
      <c r="BY503" s="6">
        <v>0</v>
      </c>
      <c r="BZ503" s="6">
        <v>0</v>
      </c>
      <c r="CA503" s="6">
        <v>0</v>
      </c>
      <c r="CB503" s="6">
        <v>0</v>
      </c>
      <c r="CC503" s="6">
        <f>IF(Table3[[#This Row],[Type]]="EM",IF((Table3[[#This Row],[Diameter]]/2)-Table3[[#This Row],[CornerRadius]]-0.012&gt;0,(Table3[[#This Row],[Diameter]]/2)-Table3[[#This Row],[CornerRadius]]-0.012,0),)</f>
        <v>0</v>
      </c>
      <c r="CE503" s="6" t="str">
        <f>IF(Table3[[#This Row],[ShoulderLength]]="","",IF(Table3[[#This Row],[ShoulderLength]]&lt;Table3[[#This Row],[LOC]],"FIX",""))</f>
        <v/>
      </c>
    </row>
    <row r="504" spans="1:83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v>0</v>
      </c>
      <c r="BN504" s="6">
        <v>0</v>
      </c>
      <c r="BO504" s="6">
        <v>0</v>
      </c>
      <c r="BP504" s="6">
        <v>0</v>
      </c>
      <c r="BQ504" s="6">
        <v>0</v>
      </c>
      <c r="BR504" s="6">
        <v>0</v>
      </c>
      <c r="BS504" s="6">
        <v>0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>
        <v>0</v>
      </c>
      <c r="CA504" s="6">
        <v>0</v>
      </c>
      <c r="CB504" s="6">
        <v>0</v>
      </c>
      <c r="CC504" s="6">
        <f>IF(Table3[[#This Row],[Type]]="EM",IF((Table3[[#This Row],[Diameter]]/2)-Table3[[#This Row],[CornerRadius]]-0.012&gt;0,(Table3[[#This Row],[Diameter]]/2)-Table3[[#This Row],[CornerRadius]]-0.012,0),)</f>
        <v>0</v>
      </c>
      <c r="CE504" s="6" t="str">
        <f>IF(Table3[[#This Row],[ShoulderLength]]="","",IF(Table3[[#This Row],[ShoulderLength]]&lt;Table3[[#This Row],[LOC]],"FIX",""))</f>
        <v/>
      </c>
    </row>
    <row r="505" spans="1:83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v>0</v>
      </c>
      <c r="BN505" s="6">
        <v>0</v>
      </c>
      <c r="BO505" s="6">
        <v>0</v>
      </c>
      <c r="BP505" s="6">
        <v>0</v>
      </c>
      <c r="BQ505" s="6">
        <v>0</v>
      </c>
      <c r="BR505" s="6">
        <v>0</v>
      </c>
      <c r="BS505" s="6">
        <v>0</v>
      </c>
      <c r="BT505" s="6">
        <v>0</v>
      </c>
      <c r="BU505" s="6">
        <v>0</v>
      </c>
      <c r="BV505" s="6">
        <v>0</v>
      </c>
      <c r="BW505" s="6">
        <v>0</v>
      </c>
      <c r="BX505" s="6">
        <v>0</v>
      </c>
      <c r="BY505" s="6">
        <v>0</v>
      </c>
      <c r="BZ505" s="6">
        <v>0</v>
      </c>
      <c r="CA505" s="6">
        <v>0</v>
      </c>
      <c r="CB505" s="6">
        <v>0</v>
      </c>
      <c r="CC505" s="6">
        <f>IF(Table3[[#This Row],[Type]]="EM",IF((Table3[[#This Row],[Diameter]]/2)-Table3[[#This Row],[CornerRadius]]-0.012&gt;0,(Table3[[#This Row],[Diameter]]/2)-Table3[[#This Row],[CornerRadius]]-0.012,0),)</f>
        <v>0</v>
      </c>
      <c r="CE505" s="6" t="str">
        <f>IF(Table3[[#This Row],[ShoulderLength]]="","",IF(Table3[[#This Row],[ShoulderLength]]&lt;Table3[[#This Row],[LOC]],"FIX",""))</f>
        <v/>
      </c>
    </row>
    <row r="506" spans="1:83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v>0</v>
      </c>
      <c r="BN506" s="6">
        <v>0</v>
      </c>
      <c r="BO506" s="6">
        <v>0</v>
      </c>
      <c r="BP506" s="6">
        <v>0</v>
      </c>
      <c r="BQ506" s="6">
        <v>0</v>
      </c>
      <c r="BR506" s="6">
        <v>0</v>
      </c>
      <c r="BS506" s="6">
        <v>0</v>
      </c>
      <c r="BT506" s="6">
        <v>0</v>
      </c>
      <c r="BU506" s="6">
        <v>0</v>
      </c>
      <c r="BV506" s="6">
        <v>0</v>
      </c>
      <c r="BW506" s="6">
        <v>0</v>
      </c>
      <c r="BX506" s="6">
        <v>0</v>
      </c>
      <c r="BY506" s="6">
        <v>0</v>
      </c>
      <c r="BZ506" s="6">
        <v>0</v>
      </c>
      <c r="CA506" s="6">
        <v>0</v>
      </c>
      <c r="CB506" s="6">
        <v>0</v>
      </c>
      <c r="CC506" s="6">
        <f>IF(Table3[[#This Row],[Type]]="EM",IF((Table3[[#This Row],[Diameter]]/2)-Table3[[#This Row],[CornerRadius]]-0.012&gt;0,(Table3[[#This Row],[Diameter]]/2)-Table3[[#This Row],[CornerRadius]]-0.012,0),)</f>
        <v>0</v>
      </c>
      <c r="CE506" s="6" t="str">
        <f>IF(Table3[[#This Row],[ShoulderLength]]="","",IF(Table3[[#This Row],[ShoulderLength]]&lt;Table3[[#This Row],[LOC]],"FIX",""))</f>
        <v/>
      </c>
    </row>
    <row r="507" spans="1:83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v>0</v>
      </c>
      <c r="BN507" s="6">
        <v>0</v>
      </c>
      <c r="BO507" s="6">
        <v>0</v>
      </c>
      <c r="BP507" s="6">
        <v>0</v>
      </c>
      <c r="BQ507" s="6">
        <v>0</v>
      </c>
      <c r="BR507" s="6">
        <v>0</v>
      </c>
      <c r="BS507" s="6">
        <v>0</v>
      </c>
      <c r="BT507" s="6">
        <v>0</v>
      </c>
      <c r="BU507" s="6">
        <v>0</v>
      </c>
      <c r="BV507" s="6">
        <v>0</v>
      </c>
      <c r="BW507" s="6">
        <v>0</v>
      </c>
      <c r="BX507" s="6">
        <v>0</v>
      </c>
      <c r="BY507" s="6">
        <v>0</v>
      </c>
      <c r="BZ507" s="6">
        <v>0</v>
      </c>
      <c r="CA507" s="6">
        <v>0</v>
      </c>
      <c r="CB507" s="6">
        <v>0</v>
      </c>
      <c r="CC507" s="6">
        <f>IF(Table3[[#This Row],[Type]]="EM",IF((Table3[[#This Row],[Diameter]]/2)-Table3[[#This Row],[CornerRadius]]-0.012&gt;0,(Table3[[#This Row],[Diameter]]/2)-Table3[[#This Row],[CornerRadius]]-0.012,0),)</f>
        <v>0</v>
      </c>
      <c r="CE507" s="6" t="str">
        <f>IF(Table3[[#This Row],[ShoulderLength]]="","",IF(Table3[[#This Row],[ShoulderLength]]&lt;Table3[[#This Row],[LOC]],"FIX",""))</f>
        <v/>
      </c>
    </row>
    <row r="508" spans="1:83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v>0</v>
      </c>
      <c r="BN508" s="6">
        <v>0</v>
      </c>
      <c r="BO508" s="6">
        <v>0</v>
      </c>
      <c r="BP508" s="6">
        <v>0</v>
      </c>
      <c r="BQ508" s="6">
        <v>0</v>
      </c>
      <c r="BR508" s="6">
        <v>0</v>
      </c>
      <c r="BS508" s="6">
        <v>0</v>
      </c>
      <c r="BT508" s="6">
        <v>0</v>
      </c>
      <c r="BU508" s="6">
        <v>0</v>
      </c>
      <c r="BV508" s="6">
        <v>0</v>
      </c>
      <c r="BW508" s="6">
        <v>0</v>
      </c>
      <c r="BX508" s="6">
        <v>0</v>
      </c>
      <c r="BY508" s="6">
        <v>0</v>
      </c>
      <c r="BZ508" s="6">
        <v>0</v>
      </c>
      <c r="CA508" s="6">
        <v>0</v>
      </c>
      <c r="CB508" s="6">
        <v>0</v>
      </c>
      <c r="CC508" s="6">
        <f>IF(Table3[[#This Row],[Type]]="EM",IF((Table3[[#This Row],[Diameter]]/2)-Table3[[#This Row],[CornerRadius]]-0.012&gt;0,(Table3[[#This Row],[Diameter]]/2)-Table3[[#This Row],[CornerRadius]]-0.012,0),)</f>
        <v>0</v>
      </c>
      <c r="CE508" s="6" t="str">
        <f>IF(Table3[[#This Row],[ShoulderLength]]="","",IF(Table3[[#This Row],[ShoulderLength]]&lt;Table3[[#This Row],[LOC]],"FIX",""))</f>
        <v/>
      </c>
    </row>
    <row r="509" spans="1:83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v>0</v>
      </c>
      <c r="BN509" s="6">
        <v>0</v>
      </c>
      <c r="BO509" s="6">
        <v>0</v>
      </c>
      <c r="BP509" s="6">
        <v>0</v>
      </c>
      <c r="BQ509" s="6">
        <v>0</v>
      </c>
      <c r="BR509" s="6">
        <v>0</v>
      </c>
      <c r="BS509" s="6">
        <v>0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>
        <v>0</v>
      </c>
      <c r="CA509" s="6">
        <v>0</v>
      </c>
      <c r="CB509" s="6">
        <v>0</v>
      </c>
      <c r="CC509" s="6">
        <f>IF(Table3[[#This Row],[Type]]="EM",IF((Table3[[#This Row],[Diameter]]/2)-Table3[[#This Row],[CornerRadius]]-0.012&gt;0,(Table3[[#This Row],[Diameter]]/2)-Table3[[#This Row],[CornerRadius]]-0.012,0),)</f>
        <v>0</v>
      </c>
      <c r="CE509" s="6" t="str">
        <f>IF(Table3[[#This Row],[ShoulderLength]]="","",IF(Table3[[#This Row],[ShoulderLength]]&lt;Table3[[#This Row],[LOC]],"FIX",""))</f>
        <v/>
      </c>
    </row>
    <row r="510" spans="1:83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v>0</v>
      </c>
      <c r="BN510" s="6">
        <v>0</v>
      </c>
      <c r="BO510" s="6">
        <v>0</v>
      </c>
      <c r="BP510" s="6">
        <v>0</v>
      </c>
      <c r="BQ510" s="6">
        <v>0</v>
      </c>
      <c r="BR510" s="6">
        <v>0</v>
      </c>
      <c r="BS510" s="6">
        <v>0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>
        <v>0</v>
      </c>
      <c r="CA510" s="6">
        <v>0</v>
      </c>
      <c r="CB510" s="6">
        <v>0</v>
      </c>
      <c r="CC510" s="6">
        <f>IF(Table3[[#This Row],[Type]]="EM",IF((Table3[[#This Row],[Diameter]]/2)-Table3[[#This Row],[CornerRadius]]-0.012&gt;0,(Table3[[#This Row],[Diameter]]/2)-Table3[[#This Row],[CornerRadius]]-0.012,0),)</f>
        <v>0</v>
      </c>
      <c r="CE510" s="6" t="str">
        <f>IF(Table3[[#This Row],[ShoulderLength]]="","",IF(Table3[[#This Row],[ShoulderLength]]&lt;Table3[[#This Row],[LOC]],"FIX",""))</f>
        <v/>
      </c>
    </row>
    <row r="511" spans="1:83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v>0</v>
      </c>
      <c r="BN511" s="6">
        <v>0</v>
      </c>
      <c r="BO511" s="6">
        <v>0</v>
      </c>
      <c r="BP511" s="6">
        <v>0</v>
      </c>
      <c r="BQ511" s="6">
        <v>0</v>
      </c>
      <c r="BR511" s="6">
        <v>0</v>
      </c>
      <c r="BS511" s="6">
        <v>0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>
        <v>0</v>
      </c>
      <c r="CA511" s="6">
        <v>0</v>
      </c>
      <c r="CB511" s="6">
        <v>0</v>
      </c>
      <c r="CC511" s="6">
        <f>IF(Table3[[#This Row],[Type]]="EM",IF((Table3[[#This Row],[Diameter]]/2)-Table3[[#This Row],[CornerRadius]]-0.012&gt;0,(Table3[[#This Row],[Diameter]]/2)-Table3[[#This Row],[CornerRadius]]-0.012,0),)</f>
        <v>0</v>
      </c>
      <c r="CE511" s="6" t="str">
        <f>IF(Table3[[#This Row],[ShoulderLength]]="","",IF(Table3[[#This Row],[ShoulderLength]]&lt;Table3[[#This Row],[LOC]],"FIX",""))</f>
        <v/>
      </c>
    </row>
    <row r="512" spans="1:83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v>0</v>
      </c>
      <c r="BN512" s="6">
        <v>0</v>
      </c>
      <c r="BO512" s="6">
        <v>0</v>
      </c>
      <c r="BP512" s="6">
        <v>0</v>
      </c>
      <c r="BQ512" s="6">
        <v>0</v>
      </c>
      <c r="BR512" s="6">
        <v>0</v>
      </c>
      <c r="BS512" s="6">
        <v>0</v>
      </c>
      <c r="BT512" s="6">
        <v>0</v>
      </c>
      <c r="BU512" s="6">
        <v>0</v>
      </c>
      <c r="BV512" s="6">
        <v>0</v>
      </c>
      <c r="BW512" s="6">
        <v>0</v>
      </c>
      <c r="BX512" s="6">
        <v>0</v>
      </c>
      <c r="BY512" s="6">
        <v>0</v>
      </c>
      <c r="BZ512" s="6">
        <v>0</v>
      </c>
      <c r="CA512" s="6">
        <v>0</v>
      </c>
      <c r="CB512" s="6">
        <v>0</v>
      </c>
      <c r="CC512" s="6">
        <f>IF(Table3[[#This Row],[Type]]="EM",IF((Table3[[#This Row],[Diameter]]/2)-Table3[[#This Row],[CornerRadius]]-0.012&gt;0,(Table3[[#This Row],[Diameter]]/2)-Table3[[#This Row],[CornerRadius]]-0.012,0),)</f>
        <v>0</v>
      </c>
      <c r="CE512" s="6" t="str">
        <f>IF(Table3[[#This Row],[ShoulderLength]]="","",IF(Table3[[#This Row],[ShoulderLength]]&lt;Table3[[#This Row],[LOC]],"FIX",""))</f>
        <v/>
      </c>
    </row>
    <row r="513" spans="1:83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v>0</v>
      </c>
      <c r="BN513" s="6">
        <v>0</v>
      </c>
      <c r="BO513" s="6">
        <v>0</v>
      </c>
      <c r="BP513" s="6">
        <v>0</v>
      </c>
      <c r="BQ513" s="6">
        <v>0</v>
      </c>
      <c r="BR513" s="6">
        <v>0</v>
      </c>
      <c r="BS513" s="6">
        <v>0</v>
      </c>
      <c r="BT513" s="6">
        <v>0</v>
      </c>
      <c r="BU513" s="6">
        <v>0</v>
      </c>
      <c r="BV513" s="6">
        <v>0</v>
      </c>
      <c r="BW513" s="6">
        <v>0</v>
      </c>
      <c r="BX513" s="6">
        <v>0</v>
      </c>
      <c r="BY513" s="6">
        <v>0</v>
      </c>
      <c r="BZ513" s="6">
        <v>0</v>
      </c>
      <c r="CA513" s="6">
        <v>0</v>
      </c>
      <c r="CB513" s="6">
        <v>0</v>
      </c>
      <c r="CC513" s="6">
        <f>IF(Table3[[#This Row],[Type]]="EM",IF((Table3[[#This Row],[Diameter]]/2)-Table3[[#This Row],[CornerRadius]]-0.012&gt;0,(Table3[[#This Row],[Diameter]]/2)-Table3[[#This Row],[CornerRadius]]-0.012,0),)</f>
        <v>0</v>
      </c>
      <c r="CE513" s="6" t="str">
        <f>IF(Table3[[#This Row],[ShoulderLength]]="","",IF(Table3[[#This Row],[ShoulderLength]]&lt;Table3[[#This Row],[LOC]],"FIX",""))</f>
        <v/>
      </c>
    </row>
    <row r="514" spans="1:83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0</v>
      </c>
      <c r="BO514" s="6">
        <v>0</v>
      </c>
      <c r="BP514" s="6">
        <v>0</v>
      </c>
      <c r="BQ514" s="6">
        <v>0</v>
      </c>
      <c r="BR514" s="6">
        <v>0</v>
      </c>
      <c r="BS514" s="6">
        <v>0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>
        <v>0</v>
      </c>
      <c r="CA514" s="6">
        <v>0</v>
      </c>
      <c r="CB514" s="6">
        <v>0</v>
      </c>
      <c r="CC514" s="6">
        <f>IF(Table3[[#This Row],[Type]]="EM",IF((Table3[[#This Row],[Diameter]]/2)-Table3[[#This Row],[CornerRadius]]-0.012&gt;0,(Table3[[#This Row],[Diameter]]/2)-Table3[[#This Row],[CornerRadius]]-0.012,0),)</f>
        <v>0</v>
      </c>
      <c r="CE514" s="6" t="str">
        <f>IF(Table3[[#This Row],[ShoulderLength]]="","",IF(Table3[[#This Row],[ShoulderLength]]&lt;Table3[[#This Row],[LOC]],"FIX",""))</f>
        <v/>
      </c>
    </row>
    <row r="515" spans="1:83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v>0</v>
      </c>
      <c r="BN515" s="6">
        <v>0</v>
      </c>
      <c r="BO515" s="6">
        <v>0</v>
      </c>
      <c r="BP515" s="6">
        <v>0</v>
      </c>
      <c r="BQ515" s="6">
        <v>0</v>
      </c>
      <c r="BR515" s="6">
        <v>0</v>
      </c>
      <c r="BS515" s="6">
        <v>0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>
        <v>0</v>
      </c>
      <c r="CA515" s="6">
        <v>0</v>
      </c>
      <c r="CB515" s="6">
        <v>0</v>
      </c>
      <c r="CC515" s="6">
        <f>IF(Table3[[#This Row],[Type]]="EM",IF((Table3[[#This Row],[Diameter]]/2)-Table3[[#This Row],[CornerRadius]]-0.012&gt;0,(Table3[[#This Row],[Diameter]]/2)-Table3[[#This Row],[CornerRadius]]-0.012,0),)</f>
        <v>0</v>
      </c>
      <c r="CE515" s="6" t="str">
        <f>IF(Table3[[#This Row],[ShoulderLength]]="","",IF(Table3[[#This Row],[ShoulderLength]]&lt;Table3[[#This Row],[LOC]],"FIX",""))</f>
        <v/>
      </c>
    </row>
    <row r="516" spans="1:83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v>0</v>
      </c>
      <c r="BN516" s="6">
        <v>0</v>
      </c>
      <c r="BO516" s="6">
        <v>0</v>
      </c>
      <c r="BP516" s="6">
        <v>0</v>
      </c>
      <c r="BQ516" s="6">
        <v>0</v>
      </c>
      <c r="BR516" s="6">
        <v>0</v>
      </c>
      <c r="BS516" s="6">
        <v>0</v>
      </c>
      <c r="BT516" s="6">
        <v>0</v>
      </c>
      <c r="BU516" s="6">
        <v>0</v>
      </c>
      <c r="BV516" s="6">
        <v>0</v>
      </c>
      <c r="BW516" s="6">
        <v>0</v>
      </c>
      <c r="BX516" s="6">
        <v>0</v>
      </c>
      <c r="BY516" s="6">
        <v>0</v>
      </c>
      <c r="BZ516" s="6">
        <v>0</v>
      </c>
      <c r="CA516" s="6">
        <v>0</v>
      </c>
      <c r="CB516" s="6">
        <v>0</v>
      </c>
      <c r="CC516" s="6">
        <f>IF(Table3[[#This Row],[Type]]="EM",IF((Table3[[#This Row],[Diameter]]/2)-Table3[[#This Row],[CornerRadius]]-0.012&gt;0,(Table3[[#This Row],[Diameter]]/2)-Table3[[#This Row],[CornerRadius]]-0.012,0),)</f>
        <v>0</v>
      </c>
      <c r="CE516" s="6" t="str">
        <f>IF(Table3[[#This Row],[ShoulderLength]]="","",IF(Table3[[#This Row],[ShoulderLength]]&lt;Table3[[#This Row],[LOC]],"FIX",""))</f>
        <v/>
      </c>
    </row>
    <row r="517" spans="1:83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v>0</v>
      </c>
      <c r="BN517" s="6">
        <v>0</v>
      </c>
      <c r="BO517" s="6">
        <v>0</v>
      </c>
      <c r="BP517" s="6">
        <v>0</v>
      </c>
      <c r="BQ517" s="6">
        <v>0</v>
      </c>
      <c r="BR517" s="6">
        <v>0</v>
      </c>
      <c r="BS517" s="6">
        <v>0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>
        <v>0</v>
      </c>
      <c r="CA517" s="6">
        <v>0</v>
      </c>
      <c r="CB517" s="6">
        <v>0</v>
      </c>
      <c r="CC517" s="6">
        <f>IF(Table3[[#This Row],[Type]]="EM",IF((Table3[[#This Row],[Diameter]]/2)-Table3[[#This Row],[CornerRadius]]-0.012&gt;0,(Table3[[#This Row],[Diameter]]/2)-Table3[[#This Row],[CornerRadius]]-0.012,0),)</f>
        <v>0</v>
      </c>
      <c r="CE517" s="6" t="str">
        <f>IF(Table3[[#This Row],[ShoulderLength]]="","",IF(Table3[[#This Row],[ShoulderLength]]&lt;Table3[[#This Row],[LOC]],"FIX",""))</f>
        <v/>
      </c>
    </row>
    <row r="518" spans="1:83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v>0</v>
      </c>
      <c r="BN518" s="6">
        <v>0</v>
      </c>
      <c r="BO518" s="6">
        <v>0</v>
      </c>
      <c r="BP518" s="6">
        <v>0</v>
      </c>
      <c r="BQ518" s="6">
        <v>0</v>
      </c>
      <c r="BR518" s="6">
        <v>0</v>
      </c>
      <c r="BS518" s="6">
        <v>0</v>
      </c>
      <c r="BT518" s="6">
        <v>0</v>
      </c>
      <c r="BU518" s="6">
        <v>0</v>
      </c>
      <c r="BV518" s="6">
        <v>0</v>
      </c>
      <c r="BW518" s="6">
        <v>0</v>
      </c>
      <c r="BX518" s="6">
        <v>0</v>
      </c>
      <c r="BY518" s="6">
        <v>0</v>
      </c>
      <c r="BZ518" s="6">
        <v>0</v>
      </c>
      <c r="CA518" s="6">
        <v>0</v>
      </c>
      <c r="CB518" s="6">
        <v>0</v>
      </c>
      <c r="CC518" s="6">
        <f>IF(Table3[[#This Row],[Type]]="EM",IF((Table3[[#This Row],[Diameter]]/2)-Table3[[#This Row],[CornerRadius]]-0.012&gt;0,(Table3[[#This Row],[Diameter]]/2)-Table3[[#This Row],[CornerRadius]]-0.012,0),)</f>
        <v>0</v>
      </c>
      <c r="CE518" s="6" t="str">
        <f>IF(Table3[[#This Row],[ShoulderLength]]="","",IF(Table3[[#This Row],[ShoulderLength]]&lt;Table3[[#This Row],[LOC]],"FIX",""))</f>
        <v/>
      </c>
    </row>
    <row r="519" spans="1:83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v>0</v>
      </c>
      <c r="BN519" s="6">
        <v>0</v>
      </c>
      <c r="BO519" s="6">
        <v>0</v>
      </c>
      <c r="BP519" s="6">
        <v>0</v>
      </c>
      <c r="BQ519" s="6">
        <v>0</v>
      </c>
      <c r="BR519" s="6">
        <v>0</v>
      </c>
      <c r="BS519" s="6">
        <v>0</v>
      </c>
      <c r="BT519" s="6">
        <v>0</v>
      </c>
      <c r="BU519" s="6">
        <v>0</v>
      </c>
      <c r="BV519" s="6">
        <v>0</v>
      </c>
      <c r="BW519" s="6">
        <v>0</v>
      </c>
      <c r="BX519" s="6">
        <v>0</v>
      </c>
      <c r="BY519" s="6">
        <v>0</v>
      </c>
      <c r="BZ519" s="6">
        <v>0</v>
      </c>
      <c r="CA519" s="6">
        <v>0</v>
      </c>
      <c r="CB519" s="6">
        <v>0</v>
      </c>
      <c r="CC519" s="6">
        <f>IF(Table3[[#This Row],[Type]]="EM",IF((Table3[[#This Row],[Diameter]]/2)-Table3[[#This Row],[CornerRadius]]-0.012&gt;0,(Table3[[#This Row],[Diameter]]/2)-Table3[[#This Row],[CornerRadius]]-0.012,0),)</f>
        <v>0</v>
      </c>
      <c r="CE519" s="6" t="str">
        <f>IF(Table3[[#This Row],[ShoulderLength]]="","",IF(Table3[[#This Row],[ShoulderLength]]&lt;Table3[[#This Row],[LOC]],"FIX",""))</f>
        <v/>
      </c>
    </row>
    <row r="520" spans="1:83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v>0</v>
      </c>
      <c r="BN520" s="6">
        <v>0</v>
      </c>
      <c r="BO520" s="6">
        <v>0</v>
      </c>
      <c r="BP520" s="6">
        <v>0</v>
      </c>
      <c r="BQ520" s="6">
        <v>0</v>
      </c>
      <c r="BR520" s="6">
        <v>0</v>
      </c>
      <c r="BS520" s="6">
        <v>0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>
        <v>0</v>
      </c>
      <c r="CA520" s="6">
        <v>0</v>
      </c>
      <c r="CB520" s="6">
        <v>0</v>
      </c>
      <c r="CC520" s="6">
        <f>IF(Table3[[#This Row],[Type]]="EM",IF((Table3[[#This Row],[Diameter]]/2)-Table3[[#This Row],[CornerRadius]]-0.012&gt;0,(Table3[[#This Row],[Diameter]]/2)-Table3[[#This Row],[CornerRadius]]-0.012,0),)</f>
        <v>0</v>
      </c>
      <c r="CE520" s="6" t="str">
        <f>IF(Table3[[#This Row],[ShoulderLength]]="","",IF(Table3[[#This Row],[ShoulderLength]]&lt;Table3[[#This Row],[LOC]],"FIX",""))</f>
        <v/>
      </c>
    </row>
    <row r="521" spans="1:83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v>0</v>
      </c>
      <c r="BN521" s="6">
        <v>0</v>
      </c>
      <c r="BO521" s="6">
        <v>0</v>
      </c>
      <c r="BP521" s="6">
        <v>0</v>
      </c>
      <c r="BQ521" s="6">
        <v>0</v>
      </c>
      <c r="BR521" s="6">
        <v>0</v>
      </c>
      <c r="BS521" s="6">
        <v>0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>
        <v>0</v>
      </c>
      <c r="CA521" s="6">
        <v>0</v>
      </c>
      <c r="CB521" s="6">
        <v>0</v>
      </c>
      <c r="CC521" s="6">
        <f>IF(Table3[[#This Row],[Type]]="EM",IF((Table3[[#This Row],[Diameter]]/2)-Table3[[#This Row],[CornerRadius]]-0.012&gt;0,(Table3[[#This Row],[Diameter]]/2)-Table3[[#This Row],[CornerRadius]]-0.012,0),)</f>
        <v>0</v>
      </c>
      <c r="CE521" s="6" t="str">
        <f>IF(Table3[[#This Row],[ShoulderLength]]="","",IF(Table3[[#This Row],[ShoulderLength]]&lt;Table3[[#This Row],[LOC]],"FIX",""))</f>
        <v/>
      </c>
    </row>
    <row r="522" spans="1:83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v>0</v>
      </c>
      <c r="BN522" s="6">
        <v>0</v>
      </c>
      <c r="BO522" s="6">
        <v>0</v>
      </c>
      <c r="BP522" s="6">
        <v>0</v>
      </c>
      <c r="BQ522" s="6">
        <v>0</v>
      </c>
      <c r="BR522" s="6">
        <v>0</v>
      </c>
      <c r="BS522" s="6">
        <v>0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>
        <v>0</v>
      </c>
      <c r="CA522" s="6">
        <v>0</v>
      </c>
      <c r="CB522" s="6">
        <v>0</v>
      </c>
      <c r="CC522" s="6">
        <f>IF(Table3[[#This Row],[Type]]="EM",IF((Table3[[#This Row],[Diameter]]/2)-Table3[[#This Row],[CornerRadius]]-0.012&gt;0,(Table3[[#This Row],[Diameter]]/2)-Table3[[#This Row],[CornerRadius]]-0.012,0),)</f>
        <v>0</v>
      </c>
      <c r="CE522" s="6" t="str">
        <f>IF(Table3[[#This Row],[ShoulderLength]]="","",IF(Table3[[#This Row],[ShoulderLength]]&lt;Table3[[#This Row],[LOC]],"FIX",""))</f>
        <v/>
      </c>
    </row>
    <row r="523" spans="1:83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v>0</v>
      </c>
      <c r="BN523" s="6">
        <v>0</v>
      </c>
      <c r="BO523" s="6">
        <v>0</v>
      </c>
      <c r="BP523" s="6">
        <v>0</v>
      </c>
      <c r="BQ523" s="6">
        <v>0</v>
      </c>
      <c r="BR523" s="6">
        <v>0</v>
      </c>
      <c r="BS523" s="6">
        <v>0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>
        <v>0</v>
      </c>
      <c r="CA523" s="6">
        <v>0</v>
      </c>
      <c r="CB523" s="6">
        <v>0</v>
      </c>
      <c r="CC523" s="6">
        <f>IF(Table3[[#This Row],[Type]]="EM",IF((Table3[[#This Row],[Diameter]]/2)-Table3[[#This Row],[CornerRadius]]-0.012&gt;0,(Table3[[#This Row],[Diameter]]/2)-Table3[[#This Row],[CornerRadius]]-0.012,0),)</f>
        <v>0</v>
      </c>
      <c r="CE523" s="6" t="str">
        <f>IF(Table3[[#This Row],[ShoulderLength]]="","",IF(Table3[[#This Row],[ShoulderLength]]&lt;Table3[[#This Row],[LOC]],"FIX",""))</f>
        <v/>
      </c>
    </row>
    <row r="524" spans="1:83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v>0</v>
      </c>
      <c r="BN524" s="6">
        <v>0</v>
      </c>
      <c r="BO524" s="6">
        <v>0</v>
      </c>
      <c r="BP524" s="6">
        <v>0</v>
      </c>
      <c r="BQ524" s="6">
        <v>0</v>
      </c>
      <c r="BR524" s="6">
        <v>0</v>
      </c>
      <c r="BS524" s="6">
        <v>0</v>
      </c>
      <c r="BT524" s="6">
        <v>0</v>
      </c>
      <c r="BU524" s="6">
        <v>0</v>
      </c>
      <c r="BV524" s="6">
        <v>0</v>
      </c>
      <c r="BW524" s="6">
        <v>0</v>
      </c>
      <c r="BX524" s="6">
        <v>0</v>
      </c>
      <c r="BY524" s="6">
        <v>0</v>
      </c>
      <c r="BZ524" s="6">
        <v>0</v>
      </c>
      <c r="CA524" s="6">
        <v>0</v>
      </c>
      <c r="CB524" s="6">
        <v>0</v>
      </c>
      <c r="CC524" s="6">
        <f>IF(Table3[[#This Row],[Type]]="EM",IF((Table3[[#This Row],[Diameter]]/2)-Table3[[#This Row],[CornerRadius]]-0.012&gt;0,(Table3[[#This Row],[Diameter]]/2)-Table3[[#This Row],[CornerRadius]]-0.012,0),)</f>
        <v>0</v>
      </c>
      <c r="CE524" s="6" t="str">
        <f>IF(Table3[[#This Row],[ShoulderLength]]="","",IF(Table3[[#This Row],[ShoulderLength]]&lt;Table3[[#This Row],[LOC]],"FIX",""))</f>
        <v/>
      </c>
    </row>
    <row r="525" spans="1:83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v>0</v>
      </c>
      <c r="BN525" s="6">
        <v>0</v>
      </c>
      <c r="BO525" s="6">
        <v>0</v>
      </c>
      <c r="BP525" s="6">
        <v>0</v>
      </c>
      <c r="BQ525" s="6">
        <v>0</v>
      </c>
      <c r="BR525" s="6">
        <v>0</v>
      </c>
      <c r="BS525" s="6">
        <v>0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>
        <v>0</v>
      </c>
      <c r="CA525" s="6">
        <v>0</v>
      </c>
      <c r="CB525" s="6">
        <v>0</v>
      </c>
      <c r="CC525" s="6">
        <f>IF(Table3[[#This Row],[Type]]="EM",IF((Table3[[#This Row],[Diameter]]/2)-Table3[[#This Row],[CornerRadius]]-0.012&gt;0,(Table3[[#This Row],[Diameter]]/2)-Table3[[#This Row],[CornerRadius]]-0.012,0),)</f>
        <v>0</v>
      </c>
      <c r="CE525" s="6" t="str">
        <f>IF(Table3[[#This Row],[ShoulderLength]]="","",IF(Table3[[#This Row],[ShoulderLength]]&lt;Table3[[#This Row],[LOC]],"FIX",""))</f>
        <v/>
      </c>
    </row>
    <row r="526" spans="1:83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v>0</v>
      </c>
      <c r="BN526" s="6">
        <v>0</v>
      </c>
      <c r="BO526" s="6">
        <v>0</v>
      </c>
      <c r="BP526" s="6">
        <v>0</v>
      </c>
      <c r="BQ526" s="6">
        <v>0</v>
      </c>
      <c r="BR526" s="6">
        <v>0</v>
      </c>
      <c r="BS526" s="6">
        <v>0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>
        <v>0</v>
      </c>
      <c r="CA526" s="6">
        <v>0</v>
      </c>
      <c r="CB526" s="6">
        <v>0</v>
      </c>
      <c r="CC526" s="6">
        <f>IF(Table3[[#This Row],[Type]]="EM",IF((Table3[[#This Row],[Diameter]]/2)-Table3[[#This Row],[CornerRadius]]-0.012&gt;0,(Table3[[#This Row],[Diameter]]/2)-Table3[[#This Row],[CornerRadius]]-0.012,0),)</f>
        <v>0</v>
      </c>
      <c r="CE526" s="6" t="str">
        <f>IF(Table3[[#This Row],[ShoulderLength]]="","",IF(Table3[[#This Row],[ShoulderLength]]&lt;Table3[[#This Row],[LOC]],"FIX",""))</f>
        <v/>
      </c>
    </row>
    <row r="527" spans="1:83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v>0</v>
      </c>
      <c r="BN527" s="6">
        <v>0</v>
      </c>
      <c r="BO527" s="6">
        <v>0</v>
      </c>
      <c r="BP527" s="6">
        <v>0</v>
      </c>
      <c r="BQ527" s="6">
        <v>0</v>
      </c>
      <c r="BR527" s="6">
        <v>0</v>
      </c>
      <c r="BS527" s="6">
        <v>0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>
        <v>0</v>
      </c>
      <c r="CA527" s="6">
        <v>0</v>
      </c>
      <c r="CB527" s="6">
        <v>0</v>
      </c>
      <c r="CC527" s="6">
        <f>IF(Table3[[#This Row],[Type]]="EM",IF((Table3[[#This Row],[Diameter]]/2)-Table3[[#This Row],[CornerRadius]]-0.012&gt;0,(Table3[[#This Row],[Diameter]]/2)-Table3[[#This Row],[CornerRadius]]-0.012,0),)</f>
        <v>0</v>
      </c>
      <c r="CE527" s="6" t="str">
        <f>IF(Table3[[#This Row],[ShoulderLength]]="","",IF(Table3[[#This Row],[ShoulderLength]]&lt;Table3[[#This Row],[LOC]],"FIX",""))</f>
        <v/>
      </c>
    </row>
    <row r="528" spans="1:83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v>0</v>
      </c>
      <c r="BN528" s="6">
        <v>0</v>
      </c>
      <c r="BO528" s="6">
        <v>0</v>
      </c>
      <c r="BP528" s="6">
        <v>0</v>
      </c>
      <c r="BQ528" s="6">
        <v>0</v>
      </c>
      <c r="BR528" s="6">
        <v>0</v>
      </c>
      <c r="BS528" s="6">
        <v>0</v>
      </c>
      <c r="BT528" s="6">
        <v>0</v>
      </c>
      <c r="BU528" s="6">
        <v>0</v>
      </c>
      <c r="BV528" s="6">
        <v>0</v>
      </c>
      <c r="BW528" s="6">
        <v>0</v>
      </c>
      <c r="BX528" s="6">
        <v>0</v>
      </c>
      <c r="BY528" s="6">
        <v>0</v>
      </c>
      <c r="BZ528" s="6">
        <v>0</v>
      </c>
      <c r="CA528" s="6">
        <v>0</v>
      </c>
      <c r="CB528" s="6">
        <v>0</v>
      </c>
      <c r="CC528" s="6">
        <f>IF(Table3[[#This Row],[Type]]="EM",IF((Table3[[#This Row],[Diameter]]/2)-Table3[[#This Row],[CornerRadius]]-0.012&gt;0,(Table3[[#This Row],[Diameter]]/2)-Table3[[#This Row],[CornerRadius]]-0.012,0),)</f>
        <v>0</v>
      </c>
      <c r="CE528" s="6" t="str">
        <f>IF(Table3[[#This Row],[ShoulderLength]]="","",IF(Table3[[#This Row],[ShoulderLength]]&lt;Table3[[#This Row],[LOC]],"FIX",""))</f>
        <v/>
      </c>
    </row>
    <row r="529" spans="1:83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v>0</v>
      </c>
      <c r="BN529" s="6">
        <v>0</v>
      </c>
      <c r="BO529" s="6">
        <v>0</v>
      </c>
      <c r="BP529" s="6">
        <v>0</v>
      </c>
      <c r="BQ529" s="6">
        <v>0</v>
      </c>
      <c r="BR529" s="6">
        <v>0</v>
      </c>
      <c r="BS529" s="6">
        <v>0</v>
      </c>
      <c r="BT529" s="6">
        <v>0</v>
      </c>
      <c r="BU529" s="6">
        <v>0</v>
      </c>
      <c r="BV529" s="6">
        <v>0</v>
      </c>
      <c r="BW529" s="6">
        <v>0</v>
      </c>
      <c r="BX529" s="6">
        <v>0</v>
      </c>
      <c r="BY529" s="6">
        <v>0</v>
      </c>
      <c r="BZ529" s="6">
        <v>0</v>
      </c>
      <c r="CA529" s="6">
        <v>0</v>
      </c>
      <c r="CB529" s="6">
        <v>0</v>
      </c>
      <c r="CC529" s="6">
        <f>IF(Table3[[#This Row],[Type]]="EM",IF((Table3[[#This Row],[Diameter]]/2)-Table3[[#This Row],[CornerRadius]]-0.012&gt;0,(Table3[[#This Row],[Diameter]]/2)-Table3[[#This Row],[CornerRadius]]-0.012,0),)</f>
        <v>0</v>
      </c>
      <c r="CE529" s="6" t="str">
        <f>IF(Table3[[#This Row],[ShoulderLength]]="","",IF(Table3[[#This Row],[ShoulderLength]]&lt;Table3[[#This Row],[LOC]],"FIX",""))</f>
        <v/>
      </c>
    </row>
    <row r="530" spans="1:83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v>0</v>
      </c>
      <c r="BN530" s="6">
        <v>0</v>
      </c>
      <c r="BO530" s="6">
        <v>0</v>
      </c>
      <c r="BP530" s="6">
        <v>0</v>
      </c>
      <c r="BQ530" s="6">
        <v>0</v>
      </c>
      <c r="BR530" s="6">
        <v>0</v>
      </c>
      <c r="BS530" s="6">
        <v>0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>
        <v>0</v>
      </c>
      <c r="BZ530" s="6">
        <v>0</v>
      </c>
      <c r="CA530" s="6">
        <v>0</v>
      </c>
      <c r="CB530" s="6">
        <v>0</v>
      </c>
      <c r="CC530" s="6">
        <f>IF(Table3[[#This Row],[Type]]="EM",IF((Table3[[#This Row],[Diameter]]/2)-Table3[[#This Row],[CornerRadius]]-0.012&gt;0,(Table3[[#This Row],[Diameter]]/2)-Table3[[#This Row],[CornerRadius]]-0.012,0),)</f>
        <v>0</v>
      </c>
      <c r="CE530" s="6" t="str">
        <f>IF(Table3[[#This Row],[ShoulderLength]]="","",IF(Table3[[#This Row],[ShoulderLength]]&lt;Table3[[#This Row],[LOC]],"FIX",""))</f>
        <v/>
      </c>
    </row>
    <row r="531" spans="1:83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v>0</v>
      </c>
      <c r="BN531" s="6">
        <v>0</v>
      </c>
      <c r="BO531" s="6">
        <v>0</v>
      </c>
      <c r="BP531" s="6">
        <v>0</v>
      </c>
      <c r="BQ531" s="6">
        <v>0</v>
      </c>
      <c r="BR531" s="6">
        <v>0</v>
      </c>
      <c r="BS531" s="6">
        <v>0</v>
      </c>
      <c r="BT531" s="6">
        <v>0</v>
      </c>
      <c r="BU531" s="6">
        <v>0</v>
      </c>
      <c r="BV531" s="6">
        <v>0</v>
      </c>
      <c r="BW531" s="6">
        <v>0</v>
      </c>
      <c r="BX531" s="6">
        <v>0</v>
      </c>
      <c r="BY531" s="6">
        <v>0</v>
      </c>
      <c r="BZ531" s="6">
        <v>0</v>
      </c>
      <c r="CA531" s="6">
        <v>0</v>
      </c>
      <c r="CB531" s="6">
        <v>0</v>
      </c>
      <c r="CC531" s="6">
        <f>IF(Table3[[#This Row],[Type]]="EM",IF((Table3[[#This Row],[Diameter]]/2)-Table3[[#This Row],[CornerRadius]]-0.012&gt;0,(Table3[[#This Row],[Diameter]]/2)-Table3[[#This Row],[CornerRadius]]-0.012,0),)</f>
        <v>0</v>
      </c>
      <c r="CE531" s="6" t="str">
        <f>IF(Table3[[#This Row],[ShoulderLength]]="","",IF(Table3[[#This Row],[ShoulderLength]]&lt;Table3[[#This Row],[LOC]],"FIX",""))</f>
        <v/>
      </c>
    </row>
    <row r="532" spans="1:83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v>0</v>
      </c>
      <c r="BN532" s="6">
        <v>0</v>
      </c>
      <c r="BO532" s="6">
        <v>0</v>
      </c>
      <c r="BP532" s="6">
        <v>0</v>
      </c>
      <c r="BQ532" s="6">
        <v>0</v>
      </c>
      <c r="BR532" s="6">
        <v>0</v>
      </c>
      <c r="BS532" s="6">
        <v>0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>
        <v>0</v>
      </c>
      <c r="BZ532" s="6">
        <v>0</v>
      </c>
      <c r="CA532" s="6">
        <v>0</v>
      </c>
      <c r="CB532" s="6">
        <v>0</v>
      </c>
      <c r="CC532" s="6">
        <f>IF(Table3[[#This Row],[Type]]="EM",IF((Table3[[#This Row],[Diameter]]/2)-Table3[[#This Row],[CornerRadius]]-0.012&gt;0,(Table3[[#This Row],[Diameter]]/2)-Table3[[#This Row],[CornerRadius]]-0.012,0),)</f>
        <v>0</v>
      </c>
      <c r="CE532" s="6" t="str">
        <f>IF(Table3[[#This Row],[ShoulderLength]]="","",IF(Table3[[#This Row],[ShoulderLength]]&lt;Table3[[#This Row],[LOC]],"FIX",""))</f>
        <v/>
      </c>
    </row>
    <row r="533" spans="1:83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v>0</v>
      </c>
      <c r="BN533" s="6">
        <v>0</v>
      </c>
      <c r="BO533" s="6">
        <v>0</v>
      </c>
      <c r="BP533" s="6">
        <v>0</v>
      </c>
      <c r="BQ533" s="6">
        <v>0</v>
      </c>
      <c r="BR533" s="6">
        <v>0</v>
      </c>
      <c r="BS533" s="6">
        <v>0</v>
      </c>
      <c r="BT533" s="6">
        <v>0</v>
      </c>
      <c r="BU533" s="6">
        <v>0</v>
      </c>
      <c r="BV533" s="6">
        <v>0</v>
      </c>
      <c r="BW533" s="6">
        <v>0</v>
      </c>
      <c r="BX533" s="6">
        <v>0</v>
      </c>
      <c r="BY533" s="6">
        <v>0</v>
      </c>
      <c r="BZ533" s="6">
        <v>0</v>
      </c>
      <c r="CA533" s="6">
        <v>0</v>
      </c>
      <c r="CB533" s="6">
        <v>0</v>
      </c>
      <c r="CC533" s="6">
        <f>IF(Table3[[#This Row],[Type]]="EM",IF((Table3[[#This Row],[Diameter]]/2)-Table3[[#This Row],[CornerRadius]]-0.012&gt;0,(Table3[[#This Row],[Diameter]]/2)-Table3[[#This Row],[CornerRadius]]-0.012,0),)</f>
        <v>0</v>
      </c>
      <c r="CE533" s="6" t="str">
        <f>IF(Table3[[#This Row],[ShoulderLength]]="","",IF(Table3[[#This Row],[ShoulderLength]]&lt;Table3[[#This Row],[LOC]],"FIX",""))</f>
        <v/>
      </c>
    </row>
    <row r="534" spans="1:83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v>0</v>
      </c>
      <c r="BN534" s="6">
        <v>0</v>
      </c>
      <c r="BO534" s="6">
        <v>0</v>
      </c>
      <c r="BP534" s="6">
        <v>0</v>
      </c>
      <c r="BQ534" s="6">
        <v>0</v>
      </c>
      <c r="BR534" s="6">
        <v>0</v>
      </c>
      <c r="BS534" s="6">
        <v>0</v>
      </c>
      <c r="BT534" s="6">
        <v>0</v>
      </c>
      <c r="BU534" s="6">
        <v>0</v>
      </c>
      <c r="BV534" s="6">
        <v>0</v>
      </c>
      <c r="BW534" s="6">
        <v>0</v>
      </c>
      <c r="BX534" s="6">
        <v>0</v>
      </c>
      <c r="BY534" s="6">
        <v>0</v>
      </c>
      <c r="BZ534" s="6">
        <v>0</v>
      </c>
      <c r="CA534" s="6">
        <v>0</v>
      </c>
      <c r="CB534" s="6">
        <v>0</v>
      </c>
      <c r="CC534" s="6">
        <f>IF(Table3[[#This Row],[Type]]="EM",IF((Table3[[#This Row],[Diameter]]/2)-Table3[[#This Row],[CornerRadius]]-0.012&gt;0,(Table3[[#This Row],[Diameter]]/2)-Table3[[#This Row],[CornerRadius]]-0.012,0),)</f>
        <v>0</v>
      </c>
      <c r="CE534" s="6" t="str">
        <f>IF(Table3[[#This Row],[ShoulderLength]]="","",IF(Table3[[#This Row],[ShoulderLength]]&lt;Table3[[#This Row],[LOC]],"FIX",""))</f>
        <v/>
      </c>
    </row>
    <row r="535" spans="1:83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v>0</v>
      </c>
      <c r="BN535" s="6">
        <v>0</v>
      </c>
      <c r="BO535" s="6">
        <v>0</v>
      </c>
      <c r="BP535" s="6">
        <v>0</v>
      </c>
      <c r="BQ535" s="6">
        <v>0</v>
      </c>
      <c r="BR535" s="6">
        <v>0</v>
      </c>
      <c r="BS535" s="6">
        <v>0</v>
      </c>
      <c r="BT535" s="6">
        <v>0</v>
      </c>
      <c r="BU535" s="6">
        <v>0</v>
      </c>
      <c r="BV535" s="6">
        <v>0</v>
      </c>
      <c r="BW535" s="6">
        <v>0</v>
      </c>
      <c r="BX535" s="6">
        <v>0</v>
      </c>
      <c r="BY535" s="6">
        <v>0</v>
      </c>
      <c r="BZ535" s="6">
        <v>0</v>
      </c>
      <c r="CA535" s="6">
        <v>0</v>
      </c>
      <c r="CB535" s="6">
        <v>0</v>
      </c>
      <c r="CC535" s="6">
        <f>IF(Table3[[#This Row],[Type]]="EM",IF((Table3[[#This Row],[Diameter]]/2)-Table3[[#This Row],[CornerRadius]]-0.012&gt;0,(Table3[[#This Row],[Diameter]]/2)-Table3[[#This Row],[CornerRadius]]-0.012,0),)</f>
        <v>0</v>
      </c>
      <c r="CE535" s="6" t="str">
        <f>IF(Table3[[#This Row],[ShoulderLength]]="","",IF(Table3[[#This Row],[ShoulderLength]]&lt;Table3[[#This Row],[LOC]],"FIX",""))</f>
        <v/>
      </c>
    </row>
    <row r="536" spans="1:83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v>0</v>
      </c>
      <c r="BN536" s="6">
        <v>0</v>
      </c>
      <c r="BO536" s="6">
        <v>0</v>
      </c>
      <c r="BP536" s="6">
        <v>0</v>
      </c>
      <c r="BQ536" s="6">
        <v>0</v>
      </c>
      <c r="BR536" s="6">
        <v>0</v>
      </c>
      <c r="BS536" s="6">
        <v>0</v>
      </c>
      <c r="BT536" s="6">
        <v>0</v>
      </c>
      <c r="BU536" s="6">
        <v>0</v>
      </c>
      <c r="BV536" s="6">
        <v>0</v>
      </c>
      <c r="BW536" s="6">
        <v>0</v>
      </c>
      <c r="BX536" s="6">
        <v>0</v>
      </c>
      <c r="BY536" s="6">
        <v>0</v>
      </c>
      <c r="BZ536" s="6">
        <v>0</v>
      </c>
      <c r="CA536" s="6">
        <v>0</v>
      </c>
      <c r="CB536" s="6">
        <v>0</v>
      </c>
      <c r="CC536" s="6">
        <f>IF(Table3[[#This Row],[Type]]="EM",IF((Table3[[#This Row],[Diameter]]/2)-Table3[[#This Row],[CornerRadius]]-0.012&gt;0,(Table3[[#This Row],[Diameter]]/2)-Table3[[#This Row],[CornerRadius]]-0.012,0),)</f>
        <v>0</v>
      </c>
      <c r="CE536" s="6" t="str">
        <f>IF(Table3[[#This Row],[ShoulderLength]]="","",IF(Table3[[#This Row],[ShoulderLength]]&lt;Table3[[#This Row],[LOC]],"FIX",""))</f>
        <v/>
      </c>
    </row>
    <row r="537" spans="1:83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v>0</v>
      </c>
      <c r="BN537" s="6">
        <v>0</v>
      </c>
      <c r="BO537" s="6">
        <v>0</v>
      </c>
      <c r="BP537" s="6">
        <v>0</v>
      </c>
      <c r="BQ537" s="6">
        <v>0</v>
      </c>
      <c r="BR537" s="6">
        <v>0</v>
      </c>
      <c r="BS537" s="6">
        <v>0</v>
      </c>
      <c r="BT537" s="6">
        <v>0</v>
      </c>
      <c r="BU537" s="6">
        <v>0</v>
      </c>
      <c r="BV537" s="6">
        <v>0</v>
      </c>
      <c r="BW537" s="6">
        <v>0</v>
      </c>
      <c r="BX537" s="6">
        <v>0</v>
      </c>
      <c r="BY537" s="6">
        <v>0</v>
      </c>
      <c r="BZ537" s="6">
        <v>0</v>
      </c>
      <c r="CA537" s="6">
        <v>0</v>
      </c>
      <c r="CB537" s="6">
        <v>0</v>
      </c>
      <c r="CC537" s="6">
        <f>IF(Table3[[#This Row],[Type]]="EM",IF((Table3[[#This Row],[Diameter]]/2)-Table3[[#This Row],[CornerRadius]]-0.012&gt;0,(Table3[[#This Row],[Diameter]]/2)-Table3[[#This Row],[CornerRadius]]-0.012,0),)</f>
        <v>0</v>
      </c>
      <c r="CE537" s="6" t="str">
        <f>IF(Table3[[#This Row],[ShoulderLength]]="","",IF(Table3[[#This Row],[ShoulderLength]]&lt;Table3[[#This Row],[LOC]],"FIX",""))</f>
        <v/>
      </c>
    </row>
    <row r="538" spans="1:83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v>0</v>
      </c>
      <c r="BN538" s="6">
        <v>0</v>
      </c>
      <c r="BO538" s="6">
        <v>0</v>
      </c>
      <c r="BP538" s="6">
        <v>0</v>
      </c>
      <c r="BQ538" s="6">
        <v>0</v>
      </c>
      <c r="BR538" s="6">
        <v>0</v>
      </c>
      <c r="BS538" s="6">
        <v>0</v>
      </c>
      <c r="BT538" s="6">
        <v>0</v>
      </c>
      <c r="BU538" s="6">
        <v>0</v>
      </c>
      <c r="BV538" s="6">
        <v>0</v>
      </c>
      <c r="BW538" s="6">
        <v>0</v>
      </c>
      <c r="BX538" s="6">
        <v>0</v>
      </c>
      <c r="BY538" s="6">
        <v>0</v>
      </c>
      <c r="BZ538" s="6">
        <v>0</v>
      </c>
      <c r="CA538" s="6">
        <v>0</v>
      </c>
      <c r="CB538" s="6">
        <v>0</v>
      </c>
      <c r="CC538" s="6">
        <f>IF(Table3[[#This Row],[Type]]="EM",IF((Table3[[#This Row],[Diameter]]/2)-Table3[[#This Row],[CornerRadius]]-0.012&gt;0,(Table3[[#This Row],[Diameter]]/2)-Table3[[#This Row],[CornerRadius]]-0.012,0),)</f>
        <v>0</v>
      </c>
      <c r="CE538" s="6" t="str">
        <f>IF(Table3[[#This Row],[ShoulderLength]]="","",IF(Table3[[#This Row],[ShoulderLength]]&lt;Table3[[#This Row],[LOC]],"FIX",""))</f>
        <v/>
      </c>
    </row>
    <row r="539" spans="1:83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v>0</v>
      </c>
      <c r="BN539" s="6">
        <v>0</v>
      </c>
      <c r="BO539" s="6">
        <v>0</v>
      </c>
      <c r="BP539" s="6">
        <v>0</v>
      </c>
      <c r="BQ539" s="6">
        <v>0</v>
      </c>
      <c r="BR539" s="6">
        <v>0</v>
      </c>
      <c r="BS539" s="6">
        <v>0</v>
      </c>
      <c r="BT539" s="6">
        <v>0</v>
      </c>
      <c r="BU539" s="6">
        <v>0</v>
      </c>
      <c r="BV539" s="6">
        <v>0</v>
      </c>
      <c r="BW539" s="6">
        <v>0</v>
      </c>
      <c r="BX539" s="6">
        <v>0</v>
      </c>
      <c r="BY539" s="6">
        <v>0</v>
      </c>
      <c r="BZ539" s="6">
        <v>0</v>
      </c>
      <c r="CA539" s="6">
        <v>0</v>
      </c>
      <c r="CB539" s="6">
        <v>0</v>
      </c>
      <c r="CC539" s="6">
        <f>IF(Table3[[#This Row],[Type]]="EM",IF((Table3[[#This Row],[Diameter]]/2)-Table3[[#This Row],[CornerRadius]]-0.012&gt;0,(Table3[[#This Row],[Diameter]]/2)-Table3[[#This Row],[CornerRadius]]-0.012,0),)</f>
        <v>0</v>
      </c>
      <c r="CE539" s="6" t="str">
        <f>IF(Table3[[#This Row],[ShoulderLength]]="","",IF(Table3[[#This Row],[ShoulderLength]]&lt;Table3[[#This Row],[LOC]],"FIX",""))</f>
        <v/>
      </c>
    </row>
    <row r="540" spans="1:83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v>0</v>
      </c>
      <c r="BN540" s="6">
        <v>0</v>
      </c>
      <c r="BO540" s="6">
        <v>0</v>
      </c>
      <c r="BP540" s="6">
        <v>0</v>
      </c>
      <c r="BQ540" s="6">
        <v>0</v>
      </c>
      <c r="BR540" s="6">
        <v>0</v>
      </c>
      <c r="BS540" s="6">
        <v>0</v>
      </c>
      <c r="BT540" s="6">
        <v>0</v>
      </c>
      <c r="BU540" s="6">
        <v>0</v>
      </c>
      <c r="BV540" s="6">
        <v>0</v>
      </c>
      <c r="BW540" s="6">
        <v>0</v>
      </c>
      <c r="BX540" s="6">
        <v>0</v>
      </c>
      <c r="BY540" s="6">
        <v>0</v>
      </c>
      <c r="BZ540" s="6">
        <v>0</v>
      </c>
      <c r="CA540" s="6">
        <v>0</v>
      </c>
      <c r="CB540" s="6">
        <v>0</v>
      </c>
      <c r="CC540" s="6">
        <f>IF(Table3[[#This Row],[Type]]="EM",IF((Table3[[#This Row],[Diameter]]/2)-Table3[[#This Row],[CornerRadius]]-0.012&gt;0,(Table3[[#This Row],[Diameter]]/2)-Table3[[#This Row],[CornerRadius]]-0.012,0),)</f>
        <v>0</v>
      </c>
      <c r="CE540" s="6" t="str">
        <f>IF(Table3[[#This Row],[ShoulderLength]]="","",IF(Table3[[#This Row],[ShoulderLength]]&lt;Table3[[#This Row],[LOC]],"FIX",""))</f>
        <v/>
      </c>
    </row>
    <row r="541" spans="1:83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v>0</v>
      </c>
      <c r="BN541" s="6">
        <v>0</v>
      </c>
      <c r="BO541" s="6">
        <v>0</v>
      </c>
      <c r="BP541" s="6">
        <v>0</v>
      </c>
      <c r="BQ541" s="6">
        <v>0</v>
      </c>
      <c r="BR541" s="6">
        <v>0</v>
      </c>
      <c r="BS541" s="6">
        <v>0</v>
      </c>
      <c r="BT541" s="6">
        <v>0</v>
      </c>
      <c r="BU541" s="6">
        <v>0</v>
      </c>
      <c r="BV541" s="6">
        <v>0</v>
      </c>
      <c r="BW541" s="6">
        <v>0</v>
      </c>
      <c r="BX541" s="6">
        <v>0</v>
      </c>
      <c r="BY541" s="6">
        <v>0</v>
      </c>
      <c r="BZ541" s="6">
        <v>0</v>
      </c>
      <c r="CA541" s="6">
        <v>0</v>
      </c>
      <c r="CB541" s="6">
        <v>0</v>
      </c>
      <c r="CC541" s="6">
        <f>IF(Table3[[#This Row],[Type]]="EM",IF((Table3[[#This Row],[Diameter]]/2)-Table3[[#This Row],[CornerRadius]]-0.012&gt;0,(Table3[[#This Row],[Diameter]]/2)-Table3[[#This Row],[CornerRadius]]-0.012,0),)</f>
        <v>0</v>
      </c>
      <c r="CE541" s="6" t="str">
        <f>IF(Table3[[#This Row],[ShoulderLength]]="","",IF(Table3[[#This Row],[ShoulderLength]]&lt;Table3[[#This Row],[LOC]],"FIX",""))</f>
        <v/>
      </c>
    </row>
    <row r="542" spans="1:83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v>0</v>
      </c>
      <c r="BN542" s="6">
        <v>0</v>
      </c>
      <c r="BO542" s="6">
        <v>0</v>
      </c>
      <c r="BP542" s="6">
        <v>0</v>
      </c>
      <c r="BQ542" s="6">
        <v>0</v>
      </c>
      <c r="BR542" s="6">
        <v>0</v>
      </c>
      <c r="BS542" s="6">
        <v>0</v>
      </c>
      <c r="BT542" s="6">
        <v>0</v>
      </c>
      <c r="BU542" s="6">
        <v>0</v>
      </c>
      <c r="BV542" s="6">
        <v>0</v>
      </c>
      <c r="BW542" s="6">
        <v>0</v>
      </c>
      <c r="BX542" s="6">
        <v>0</v>
      </c>
      <c r="BY542" s="6">
        <v>0</v>
      </c>
      <c r="BZ542" s="6">
        <v>0</v>
      </c>
      <c r="CA542" s="6">
        <v>0</v>
      </c>
      <c r="CB542" s="6">
        <v>0</v>
      </c>
      <c r="CC542" s="6">
        <f>IF(Table3[[#This Row],[Type]]="EM",IF((Table3[[#This Row],[Diameter]]/2)-Table3[[#This Row],[CornerRadius]]-0.012&gt;0,(Table3[[#This Row],[Diameter]]/2)-Table3[[#This Row],[CornerRadius]]-0.012,0),)</f>
        <v>0</v>
      </c>
      <c r="CE542" s="6" t="str">
        <f>IF(Table3[[#This Row],[ShoulderLength]]="","",IF(Table3[[#This Row],[ShoulderLength]]&lt;Table3[[#This Row],[LOC]],"FIX",""))</f>
        <v/>
      </c>
    </row>
    <row r="543" spans="1:83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v>0</v>
      </c>
      <c r="BN543" s="6">
        <v>0</v>
      </c>
      <c r="BO543" s="6">
        <v>0</v>
      </c>
      <c r="BP543" s="6">
        <v>0</v>
      </c>
      <c r="BQ543" s="6">
        <v>0</v>
      </c>
      <c r="BR543" s="6">
        <v>0</v>
      </c>
      <c r="BS543" s="6">
        <v>0</v>
      </c>
      <c r="BT543" s="6">
        <v>0</v>
      </c>
      <c r="BU543" s="6">
        <v>0</v>
      </c>
      <c r="BV543" s="6">
        <v>0</v>
      </c>
      <c r="BW543" s="6">
        <v>0</v>
      </c>
      <c r="BX543" s="6">
        <v>0</v>
      </c>
      <c r="BY543" s="6">
        <v>0</v>
      </c>
      <c r="BZ543" s="6">
        <v>0</v>
      </c>
      <c r="CA543" s="6">
        <v>0</v>
      </c>
      <c r="CB543" s="6">
        <v>0</v>
      </c>
      <c r="CC543" s="6">
        <f>IF(Table3[[#This Row],[Type]]="EM",IF((Table3[[#This Row],[Diameter]]/2)-Table3[[#This Row],[CornerRadius]]-0.012&gt;0,(Table3[[#This Row],[Diameter]]/2)-Table3[[#This Row],[CornerRadius]]-0.012,0),)</f>
        <v>0</v>
      </c>
      <c r="CE543" s="6" t="str">
        <f>IF(Table3[[#This Row],[ShoulderLength]]="","",IF(Table3[[#This Row],[ShoulderLength]]&lt;Table3[[#This Row],[LOC]],"FIX",""))</f>
        <v/>
      </c>
    </row>
    <row r="544" spans="1:83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v>0</v>
      </c>
      <c r="BN544" s="6">
        <v>0</v>
      </c>
      <c r="BO544" s="6">
        <v>0</v>
      </c>
      <c r="BP544" s="6">
        <v>0</v>
      </c>
      <c r="BQ544" s="6">
        <v>0</v>
      </c>
      <c r="BR544" s="6">
        <v>0</v>
      </c>
      <c r="BS544" s="6">
        <v>0</v>
      </c>
      <c r="BT544" s="6">
        <v>0</v>
      </c>
      <c r="BU544" s="6">
        <v>0</v>
      </c>
      <c r="BV544" s="6">
        <v>0</v>
      </c>
      <c r="BW544" s="6">
        <v>0</v>
      </c>
      <c r="BX544" s="6">
        <v>0</v>
      </c>
      <c r="BY544" s="6">
        <v>0</v>
      </c>
      <c r="BZ544" s="6">
        <v>0</v>
      </c>
      <c r="CA544" s="6">
        <v>0</v>
      </c>
      <c r="CB544" s="6">
        <v>0</v>
      </c>
      <c r="CC544" s="6">
        <f>IF(Table3[[#This Row],[Type]]="EM",IF((Table3[[#This Row],[Diameter]]/2)-Table3[[#This Row],[CornerRadius]]-0.012&gt;0,(Table3[[#This Row],[Diameter]]/2)-Table3[[#This Row],[CornerRadius]]-0.012,0),)</f>
        <v>0</v>
      </c>
      <c r="CE544" s="6" t="str">
        <f>IF(Table3[[#This Row],[ShoulderLength]]="","",IF(Table3[[#This Row],[ShoulderLength]]&lt;Table3[[#This Row],[LOC]],"FIX",""))</f>
        <v/>
      </c>
    </row>
    <row r="545" spans="1:83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v>0</v>
      </c>
      <c r="BN545" s="6">
        <v>0</v>
      </c>
      <c r="BO545" s="6">
        <v>0</v>
      </c>
      <c r="BP545" s="6">
        <v>0</v>
      </c>
      <c r="BQ545" s="6">
        <v>0</v>
      </c>
      <c r="BR545" s="6">
        <v>0</v>
      </c>
      <c r="BS545" s="6">
        <v>0</v>
      </c>
      <c r="BT545" s="6">
        <v>0</v>
      </c>
      <c r="BU545" s="6">
        <v>0</v>
      </c>
      <c r="BV545" s="6">
        <v>0</v>
      </c>
      <c r="BW545" s="6">
        <v>0</v>
      </c>
      <c r="BX545" s="6">
        <v>0</v>
      </c>
      <c r="BY545" s="6">
        <v>0</v>
      </c>
      <c r="BZ545" s="6">
        <v>0</v>
      </c>
      <c r="CA545" s="6">
        <v>0</v>
      </c>
      <c r="CB545" s="6">
        <v>0</v>
      </c>
      <c r="CC545" s="6">
        <f>IF(Table3[[#This Row],[Type]]="EM",IF((Table3[[#This Row],[Diameter]]/2)-Table3[[#This Row],[CornerRadius]]-0.012&gt;0,(Table3[[#This Row],[Diameter]]/2)-Table3[[#This Row],[CornerRadius]]-0.012,0),)</f>
        <v>0</v>
      </c>
      <c r="CE545" s="6" t="str">
        <f>IF(Table3[[#This Row],[ShoulderLength]]="","",IF(Table3[[#This Row],[ShoulderLength]]&lt;Table3[[#This Row],[LOC]],"FIX",""))</f>
        <v/>
      </c>
    </row>
    <row r="546" spans="1:83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v>0</v>
      </c>
      <c r="BN546" s="6">
        <v>0</v>
      </c>
      <c r="BO546" s="6">
        <v>0</v>
      </c>
      <c r="BP546" s="6">
        <v>0</v>
      </c>
      <c r="BQ546" s="6">
        <v>0</v>
      </c>
      <c r="BR546" s="6">
        <v>0</v>
      </c>
      <c r="BS546" s="6">
        <v>0</v>
      </c>
      <c r="BT546" s="6">
        <v>0</v>
      </c>
      <c r="BU546" s="6">
        <v>0</v>
      </c>
      <c r="BV546" s="6">
        <v>0</v>
      </c>
      <c r="BW546" s="6">
        <v>0</v>
      </c>
      <c r="BX546" s="6">
        <v>0</v>
      </c>
      <c r="BY546" s="6">
        <v>0</v>
      </c>
      <c r="BZ546" s="6">
        <v>0</v>
      </c>
      <c r="CA546" s="6">
        <v>0</v>
      </c>
      <c r="CB546" s="6">
        <v>0</v>
      </c>
      <c r="CC546" s="6">
        <f>IF(Table3[[#This Row],[Type]]="EM",IF((Table3[[#This Row],[Diameter]]/2)-Table3[[#This Row],[CornerRadius]]-0.012&gt;0,(Table3[[#This Row],[Diameter]]/2)-Table3[[#This Row],[CornerRadius]]-0.012,0),)</f>
        <v>0</v>
      </c>
      <c r="CE546" s="6" t="str">
        <f>IF(Table3[[#This Row],[ShoulderLength]]="","",IF(Table3[[#This Row],[ShoulderLength]]&lt;Table3[[#This Row],[LOC]],"FIX",""))</f>
        <v/>
      </c>
    </row>
    <row r="547" spans="1:83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v>0</v>
      </c>
      <c r="BN547" s="6">
        <v>0</v>
      </c>
      <c r="BO547" s="6">
        <v>0</v>
      </c>
      <c r="BP547" s="6">
        <v>0</v>
      </c>
      <c r="BQ547" s="6">
        <v>0</v>
      </c>
      <c r="BR547" s="6">
        <v>0</v>
      </c>
      <c r="BS547" s="6">
        <v>0</v>
      </c>
      <c r="BT547" s="6">
        <v>0</v>
      </c>
      <c r="BU547" s="6">
        <v>0</v>
      </c>
      <c r="BV547" s="6">
        <v>0</v>
      </c>
      <c r="BW547" s="6">
        <v>0</v>
      </c>
      <c r="BX547" s="6">
        <v>0</v>
      </c>
      <c r="BY547" s="6">
        <v>0</v>
      </c>
      <c r="BZ547" s="6">
        <v>0</v>
      </c>
      <c r="CA547" s="6">
        <v>0</v>
      </c>
      <c r="CB547" s="6">
        <v>0</v>
      </c>
      <c r="CC547" s="6">
        <f>IF(Table3[[#This Row],[Type]]="EM",IF((Table3[[#This Row],[Diameter]]/2)-Table3[[#This Row],[CornerRadius]]-0.012&gt;0,(Table3[[#This Row],[Diameter]]/2)-Table3[[#This Row],[CornerRadius]]-0.012,0),)</f>
        <v>0</v>
      </c>
      <c r="CE547" s="6" t="str">
        <f>IF(Table3[[#This Row],[ShoulderLength]]="","",IF(Table3[[#This Row],[ShoulderLength]]&lt;Table3[[#This Row],[LOC]],"FIX",""))</f>
        <v/>
      </c>
    </row>
    <row r="548" spans="1:83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v>0</v>
      </c>
      <c r="BN548" s="6">
        <v>0</v>
      </c>
      <c r="BO548" s="6">
        <v>0</v>
      </c>
      <c r="BP548" s="6">
        <v>0</v>
      </c>
      <c r="BQ548" s="6">
        <v>0</v>
      </c>
      <c r="BR548" s="6">
        <v>0</v>
      </c>
      <c r="BS548" s="6">
        <v>0</v>
      </c>
      <c r="BT548" s="6">
        <v>0</v>
      </c>
      <c r="BU548" s="6">
        <v>0</v>
      </c>
      <c r="BV548" s="6">
        <v>0</v>
      </c>
      <c r="BW548" s="6">
        <v>0</v>
      </c>
      <c r="BX548" s="6">
        <v>0</v>
      </c>
      <c r="BY548" s="6">
        <v>0</v>
      </c>
      <c r="BZ548" s="6">
        <v>0</v>
      </c>
      <c r="CA548" s="6">
        <v>0</v>
      </c>
      <c r="CB548" s="6">
        <v>0</v>
      </c>
      <c r="CC548" s="6">
        <f>IF(Table3[[#This Row],[Type]]="EM",IF((Table3[[#This Row],[Diameter]]/2)-Table3[[#This Row],[CornerRadius]]-0.012&gt;0,(Table3[[#This Row],[Diameter]]/2)-Table3[[#This Row],[CornerRadius]]-0.012,0),)</f>
        <v>0</v>
      </c>
      <c r="CE548" s="6" t="str">
        <f>IF(Table3[[#This Row],[ShoulderLength]]="","",IF(Table3[[#This Row],[ShoulderLength]]&lt;Table3[[#This Row],[LOC]],"FIX",""))</f>
        <v/>
      </c>
    </row>
    <row r="549" spans="1:83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v>0</v>
      </c>
      <c r="BN549" s="6">
        <v>0</v>
      </c>
      <c r="BO549" s="6">
        <v>0</v>
      </c>
      <c r="BP549" s="6">
        <v>0</v>
      </c>
      <c r="BQ549" s="6">
        <v>0</v>
      </c>
      <c r="BR549" s="6">
        <v>0</v>
      </c>
      <c r="BS549" s="6">
        <v>0</v>
      </c>
      <c r="BT549" s="6">
        <v>0</v>
      </c>
      <c r="BU549" s="6">
        <v>0</v>
      </c>
      <c r="BV549" s="6">
        <v>0</v>
      </c>
      <c r="BW549" s="6">
        <v>0</v>
      </c>
      <c r="BX549" s="6">
        <v>0</v>
      </c>
      <c r="BY549" s="6">
        <v>0</v>
      </c>
      <c r="BZ549" s="6">
        <v>0</v>
      </c>
      <c r="CA549" s="6">
        <v>0</v>
      </c>
      <c r="CB549" s="6">
        <v>0</v>
      </c>
      <c r="CC549" s="6">
        <f>IF(Table3[[#This Row],[Type]]="EM",IF((Table3[[#This Row],[Diameter]]/2)-Table3[[#This Row],[CornerRadius]]-0.012&gt;0,(Table3[[#This Row],[Diameter]]/2)-Table3[[#This Row],[CornerRadius]]-0.012,0),)</f>
        <v>0</v>
      </c>
      <c r="CE549" s="6" t="str">
        <f>IF(Table3[[#This Row],[ShoulderLength]]="","",IF(Table3[[#This Row],[ShoulderLength]]&lt;Table3[[#This Row],[LOC]],"FIX",""))</f>
        <v/>
      </c>
    </row>
    <row r="550" spans="1:83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v>0</v>
      </c>
      <c r="BN550" s="6">
        <v>0</v>
      </c>
      <c r="BO550" s="6">
        <v>0</v>
      </c>
      <c r="BP550" s="6">
        <v>0</v>
      </c>
      <c r="BQ550" s="6">
        <v>0</v>
      </c>
      <c r="BR550" s="6">
        <v>0</v>
      </c>
      <c r="BS550" s="6">
        <v>0</v>
      </c>
      <c r="BT550" s="6">
        <v>0</v>
      </c>
      <c r="BU550" s="6">
        <v>0</v>
      </c>
      <c r="BV550" s="6">
        <v>0</v>
      </c>
      <c r="BW550" s="6">
        <v>0</v>
      </c>
      <c r="BX550" s="6">
        <v>0</v>
      </c>
      <c r="BY550" s="6">
        <v>0</v>
      </c>
      <c r="BZ550" s="6">
        <v>0</v>
      </c>
      <c r="CA550" s="6">
        <v>0</v>
      </c>
      <c r="CB550" s="6">
        <v>0</v>
      </c>
      <c r="CC550" s="6">
        <f>IF(Table3[[#This Row],[Type]]="EM",IF((Table3[[#This Row],[Diameter]]/2)-Table3[[#This Row],[CornerRadius]]-0.012&gt;0,(Table3[[#This Row],[Diameter]]/2)-Table3[[#This Row],[CornerRadius]]-0.012,0),)</f>
        <v>0</v>
      </c>
      <c r="CE550" s="6" t="str">
        <f>IF(Table3[[#This Row],[ShoulderLength]]="","",IF(Table3[[#This Row],[ShoulderLength]]&lt;Table3[[#This Row],[LOC]],"FIX",""))</f>
        <v/>
      </c>
    </row>
    <row r="551" spans="1:83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v>0</v>
      </c>
      <c r="BN551" s="6">
        <v>0</v>
      </c>
      <c r="BO551" s="6">
        <v>0</v>
      </c>
      <c r="BP551" s="6">
        <v>0</v>
      </c>
      <c r="BQ551" s="6">
        <v>0</v>
      </c>
      <c r="BR551" s="6">
        <v>0</v>
      </c>
      <c r="BS551" s="6">
        <v>0</v>
      </c>
      <c r="BT551" s="6">
        <v>0</v>
      </c>
      <c r="BU551" s="6">
        <v>0</v>
      </c>
      <c r="BV551" s="6">
        <v>0</v>
      </c>
      <c r="BW551" s="6">
        <v>0</v>
      </c>
      <c r="BX551" s="6">
        <v>0</v>
      </c>
      <c r="BY551" s="6">
        <v>0</v>
      </c>
      <c r="BZ551" s="6">
        <v>0</v>
      </c>
      <c r="CA551" s="6">
        <v>0</v>
      </c>
      <c r="CB551" s="6">
        <v>0</v>
      </c>
      <c r="CC551" s="6">
        <f>IF(Table3[[#This Row],[Type]]="EM",IF((Table3[[#This Row],[Diameter]]/2)-Table3[[#This Row],[CornerRadius]]-0.012&gt;0,(Table3[[#This Row],[Diameter]]/2)-Table3[[#This Row],[CornerRadius]]-0.012,0),)</f>
        <v>0</v>
      </c>
      <c r="CE551" s="6" t="str">
        <f>IF(Table3[[#This Row],[ShoulderLength]]="","",IF(Table3[[#This Row],[ShoulderLength]]&lt;Table3[[#This Row],[LOC]],"FIX",""))</f>
        <v/>
      </c>
    </row>
    <row r="552" spans="1:83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v>0</v>
      </c>
      <c r="BN552" s="6">
        <v>0</v>
      </c>
      <c r="BO552" s="6">
        <v>0</v>
      </c>
      <c r="BP552" s="6">
        <v>0</v>
      </c>
      <c r="BQ552" s="6">
        <v>0</v>
      </c>
      <c r="BR552" s="6">
        <v>0</v>
      </c>
      <c r="BS552" s="6">
        <v>0</v>
      </c>
      <c r="BT552" s="6">
        <v>0</v>
      </c>
      <c r="BU552" s="6">
        <v>0</v>
      </c>
      <c r="BV552" s="6">
        <v>0</v>
      </c>
      <c r="BW552" s="6">
        <v>0</v>
      </c>
      <c r="BX552" s="6">
        <v>0</v>
      </c>
      <c r="BY552" s="6">
        <v>0</v>
      </c>
      <c r="BZ552" s="6">
        <v>0</v>
      </c>
      <c r="CA552" s="6">
        <v>0</v>
      </c>
      <c r="CB552" s="6">
        <v>0</v>
      </c>
      <c r="CC552" s="6">
        <f>IF(Table3[[#This Row],[Type]]="EM",IF((Table3[[#This Row],[Diameter]]/2)-Table3[[#This Row],[CornerRadius]]-0.012&gt;0,(Table3[[#This Row],[Diameter]]/2)-Table3[[#This Row],[CornerRadius]]-0.012,0),)</f>
        <v>0</v>
      </c>
      <c r="CE552" s="6" t="str">
        <f>IF(Table3[[#This Row],[ShoulderLength]]="","",IF(Table3[[#This Row],[ShoulderLength]]&lt;Table3[[#This Row],[LOC]],"FIX",""))</f>
        <v/>
      </c>
    </row>
    <row r="553" spans="1:83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v>0</v>
      </c>
      <c r="BN553" s="6">
        <v>0</v>
      </c>
      <c r="BO553" s="6">
        <v>0</v>
      </c>
      <c r="BP553" s="6">
        <v>0</v>
      </c>
      <c r="BQ553" s="6">
        <v>0</v>
      </c>
      <c r="BR553" s="6">
        <v>0</v>
      </c>
      <c r="BS553" s="6">
        <v>0</v>
      </c>
      <c r="BT553" s="6">
        <v>0</v>
      </c>
      <c r="BU553" s="6">
        <v>0</v>
      </c>
      <c r="BV553" s="6">
        <v>0</v>
      </c>
      <c r="BW553" s="6">
        <v>0</v>
      </c>
      <c r="BX553" s="6">
        <v>0</v>
      </c>
      <c r="BY553" s="6">
        <v>0</v>
      </c>
      <c r="BZ553" s="6">
        <v>0</v>
      </c>
      <c r="CA553" s="6">
        <v>0</v>
      </c>
      <c r="CB553" s="6">
        <v>0</v>
      </c>
      <c r="CC553" s="6">
        <f>IF(Table3[[#This Row],[Type]]="EM",IF((Table3[[#This Row],[Diameter]]/2)-Table3[[#This Row],[CornerRadius]]-0.012&gt;0,(Table3[[#This Row],[Diameter]]/2)-Table3[[#This Row],[CornerRadius]]-0.012,0),)</f>
        <v>0</v>
      </c>
      <c r="CE553" s="6" t="str">
        <f>IF(Table3[[#This Row],[ShoulderLength]]="","",IF(Table3[[#This Row],[ShoulderLength]]&lt;Table3[[#This Row],[LOC]],"FIX",""))</f>
        <v/>
      </c>
    </row>
    <row r="554" spans="1:83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v>0</v>
      </c>
      <c r="BN554" s="6">
        <v>0</v>
      </c>
      <c r="BO554" s="6">
        <v>0</v>
      </c>
      <c r="BP554" s="6">
        <v>0</v>
      </c>
      <c r="BQ554" s="6">
        <v>0</v>
      </c>
      <c r="BR554" s="6">
        <v>0</v>
      </c>
      <c r="BS554" s="6">
        <v>0</v>
      </c>
      <c r="BT554" s="6">
        <v>0</v>
      </c>
      <c r="BU554" s="6">
        <v>0</v>
      </c>
      <c r="BV554" s="6">
        <v>0</v>
      </c>
      <c r="BW554" s="6">
        <v>0</v>
      </c>
      <c r="BX554" s="6">
        <v>0</v>
      </c>
      <c r="BY554" s="6">
        <v>0</v>
      </c>
      <c r="BZ554" s="6">
        <v>0</v>
      </c>
      <c r="CA554" s="6">
        <v>0</v>
      </c>
      <c r="CB554" s="6">
        <v>0</v>
      </c>
      <c r="CC554" s="6">
        <f>IF(Table3[[#This Row],[Type]]="EM",IF((Table3[[#This Row],[Diameter]]/2)-Table3[[#This Row],[CornerRadius]]-0.012&gt;0,(Table3[[#This Row],[Diameter]]/2)-Table3[[#This Row],[CornerRadius]]-0.012,0),)</f>
        <v>0</v>
      </c>
      <c r="CE554" s="6" t="str">
        <f>IF(Table3[[#This Row],[ShoulderLength]]="","",IF(Table3[[#This Row],[ShoulderLength]]&lt;Table3[[#This Row],[LOC]],"FIX",""))</f>
        <v/>
      </c>
    </row>
    <row r="555" spans="1:83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v>0</v>
      </c>
      <c r="BN555" s="6">
        <v>0</v>
      </c>
      <c r="BO555" s="6">
        <v>0</v>
      </c>
      <c r="BP555" s="6">
        <v>0</v>
      </c>
      <c r="BQ555" s="6">
        <v>0</v>
      </c>
      <c r="BR555" s="6">
        <v>0</v>
      </c>
      <c r="BS555" s="6">
        <v>0</v>
      </c>
      <c r="BT555" s="6">
        <v>0</v>
      </c>
      <c r="BU555" s="6">
        <v>0</v>
      </c>
      <c r="BV555" s="6">
        <v>0</v>
      </c>
      <c r="BW555" s="6">
        <v>0</v>
      </c>
      <c r="BX555" s="6">
        <v>0</v>
      </c>
      <c r="BY555" s="6">
        <v>0</v>
      </c>
      <c r="BZ555" s="6">
        <v>0</v>
      </c>
      <c r="CA555" s="6">
        <v>0</v>
      </c>
      <c r="CB555" s="6">
        <v>0</v>
      </c>
      <c r="CC555" s="6">
        <f>IF(Table3[[#This Row],[Type]]="EM",IF((Table3[[#This Row],[Diameter]]/2)-Table3[[#This Row],[CornerRadius]]-0.012&gt;0,(Table3[[#This Row],[Diameter]]/2)-Table3[[#This Row],[CornerRadius]]-0.012,0),)</f>
        <v>0</v>
      </c>
      <c r="CE555" s="6" t="str">
        <f>IF(Table3[[#This Row],[ShoulderLength]]="","",IF(Table3[[#This Row],[ShoulderLength]]&lt;Table3[[#This Row],[LOC]],"FIX",""))</f>
        <v/>
      </c>
    </row>
    <row r="556" spans="1:83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v>0</v>
      </c>
      <c r="BN556" s="6">
        <v>0</v>
      </c>
      <c r="BO556" s="6">
        <v>0</v>
      </c>
      <c r="BP556" s="6">
        <v>0</v>
      </c>
      <c r="BQ556" s="6">
        <v>0</v>
      </c>
      <c r="BR556" s="6">
        <v>0</v>
      </c>
      <c r="BS556" s="6">
        <v>0</v>
      </c>
      <c r="BT556" s="6">
        <v>0</v>
      </c>
      <c r="BU556" s="6">
        <v>0</v>
      </c>
      <c r="BV556" s="6">
        <v>0</v>
      </c>
      <c r="BW556" s="6">
        <v>0</v>
      </c>
      <c r="BX556" s="6">
        <v>0</v>
      </c>
      <c r="BY556" s="6">
        <v>0</v>
      </c>
      <c r="BZ556" s="6">
        <v>0</v>
      </c>
      <c r="CA556" s="6">
        <v>0</v>
      </c>
      <c r="CB556" s="6">
        <v>0</v>
      </c>
      <c r="CC556" s="6">
        <f>IF(Table3[[#This Row],[Type]]="EM",IF((Table3[[#This Row],[Diameter]]/2)-Table3[[#This Row],[CornerRadius]]-0.012&gt;0,(Table3[[#This Row],[Diameter]]/2)-Table3[[#This Row],[CornerRadius]]-0.012,0),)</f>
        <v>0</v>
      </c>
      <c r="CE556" s="6" t="str">
        <f>IF(Table3[[#This Row],[ShoulderLength]]="","",IF(Table3[[#This Row],[ShoulderLength]]&lt;Table3[[#This Row],[LOC]],"FIX",""))</f>
        <v/>
      </c>
    </row>
    <row r="557" spans="1:83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v>0</v>
      </c>
      <c r="BN557" s="6">
        <v>0</v>
      </c>
      <c r="BO557" s="6">
        <v>0</v>
      </c>
      <c r="BP557" s="6">
        <v>0</v>
      </c>
      <c r="BQ557" s="6">
        <v>0</v>
      </c>
      <c r="BR557" s="6">
        <v>0</v>
      </c>
      <c r="BS557" s="6">
        <v>0</v>
      </c>
      <c r="BT557" s="6">
        <v>0</v>
      </c>
      <c r="BU557" s="6">
        <v>0</v>
      </c>
      <c r="BV557" s="6">
        <v>0</v>
      </c>
      <c r="BW557" s="6">
        <v>0</v>
      </c>
      <c r="BX557" s="6">
        <v>0</v>
      </c>
      <c r="BY557" s="6">
        <v>0</v>
      </c>
      <c r="BZ557" s="6">
        <v>0</v>
      </c>
      <c r="CA557" s="6">
        <v>0</v>
      </c>
      <c r="CB557" s="6">
        <v>0</v>
      </c>
      <c r="CC557" s="6">
        <f>IF(Table3[[#This Row],[Type]]="EM",IF((Table3[[#This Row],[Diameter]]/2)-Table3[[#This Row],[CornerRadius]]-0.012&gt;0,(Table3[[#This Row],[Diameter]]/2)-Table3[[#This Row],[CornerRadius]]-0.012,0),)</f>
        <v>0</v>
      </c>
      <c r="CE557" s="6" t="str">
        <f>IF(Table3[[#This Row],[ShoulderLength]]="","",IF(Table3[[#This Row],[ShoulderLength]]&lt;Table3[[#This Row],[LOC]],"FIX",""))</f>
        <v/>
      </c>
    </row>
    <row r="558" spans="1:83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v>0</v>
      </c>
      <c r="BN558" s="6">
        <v>0</v>
      </c>
      <c r="BO558" s="6">
        <v>0</v>
      </c>
      <c r="BP558" s="6">
        <v>0</v>
      </c>
      <c r="BQ558" s="6">
        <v>0</v>
      </c>
      <c r="BR558" s="6">
        <v>0</v>
      </c>
      <c r="BS558" s="6">
        <v>0</v>
      </c>
      <c r="BT558" s="6">
        <v>0</v>
      </c>
      <c r="BU558" s="6">
        <v>0</v>
      </c>
      <c r="BV558" s="6">
        <v>0</v>
      </c>
      <c r="BW558" s="6">
        <v>0</v>
      </c>
      <c r="BX558" s="6">
        <v>0</v>
      </c>
      <c r="BY558" s="6">
        <v>0</v>
      </c>
      <c r="BZ558" s="6">
        <v>0</v>
      </c>
      <c r="CA558" s="6">
        <v>0</v>
      </c>
      <c r="CB558" s="6">
        <v>0</v>
      </c>
      <c r="CC558" s="6">
        <f>IF(Table3[[#This Row],[Type]]="EM",IF((Table3[[#This Row],[Diameter]]/2)-Table3[[#This Row],[CornerRadius]]-0.012&gt;0,(Table3[[#This Row],[Diameter]]/2)-Table3[[#This Row],[CornerRadius]]-0.012,0),)</f>
        <v>0</v>
      </c>
      <c r="CE558" s="6" t="str">
        <f>IF(Table3[[#This Row],[ShoulderLength]]="","",IF(Table3[[#This Row],[ShoulderLength]]&lt;Table3[[#This Row],[LOC]],"FIX",""))</f>
        <v/>
      </c>
    </row>
    <row r="559" spans="1:83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v>0</v>
      </c>
      <c r="BN559" s="6">
        <v>0</v>
      </c>
      <c r="BO559" s="6">
        <v>0</v>
      </c>
      <c r="BP559" s="6">
        <v>0</v>
      </c>
      <c r="BQ559" s="6">
        <v>0</v>
      </c>
      <c r="BR559" s="6">
        <v>0</v>
      </c>
      <c r="BS559" s="6">
        <v>0</v>
      </c>
      <c r="BT559" s="6">
        <v>0</v>
      </c>
      <c r="BU559" s="6">
        <v>0</v>
      </c>
      <c r="BV559" s="6">
        <v>0</v>
      </c>
      <c r="BW559" s="6">
        <v>0</v>
      </c>
      <c r="BX559" s="6">
        <v>0</v>
      </c>
      <c r="BY559" s="6">
        <v>0</v>
      </c>
      <c r="BZ559" s="6">
        <v>0</v>
      </c>
      <c r="CA559" s="6">
        <v>0</v>
      </c>
      <c r="CB559" s="6">
        <v>0</v>
      </c>
      <c r="CC559" s="6">
        <f>IF(Table3[[#This Row],[Type]]="EM",IF((Table3[[#This Row],[Diameter]]/2)-Table3[[#This Row],[CornerRadius]]-0.012&gt;0,(Table3[[#This Row],[Diameter]]/2)-Table3[[#This Row],[CornerRadius]]-0.012,0),)</f>
        <v>0</v>
      </c>
      <c r="CE559" s="6" t="str">
        <f>IF(Table3[[#This Row],[ShoulderLength]]="","",IF(Table3[[#This Row],[ShoulderLength]]&lt;Table3[[#This Row],[LOC]],"FIX",""))</f>
        <v/>
      </c>
    </row>
    <row r="560" spans="1:83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v>0</v>
      </c>
      <c r="BN560" s="6">
        <v>0</v>
      </c>
      <c r="BO560" s="6">
        <v>0</v>
      </c>
      <c r="BP560" s="6">
        <v>0</v>
      </c>
      <c r="BQ560" s="6">
        <v>0</v>
      </c>
      <c r="BR560" s="6">
        <v>0</v>
      </c>
      <c r="BS560" s="6">
        <v>0</v>
      </c>
      <c r="BT560" s="6">
        <v>0</v>
      </c>
      <c r="BU560" s="6">
        <v>0</v>
      </c>
      <c r="BV560" s="6">
        <v>0</v>
      </c>
      <c r="BW560" s="6">
        <v>0</v>
      </c>
      <c r="BX560" s="6">
        <v>0</v>
      </c>
      <c r="BY560" s="6">
        <v>0</v>
      </c>
      <c r="BZ560" s="6">
        <v>0</v>
      </c>
      <c r="CA560" s="6">
        <v>0</v>
      </c>
      <c r="CB560" s="6">
        <v>0</v>
      </c>
      <c r="CC560" s="6">
        <f>IF(Table3[[#This Row],[Type]]="EM",IF((Table3[[#This Row],[Diameter]]/2)-Table3[[#This Row],[CornerRadius]]-0.012&gt;0,(Table3[[#This Row],[Diameter]]/2)-Table3[[#This Row],[CornerRadius]]-0.012,0),)</f>
        <v>0</v>
      </c>
      <c r="CE560" s="6" t="str">
        <f>IF(Table3[[#This Row],[ShoulderLength]]="","",IF(Table3[[#This Row],[ShoulderLength]]&lt;Table3[[#This Row],[LOC]],"FIX",""))</f>
        <v/>
      </c>
    </row>
    <row r="561" spans="1:83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v>0</v>
      </c>
      <c r="BN561" s="6">
        <v>0</v>
      </c>
      <c r="BO561" s="6">
        <v>0</v>
      </c>
      <c r="BP561" s="6">
        <v>0</v>
      </c>
      <c r="BQ561" s="6">
        <v>0</v>
      </c>
      <c r="BR561" s="6">
        <v>0</v>
      </c>
      <c r="BS561" s="6">
        <v>0</v>
      </c>
      <c r="BT561" s="6">
        <v>0</v>
      </c>
      <c r="BU561" s="6">
        <v>0</v>
      </c>
      <c r="BV561" s="6">
        <v>0</v>
      </c>
      <c r="BW561" s="6">
        <v>0</v>
      </c>
      <c r="BX561" s="6">
        <v>0</v>
      </c>
      <c r="BY561" s="6">
        <v>0</v>
      </c>
      <c r="BZ561" s="6">
        <v>0</v>
      </c>
      <c r="CA561" s="6">
        <v>0</v>
      </c>
      <c r="CB561" s="6">
        <v>0</v>
      </c>
      <c r="CC561" s="6">
        <f>IF(Table3[[#This Row],[Type]]="EM",IF((Table3[[#This Row],[Diameter]]/2)-Table3[[#This Row],[CornerRadius]]-0.012&gt;0,(Table3[[#This Row],[Diameter]]/2)-Table3[[#This Row],[CornerRadius]]-0.012,0),)</f>
        <v>0</v>
      </c>
      <c r="CE561" s="6" t="str">
        <f>IF(Table3[[#This Row],[ShoulderLength]]="","",IF(Table3[[#This Row],[ShoulderLength]]&lt;Table3[[#This Row],[LOC]],"FIX",""))</f>
        <v/>
      </c>
    </row>
    <row r="562" spans="1:83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v>0</v>
      </c>
      <c r="BN562" s="6">
        <v>0</v>
      </c>
      <c r="BO562" s="6">
        <v>0</v>
      </c>
      <c r="BP562" s="6">
        <v>0</v>
      </c>
      <c r="BQ562" s="6">
        <v>0</v>
      </c>
      <c r="BR562" s="6">
        <v>0</v>
      </c>
      <c r="BS562" s="6">
        <v>0</v>
      </c>
      <c r="BT562" s="6">
        <v>0</v>
      </c>
      <c r="BU562" s="6">
        <v>0</v>
      </c>
      <c r="BV562" s="6">
        <v>0</v>
      </c>
      <c r="BW562" s="6">
        <v>0</v>
      </c>
      <c r="BX562" s="6">
        <v>0</v>
      </c>
      <c r="BY562" s="6">
        <v>0</v>
      </c>
      <c r="BZ562" s="6">
        <v>0</v>
      </c>
      <c r="CA562" s="6">
        <v>0</v>
      </c>
      <c r="CB562" s="6">
        <v>0</v>
      </c>
      <c r="CC562" s="6">
        <f>IF(Table3[[#This Row],[Type]]="EM",IF((Table3[[#This Row],[Diameter]]/2)-Table3[[#This Row],[CornerRadius]]-0.012&gt;0,(Table3[[#This Row],[Diameter]]/2)-Table3[[#This Row],[CornerRadius]]-0.012,0),)</f>
        <v>0</v>
      </c>
      <c r="CE562" s="6" t="str">
        <f>IF(Table3[[#This Row],[ShoulderLength]]="","",IF(Table3[[#This Row],[ShoulderLength]]&lt;Table3[[#This Row],[LOC]],"FIX",""))</f>
        <v/>
      </c>
    </row>
    <row r="563" spans="1:83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v>0</v>
      </c>
      <c r="BN563" s="6">
        <v>0</v>
      </c>
      <c r="BO563" s="6">
        <v>0</v>
      </c>
      <c r="BP563" s="6">
        <v>0</v>
      </c>
      <c r="BQ563" s="6">
        <v>0</v>
      </c>
      <c r="BR563" s="6">
        <v>0</v>
      </c>
      <c r="BS563" s="6">
        <v>0</v>
      </c>
      <c r="BT563" s="6">
        <v>0</v>
      </c>
      <c r="BU563" s="6">
        <v>0</v>
      </c>
      <c r="BV563" s="6">
        <v>0</v>
      </c>
      <c r="BW563" s="6">
        <v>0</v>
      </c>
      <c r="BX563" s="6">
        <v>0</v>
      </c>
      <c r="BY563" s="6">
        <v>0</v>
      </c>
      <c r="BZ563" s="6">
        <v>0</v>
      </c>
      <c r="CA563" s="6">
        <v>0</v>
      </c>
      <c r="CB563" s="6">
        <v>0</v>
      </c>
      <c r="CC563" s="6">
        <f>IF(Table3[[#This Row],[Type]]="EM",IF((Table3[[#This Row],[Diameter]]/2)-Table3[[#This Row],[CornerRadius]]-0.012&gt;0,(Table3[[#This Row],[Diameter]]/2)-Table3[[#This Row],[CornerRadius]]-0.012,0),)</f>
        <v>0</v>
      </c>
      <c r="CE563" s="6" t="str">
        <f>IF(Table3[[#This Row],[ShoulderLength]]="","",IF(Table3[[#This Row],[ShoulderLength]]&lt;Table3[[#This Row],[LOC]],"FIX",""))</f>
        <v/>
      </c>
    </row>
    <row r="564" spans="1:83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v>0</v>
      </c>
      <c r="BN564" s="6">
        <v>0</v>
      </c>
      <c r="BO564" s="6">
        <v>0</v>
      </c>
      <c r="BP564" s="6">
        <v>0</v>
      </c>
      <c r="BQ564" s="6">
        <v>0</v>
      </c>
      <c r="BR564" s="6">
        <v>0</v>
      </c>
      <c r="BS564" s="6">
        <v>0</v>
      </c>
      <c r="BT564" s="6">
        <v>0</v>
      </c>
      <c r="BU564" s="6">
        <v>0</v>
      </c>
      <c r="BV564" s="6">
        <v>0</v>
      </c>
      <c r="BW564" s="6">
        <v>0</v>
      </c>
      <c r="BX564" s="6">
        <v>0</v>
      </c>
      <c r="BY564" s="6">
        <v>0</v>
      </c>
      <c r="BZ564" s="6">
        <v>0</v>
      </c>
      <c r="CA564" s="6">
        <v>0</v>
      </c>
      <c r="CB564" s="6">
        <v>0</v>
      </c>
      <c r="CC564" s="6">
        <f>IF(Table3[[#This Row],[Type]]="EM",IF((Table3[[#This Row],[Diameter]]/2)-Table3[[#This Row],[CornerRadius]]-0.012&gt;0,(Table3[[#This Row],[Diameter]]/2)-Table3[[#This Row],[CornerRadius]]-0.012,0),)</f>
        <v>0</v>
      </c>
      <c r="CE564" s="6" t="str">
        <f>IF(Table3[[#This Row],[ShoulderLength]]="","",IF(Table3[[#This Row],[ShoulderLength]]&lt;Table3[[#This Row],[LOC]],"FIX",""))</f>
        <v/>
      </c>
    </row>
    <row r="565" spans="1:83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v>0</v>
      </c>
      <c r="BN565" s="6">
        <v>0</v>
      </c>
      <c r="BO565" s="6">
        <v>0</v>
      </c>
      <c r="BP565" s="6">
        <v>0</v>
      </c>
      <c r="BQ565" s="6">
        <v>0</v>
      </c>
      <c r="BR565" s="6">
        <v>0</v>
      </c>
      <c r="BS565" s="6">
        <v>0</v>
      </c>
      <c r="BT565" s="6">
        <v>0</v>
      </c>
      <c r="BU565" s="6">
        <v>0</v>
      </c>
      <c r="BV565" s="6">
        <v>0</v>
      </c>
      <c r="BW565" s="6">
        <v>0</v>
      </c>
      <c r="BX565" s="6">
        <v>0</v>
      </c>
      <c r="BY565" s="6">
        <v>0</v>
      </c>
      <c r="BZ565" s="6">
        <v>0</v>
      </c>
      <c r="CA565" s="6">
        <v>0</v>
      </c>
      <c r="CB565" s="6">
        <v>0</v>
      </c>
      <c r="CC565" s="6">
        <f>IF(Table3[[#This Row],[Type]]="EM",IF((Table3[[#This Row],[Diameter]]/2)-Table3[[#This Row],[CornerRadius]]-0.012&gt;0,(Table3[[#This Row],[Diameter]]/2)-Table3[[#This Row],[CornerRadius]]-0.012,0),)</f>
        <v>0</v>
      </c>
      <c r="CE565" s="6" t="str">
        <f>IF(Table3[[#This Row],[ShoulderLength]]="","",IF(Table3[[#This Row],[ShoulderLength]]&lt;Table3[[#This Row],[LOC]],"FIX",""))</f>
        <v/>
      </c>
    </row>
    <row r="566" spans="1:83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v>0</v>
      </c>
      <c r="BN566" s="6">
        <v>0</v>
      </c>
      <c r="BO566" s="6">
        <v>0</v>
      </c>
      <c r="BP566" s="6">
        <v>0</v>
      </c>
      <c r="BQ566" s="6">
        <v>0</v>
      </c>
      <c r="BR566" s="6">
        <v>0</v>
      </c>
      <c r="BS566" s="6">
        <v>0</v>
      </c>
      <c r="BT566" s="6">
        <v>0</v>
      </c>
      <c r="BU566" s="6">
        <v>0</v>
      </c>
      <c r="BV566" s="6">
        <v>0</v>
      </c>
      <c r="BW566" s="6">
        <v>0</v>
      </c>
      <c r="BX566" s="6">
        <v>0</v>
      </c>
      <c r="BY566" s="6">
        <v>0</v>
      </c>
      <c r="BZ566" s="6">
        <v>0</v>
      </c>
      <c r="CA566" s="6">
        <v>0</v>
      </c>
      <c r="CB566" s="6">
        <v>0</v>
      </c>
      <c r="CC566" s="6">
        <f>IF(Table3[[#This Row],[Type]]="EM",IF((Table3[[#This Row],[Diameter]]/2)-Table3[[#This Row],[CornerRadius]]-0.012&gt;0,(Table3[[#This Row],[Diameter]]/2)-Table3[[#This Row],[CornerRadius]]-0.012,0),)</f>
        <v>0</v>
      </c>
      <c r="CE566" s="6" t="str">
        <f>IF(Table3[[#This Row],[ShoulderLength]]="","",IF(Table3[[#This Row],[ShoulderLength]]&lt;Table3[[#This Row],[LOC]],"FIX",""))</f>
        <v/>
      </c>
    </row>
    <row r="567" spans="1:83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v>0</v>
      </c>
      <c r="BN567" s="6">
        <v>0</v>
      </c>
      <c r="BO567" s="6">
        <v>0</v>
      </c>
      <c r="BP567" s="6">
        <v>0</v>
      </c>
      <c r="BQ567" s="6">
        <v>0</v>
      </c>
      <c r="BR567" s="6">
        <v>0</v>
      </c>
      <c r="BS567" s="6">
        <v>0</v>
      </c>
      <c r="BT567" s="6">
        <v>0</v>
      </c>
      <c r="BU567" s="6">
        <v>0</v>
      </c>
      <c r="BV567" s="6">
        <v>0</v>
      </c>
      <c r="BW567" s="6">
        <v>0</v>
      </c>
      <c r="BX567" s="6">
        <v>0</v>
      </c>
      <c r="BY567" s="6">
        <v>0</v>
      </c>
      <c r="BZ567" s="6">
        <v>0</v>
      </c>
      <c r="CA567" s="6">
        <v>0</v>
      </c>
      <c r="CB567" s="6">
        <v>0</v>
      </c>
      <c r="CC567" s="6">
        <f>IF(Table3[[#This Row],[Type]]="EM",IF((Table3[[#This Row],[Diameter]]/2)-Table3[[#This Row],[CornerRadius]]-0.012&gt;0,(Table3[[#This Row],[Diameter]]/2)-Table3[[#This Row],[CornerRadius]]-0.012,0),)</f>
        <v>0</v>
      </c>
      <c r="CE567" s="6" t="str">
        <f>IF(Table3[[#This Row],[ShoulderLength]]="","",IF(Table3[[#This Row],[ShoulderLength]]&lt;Table3[[#This Row],[LOC]],"FIX",""))</f>
        <v/>
      </c>
    </row>
    <row r="568" spans="1:83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v>0</v>
      </c>
      <c r="BN568" s="6">
        <v>0</v>
      </c>
      <c r="BO568" s="6">
        <v>0</v>
      </c>
      <c r="BP568" s="6">
        <v>0</v>
      </c>
      <c r="BQ568" s="6">
        <v>0</v>
      </c>
      <c r="BR568" s="6">
        <v>0</v>
      </c>
      <c r="BS568" s="6">
        <v>0</v>
      </c>
      <c r="BT568" s="6">
        <v>0</v>
      </c>
      <c r="BU568" s="6">
        <v>0</v>
      </c>
      <c r="BV568" s="6">
        <v>0</v>
      </c>
      <c r="BW568" s="6">
        <v>0</v>
      </c>
      <c r="BX568" s="6">
        <v>0</v>
      </c>
      <c r="BY568" s="6">
        <v>0</v>
      </c>
      <c r="BZ568" s="6">
        <v>0</v>
      </c>
      <c r="CA568" s="6">
        <v>0</v>
      </c>
      <c r="CB568" s="6">
        <v>0</v>
      </c>
      <c r="CC568" s="6">
        <f>IF(Table3[[#This Row],[Type]]="EM",IF((Table3[[#This Row],[Diameter]]/2)-Table3[[#This Row],[CornerRadius]]-0.012&gt;0,(Table3[[#This Row],[Diameter]]/2)-Table3[[#This Row],[CornerRadius]]-0.012,0),)</f>
        <v>0</v>
      </c>
      <c r="CE568" s="6" t="str">
        <f>IF(Table3[[#This Row],[ShoulderLength]]="","",IF(Table3[[#This Row],[ShoulderLength]]&lt;Table3[[#This Row],[LOC]],"FIX",""))</f>
        <v/>
      </c>
    </row>
    <row r="569" spans="1:83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v>0</v>
      </c>
      <c r="BN569" s="6">
        <v>0</v>
      </c>
      <c r="BO569" s="6">
        <v>0</v>
      </c>
      <c r="BP569" s="6">
        <v>0</v>
      </c>
      <c r="BQ569" s="6">
        <v>0</v>
      </c>
      <c r="BR569" s="6">
        <v>0</v>
      </c>
      <c r="BS569" s="6">
        <v>0</v>
      </c>
      <c r="BT569" s="6">
        <v>0</v>
      </c>
      <c r="BU569" s="6">
        <v>0</v>
      </c>
      <c r="BV569" s="6">
        <v>0</v>
      </c>
      <c r="BW569" s="6">
        <v>0</v>
      </c>
      <c r="BX569" s="6">
        <v>0</v>
      </c>
      <c r="BY569" s="6">
        <v>0</v>
      </c>
      <c r="BZ569" s="6">
        <v>0</v>
      </c>
      <c r="CA569" s="6">
        <v>0</v>
      </c>
      <c r="CB569" s="6">
        <v>0</v>
      </c>
      <c r="CC569" s="6">
        <f>IF(Table3[[#This Row],[Type]]="EM",IF((Table3[[#This Row],[Diameter]]/2)-Table3[[#This Row],[CornerRadius]]-0.012&gt;0,(Table3[[#This Row],[Diameter]]/2)-Table3[[#This Row],[CornerRadius]]-0.012,0),)</f>
        <v>0</v>
      </c>
      <c r="CE569" s="6" t="str">
        <f>IF(Table3[[#This Row],[ShoulderLength]]="","",IF(Table3[[#This Row],[ShoulderLength]]&lt;Table3[[#This Row],[LOC]],"FIX",""))</f>
        <v/>
      </c>
    </row>
    <row r="570" spans="1:83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v>0</v>
      </c>
      <c r="BN570" s="6">
        <v>0</v>
      </c>
      <c r="BO570" s="6">
        <v>0</v>
      </c>
      <c r="BP570" s="6">
        <v>0</v>
      </c>
      <c r="BQ570" s="6">
        <v>0</v>
      </c>
      <c r="BR570" s="6">
        <v>0</v>
      </c>
      <c r="BS570" s="6">
        <v>0</v>
      </c>
      <c r="BT570" s="6">
        <v>0</v>
      </c>
      <c r="BU570" s="6">
        <v>0</v>
      </c>
      <c r="BV570" s="6">
        <v>0</v>
      </c>
      <c r="BW570" s="6">
        <v>0</v>
      </c>
      <c r="BX570" s="6">
        <v>0</v>
      </c>
      <c r="BY570" s="6">
        <v>0</v>
      </c>
      <c r="BZ570" s="6">
        <v>0</v>
      </c>
      <c r="CA570" s="6">
        <v>0</v>
      </c>
      <c r="CB570" s="6">
        <v>0</v>
      </c>
      <c r="CC570" s="6">
        <f>IF(Table3[[#This Row],[Type]]="EM",IF((Table3[[#This Row],[Diameter]]/2)-Table3[[#This Row],[CornerRadius]]-0.012&gt;0,(Table3[[#This Row],[Diameter]]/2)-Table3[[#This Row],[CornerRadius]]-0.012,0),)</f>
        <v>0</v>
      </c>
      <c r="CE570" s="6" t="str">
        <f>IF(Table3[[#This Row],[ShoulderLength]]="","",IF(Table3[[#This Row],[ShoulderLength]]&lt;Table3[[#This Row],[LOC]],"FIX",""))</f>
        <v/>
      </c>
    </row>
    <row r="571" spans="1:83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v>0</v>
      </c>
      <c r="BN571" s="6">
        <v>0</v>
      </c>
      <c r="BO571" s="6">
        <v>0</v>
      </c>
      <c r="BP571" s="6">
        <v>0</v>
      </c>
      <c r="BQ571" s="6">
        <v>0</v>
      </c>
      <c r="BR571" s="6">
        <v>0</v>
      </c>
      <c r="BS571" s="6">
        <v>0</v>
      </c>
      <c r="BT571" s="6">
        <v>0</v>
      </c>
      <c r="BU571" s="6">
        <v>0</v>
      </c>
      <c r="BV571" s="6">
        <v>0</v>
      </c>
      <c r="BW571" s="6">
        <v>0</v>
      </c>
      <c r="BX571" s="6">
        <v>0</v>
      </c>
      <c r="BY571" s="6">
        <v>0</v>
      </c>
      <c r="BZ571" s="6">
        <v>0</v>
      </c>
      <c r="CA571" s="6">
        <v>0</v>
      </c>
      <c r="CB571" s="6">
        <v>0</v>
      </c>
      <c r="CC571" s="6">
        <f>IF(Table3[[#This Row],[Type]]="EM",IF((Table3[[#This Row],[Diameter]]/2)-Table3[[#This Row],[CornerRadius]]-0.012&gt;0,(Table3[[#This Row],[Diameter]]/2)-Table3[[#This Row],[CornerRadius]]-0.012,0),)</f>
        <v>0</v>
      </c>
      <c r="CE571" s="6" t="str">
        <f>IF(Table3[[#This Row],[ShoulderLength]]="","",IF(Table3[[#This Row],[ShoulderLength]]&lt;Table3[[#This Row],[LOC]],"FIX",""))</f>
        <v/>
      </c>
    </row>
    <row r="572" spans="1:83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v>0</v>
      </c>
      <c r="BN572" s="6">
        <v>0</v>
      </c>
      <c r="BO572" s="6">
        <v>0</v>
      </c>
      <c r="BP572" s="6">
        <v>0</v>
      </c>
      <c r="BQ572" s="6">
        <v>0</v>
      </c>
      <c r="BR572" s="6">
        <v>0</v>
      </c>
      <c r="BS572" s="6">
        <v>0</v>
      </c>
      <c r="BT572" s="6">
        <v>0</v>
      </c>
      <c r="BU572" s="6">
        <v>0</v>
      </c>
      <c r="BV572" s="6">
        <v>0</v>
      </c>
      <c r="BW572" s="6">
        <v>0</v>
      </c>
      <c r="BX572" s="6">
        <v>0</v>
      </c>
      <c r="BY572" s="6">
        <v>0</v>
      </c>
      <c r="BZ572" s="6">
        <v>0</v>
      </c>
      <c r="CA572" s="6">
        <v>0</v>
      </c>
      <c r="CB572" s="6">
        <v>0</v>
      </c>
      <c r="CC572" s="6">
        <f>IF(Table3[[#This Row],[Type]]="EM",IF((Table3[[#This Row],[Diameter]]/2)-Table3[[#This Row],[CornerRadius]]-0.012&gt;0,(Table3[[#This Row],[Diameter]]/2)-Table3[[#This Row],[CornerRadius]]-0.012,0),)</f>
        <v>0</v>
      </c>
      <c r="CE572" s="6" t="str">
        <f>IF(Table3[[#This Row],[ShoulderLength]]="","",IF(Table3[[#This Row],[ShoulderLength]]&lt;Table3[[#This Row],[LOC]],"FIX",""))</f>
        <v/>
      </c>
    </row>
    <row r="573" spans="1:83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v>0</v>
      </c>
      <c r="BN573" s="6">
        <v>0</v>
      </c>
      <c r="BO573" s="6">
        <v>0</v>
      </c>
      <c r="BP573" s="6">
        <v>0</v>
      </c>
      <c r="BQ573" s="6">
        <v>0</v>
      </c>
      <c r="BR573" s="6">
        <v>0</v>
      </c>
      <c r="BS573" s="6">
        <v>0</v>
      </c>
      <c r="BT573" s="6">
        <v>0</v>
      </c>
      <c r="BU573" s="6">
        <v>0</v>
      </c>
      <c r="BV573" s="6">
        <v>0</v>
      </c>
      <c r="BW573" s="6">
        <v>0</v>
      </c>
      <c r="BX573" s="6">
        <v>0</v>
      </c>
      <c r="BY573" s="6">
        <v>0</v>
      </c>
      <c r="BZ573" s="6">
        <v>0</v>
      </c>
      <c r="CA573" s="6">
        <v>0</v>
      </c>
      <c r="CB573" s="6">
        <v>0</v>
      </c>
      <c r="CC573" s="6">
        <f>IF(Table3[[#This Row],[Type]]="EM",IF((Table3[[#This Row],[Diameter]]/2)-Table3[[#This Row],[CornerRadius]]-0.012&gt;0,(Table3[[#This Row],[Diameter]]/2)-Table3[[#This Row],[CornerRadius]]-0.012,0),)</f>
        <v>0</v>
      </c>
      <c r="CE573" s="6" t="str">
        <f>IF(Table3[[#This Row],[ShoulderLength]]="","",IF(Table3[[#This Row],[ShoulderLength]]&lt;Table3[[#This Row],[LOC]],"FIX",""))</f>
        <v/>
      </c>
    </row>
    <row r="574" spans="1:83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v>0</v>
      </c>
      <c r="BN574" s="6">
        <v>0</v>
      </c>
      <c r="BO574" s="6">
        <v>0</v>
      </c>
      <c r="BP574" s="6">
        <v>0</v>
      </c>
      <c r="BQ574" s="6">
        <v>0</v>
      </c>
      <c r="BR574" s="6">
        <v>0</v>
      </c>
      <c r="BS574" s="6">
        <v>0</v>
      </c>
      <c r="BT574" s="6">
        <v>0</v>
      </c>
      <c r="BU574" s="6">
        <v>0</v>
      </c>
      <c r="BV574" s="6">
        <v>0</v>
      </c>
      <c r="BW574" s="6">
        <v>0</v>
      </c>
      <c r="BX574" s="6">
        <v>0</v>
      </c>
      <c r="BY574" s="6">
        <v>0</v>
      </c>
      <c r="BZ574" s="6">
        <v>0</v>
      </c>
      <c r="CA574" s="6">
        <v>0</v>
      </c>
      <c r="CB574" s="6">
        <v>0</v>
      </c>
      <c r="CC574" s="6">
        <f>IF(Table3[[#This Row],[Type]]="EM",IF((Table3[[#This Row],[Diameter]]/2)-Table3[[#This Row],[CornerRadius]]-0.012&gt;0,(Table3[[#This Row],[Diameter]]/2)-Table3[[#This Row],[CornerRadius]]-0.012,0),)</f>
        <v>0</v>
      </c>
      <c r="CE574" s="6" t="str">
        <f>IF(Table3[[#This Row],[ShoulderLength]]="","",IF(Table3[[#This Row],[ShoulderLength]]&lt;Table3[[#This Row],[LOC]],"FIX",""))</f>
        <v/>
      </c>
    </row>
    <row r="575" spans="1:83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v>0</v>
      </c>
      <c r="BN575" s="6">
        <v>0</v>
      </c>
      <c r="BO575" s="6">
        <v>0</v>
      </c>
      <c r="BP575" s="6">
        <v>0</v>
      </c>
      <c r="BQ575" s="6">
        <v>0</v>
      </c>
      <c r="BR575" s="6">
        <v>0</v>
      </c>
      <c r="BS575" s="6">
        <v>0</v>
      </c>
      <c r="BT575" s="6">
        <v>0</v>
      </c>
      <c r="BU575" s="6">
        <v>0</v>
      </c>
      <c r="BV575" s="6">
        <v>0</v>
      </c>
      <c r="BW575" s="6">
        <v>0</v>
      </c>
      <c r="BX575" s="6">
        <v>0</v>
      </c>
      <c r="BY575" s="6">
        <v>0</v>
      </c>
      <c r="BZ575" s="6">
        <v>0</v>
      </c>
      <c r="CA575" s="6">
        <v>0</v>
      </c>
      <c r="CB575" s="6">
        <v>0</v>
      </c>
      <c r="CC575" s="6">
        <f>IF(Table3[[#This Row],[Type]]="EM",IF((Table3[[#This Row],[Diameter]]/2)-Table3[[#This Row],[CornerRadius]]-0.012&gt;0,(Table3[[#This Row],[Diameter]]/2)-Table3[[#This Row],[CornerRadius]]-0.012,0),)</f>
        <v>0</v>
      </c>
      <c r="CE575" s="6" t="str">
        <f>IF(Table3[[#This Row],[ShoulderLength]]="","",IF(Table3[[#This Row],[ShoulderLength]]&lt;Table3[[#This Row],[LOC]],"FIX",""))</f>
        <v/>
      </c>
    </row>
    <row r="576" spans="1:83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v>0</v>
      </c>
      <c r="BN576" s="6">
        <v>0</v>
      </c>
      <c r="BO576" s="6">
        <v>0</v>
      </c>
      <c r="BP576" s="6">
        <v>0</v>
      </c>
      <c r="BQ576" s="6">
        <v>0</v>
      </c>
      <c r="BR576" s="6">
        <v>0</v>
      </c>
      <c r="BS576" s="6">
        <v>0</v>
      </c>
      <c r="BT576" s="6">
        <v>0</v>
      </c>
      <c r="BU576" s="6">
        <v>0</v>
      </c>
      <c r="BV576" s="6">
        <v>0</v>
      </c>
      <c r="BW576" s="6">
        <v>0</v>
      </c>
      <c r="BX576" s="6">
        <v>0</v>
      </c>
      <c r="BY576" s="6">
        <v>0</v>
      </c>
      <c r="BZ576" s="6">
        <v>0</v>
      </c>
      <c r="CA576" s="6">
        <v>0</v>
      </c>
      <c r="CB576" s="6">
        <v>0</v>
      </c>
      <c r="CC576" s="6">
        <f>IF(Table3[[#This Row],[Type]]="EM",IF((Table3[[#This Row],[Diameter]]/2)-Table3[[#This Row],[CornerRadius]]-0.012&gt;0,(Table3[[#This Row],[Diameter]]/2)-Table3[[#This Row],[CornerRadius]]-0.012,0),)</f>
        <v>0</v>
      </c>
      <c r="CE576" s="6" t="str">
        <f>IF(Table3[[#This Row],[ShoulderLength]]="","",IF(Table3[[#This Row],[ShoulderLength]]&lt;Table3[[#This Row],[LOC]],"FIX",""))</f>
        <v/>
      </c>
    </row>
    <row r="577" spans="1:83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v>0</v>
      </c>
      <c r="BN577" s="6">
        <v>0</v>
      </c>
      <c r="BO577" s="6">
        <v>0</v>
      </c>
      <c r="BP577" s="6">
        <v>0</v>
      </c>
      <c r="BQ577" s="6">
        <v>0</v>
      </c>
      <c r="BR577" s="6">
        <v>0</v>
      </c>
      <c r="BS577" s="6">
        <v>0</v>
      </c>
      <c r="BT577" s="6">
        <v>0</v>
      </c>
      <c r="BU577" s="6">
        <v>0</v>
      </c>
      <c r="BV577" s="6">
        <v>0</v>
      </c>
      <c r="BW577" s="6">
        <v>0</v>
      </c>
      <c r="BX577" s="6">
        <v>0</v>
      </c>
      <c r="BY577" s="6">
        <v>0</v>
      </c>
      <c r="BZ577" s="6">
        <v>0</v>
      </c>
      <c r="CA577" s="6">
        <v>0</v>
      </c>
      <c r="CB577" s="6">
        <v>0</v>
      </c>
      <c r="CC577" s="6">
        <f>IF(Table3[[#This Row],[Type]]="EM",IF((Table3[[#This Row],[Diameter]]/2)-Table3[[#This Row],[CornerRadius]]-0.012&gt;0,(Table3[[#This Row],[Diameter]]/2)-Table3[[#This Row],[CornerRadius]]-0.012,0),)</f>
        <v>0</v>
      </c>
      <c r="CE577" s="6" t="str">
        <f>IF(Table3[[#This Row],[ShoulderLength]]="","",IF(Table3[[#This Row],[ShoulderLength]]&lt;Table3[[#This Row],[LOC]],"FIX",""))</f>
        <v/>
      </c>
    </row>
    <row r="578" spans="1:83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v>0</v>
      </c>
      <c r="BN578" s="6">
        <v>0</v>
      </c>
      <c r="BO578" s="6">
        <v>0</v>
      </c>
      <c r="BP578" s="6">
        <v>0</v>
      </c>
      <c r="BQ578" s="6">
        <v>0</v>
      </c>
      <c r="BR578" s="6">
        <v>0</v>
      </c>
      <c r="BS578" s="6">
        <v>0</v>
      </c>
      <c r="BT578" s="6">
        <v>0</v>
      </c>
      <c r="BU578" s="6">
        <v>0</v>
      </c>
      <c r="BV578" s="6">
        <v>0</v>
      </c>
      <c r="BW578" s="6">
        <v>0</v>
      </c>
      <c r="BX578" s="6">
        <v>0</v>
      </c>
      <c r="BY578" s="6">
        <v>0</v>
      </c>
      <c r="BZ578" s="6">
        <v>0</v>
      </c>
      <c r="CA578" s="6">
        <v>0</v>
      </c>
      <c r="CB578" s="6">
        <v>0</v>
      </c>
      <c r="CC578" s="6">
        <f>IF(Table3[[#This Row],[Type]]="EM",IF((Table3[[#This Row],[Diameter]]/2)-Table3[[#This Row],[CornerRadius]]-0.012&gt;0,(Table3[[#This Row],[Diameter]]/2)-Table3[[#This Row],[CornerRadius]]-0.012,0),)</f>
        <v>0</v>
      </c>
      <c r="CE578" s="6" t="str">
        <f>IF(Table3[[#This Row],[ShoulderLength]]="","",IF(Table3[[#This Row],[ShoulderLength]]&lt;Table3[[#This Row],[LOC]],"FIX",""))</f>
        <v/>
      </c>
    </row>
    <row r="579" spans="1:83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v>0</v>
      </c>
      <c r="BN579" s="6">
        <v>0</v>
      </c>
      <c r="BO579" s="6">
        <v>0</v>
      </c>
      <c r="BP579" s="6">
        <v>0</v>
      </c>
      <c r="BQ579" s="6">
        <v>0</v>
      </c>
      <c r="BR579" s="6">
        <v>0</v>
      </c>
      <c r="BS579" s="6">
        <v>0</v>
      </c>
      <c r="BT579" s="6">
        <v>0</v>
      </c>
      <c r="BU579" s="6">
        <v>0</v>
      </c>
      <c r="BV579" s="6">
        <v>0</v>
      </c>
      <c r="BW579" s="6">
        <v>0</v>
      </c>
      <c r="BX579" s="6">
        <v>0</v>
      </c>
      <c r="BY579" s="6">
        <v>0</v>
      </c>
      <c r="BZ579" s="6">
        <v>0</v>
      </c>
      <c r="CA579" s="6">
        <v>0</v>
      </c>
      <c r="CB579" s="6">
        <v>0</v>
      </c>
      <c r="CC579" s="6">
        <f>IF(Table3[[#This Row],[Type]]="EM",IF((Table3[[#This Row],[Diameter]]/2)-Table3[[#This Row],[CornerRadius]]-0.012&gt;0,(Table3[[#This Row],[Diameter]]/2)-Table3[[#This Row],[CornerRadius]]-0.012,0),)</f>
        <v>0</v>
      </c>
      <c r="CE579" s="6" t="str">
        <f>IF(Table3[[#This Row],[ShoulderLength]]="","",IF(Table3[[#This Row],[ShoulderLength]]&lt;Table3[[#This Row],[LOC]],"FIX",""))</f>
        <v/>
      </c>
    </row>
    <row r="580" spans="1:83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v>0</v>
      </c>
      <c r="BN580" s="6">
        <v>0</v>
      </c>
      <c r="BO580" s="6">
        <v>0</v>
      </c>
      <c r="BP580" s="6">
        <v>0</v>
      </c>
      <c r="BQ580" s="6">
        <v>0</v>
      </c>
      <c r="BR580" s="6">
        <v>0</v>
      </c>
      <c r="BS580" s="6">
        <v>0</v>
      </c>
      <c r="BT580" s="6">
        <v>0</v>
      </c>
      <c r="BU580" s="6">
        <v>0</v>
      </c>
      <c r="BV580" s="6">
        <v>0</v>
      </c>
      <c r="BW580" s="6">
        <v>0</v>
      </c>
      <c r="BX580" s="6">
        <v>0</v>
      </c>
      <c r="BY580" s="6">
        <v>0</v>
      </c>
      <c r="BZ580" s="6">
        <v>0</v>
      </c>
      <c r="CA580" s="6">
        <v>0</v>
      </c>
      <c r="CB580" s="6">
        <v>0</v>
      </c>
      <c r="CC580" s="6">
        <f>IF(Table3[[#This Row],[Type]]="EM",IF((Table3[[#This Row],[Diameter]]/2)-Table3[[#This Row],[CornerRadius]]-0.012&gt;0,(Table3[[#This Row],[Diameter]]/2)-Table3[[#This Row],[CornerRadius]]-0.012,0),)</f>
        <v>0</v>
      </c>
      <c r="CE580" s="6" t="str">
        <f>IF(Table3[[#This Row],[ShoulderLength]]="","",IF(Table3[[#This Row],[ShoulderLength]]&lt;Table3[[#This Row],[LOC]],"FIX",""))</f>
        <v/>
      </c>
    </row>
    <row r="581" spans="1:83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v>0</v>
      </c>
      <c r="BN581" s="6">
        <v>0</v>
      </c>
      <c r="BO581" s="6">
        <v>0</v>
      </c>
      <c r="BP581" s="6">
        <v>0</v>
      </c>
      <c r="BQ581" s="6">
        <v>0</v>
      </c>
      <c r="BR581" s="6">
        <v>0</v>
      </c>
      <c r="BS581" s="6">
        <v>0</v>
      </c>
      <c r="BT581" s="6">
        <v>0</v>
      </c>
      <c r="BU581" s="6">
        <v>0</v>
      </c>
      <c r="BV581" s="6">
        <v>0</v>
      </c>
      <c r="BW581" s="6">
        <v>0</v>
      </c>
      <c r="BX581" s="6">
        <v>0</v>
      </c>
      <c r="BY581" s="6">
        <v>0</v>
      </c>
      <c r="BZ581" s="6">
        <v>0</v>
      </c>
      <c r="CA581" s="6">
        <v>0</v>
      </c>
      <c r="CB581" s="6">
        <v>0</v>
      </c>
      <c r="CC581" s="6">
        <f>IF(Table3[[#This Row],[Type]]="EM",IF((Table3[[#This Row],[Diameter]]/2)-Table3[[#This Row],[CornerRadius]]-0.012&gt;0,(Table3[[#This Row],[Diameter]]/2)-Table3[[#This Row],[CornerRadius]]-0.012,0),)</f>
        <v>0</v>
      </c>
      <c r="CE581" s="6" t="str">
        <f>IF(Table3[[#This Row],[ShoulderLength]]="","",IF(Table3[[#This Row],[ShoulderLength]]&lt;Table3[[#This Row],[LOC]],"FIX",""))</f>
        <v/>
      </c>
    </row>
    <row r="582" spans="1:83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v>0</v>
      </c>
      <c r="BN582" s="6">
        <v>0</v>
      </c>
      <c r="BO582" s="6">
        <v>0</v>
      </c>
      <c r="BP582" s="6">
        <v>0</v>
      </c>
      <c r="BQ582" s="6">
        <v>0</v>
      </c>
      <c r="BR582" s="6">
        <v>0</v>
      </c>
      <c r="BS582" s="6">
        <v>0</v>
      </c>
      <c r="BT582" s="6">
        <v>0</v>
      </c>
      <c r="BU582" s="6">
        <v>0</v>
      </c>
      <c r="BV582" s="6">
        <v>0</v>
      </c>
      <c r="BW582" s="6">
        <v>0</v>
      </c>
      <c r="BX582" s="6">
        <v>0</v>
      </c>
      <c r="BY582" s="6">
        <v>0</v>
      </c>
      <c r="BZ582" s="6">
        <v>0</v>
      </c>
      <c r="CA582" s="6">
        <v>0</v>
      </c>
      <c r="CB582" s="6">
        <v>0</v>
      </c>
      <c r="CC582" s="6">
        <f>IF(Table3[[#This Row],[Type]]="EM",IF((Table3[[#This Row],[Diameter]]/2)-Table3[[#This Row],[CornerRadius]]-0.012&gt;0,(Table3[[#This Row],[Diameter]]/2)-Table3[[#This Row],[CornerRadius]]-0.012,0),)</f>
        <v>0</v>
      </c>
      <c r="CE582" s="6" t="str">
        <f>IF(Table3[[#This Row],[ShoulderLength]]="","",IF(Table3[[#This Row],[ShoulderLength]]&lt;Table3[[#This Row],[LOC]],"FIX",""))</f>
        <v/>
      </c>
    </row>
    <row r="583" spans="1:83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v>0</v>
      </c>
      <c r="BN583" s="6">
        <v>0</v>
      </c>
      <c r="BO583" s="6">
        <v>0</v>
      </c>
      <c r="BP583" s="6">
        <v>0</v>
      </c>
      <c r="BQ583" s="6">
        <v>0</v>
      </c>
      <c r="BR583" s="6">
        <v>0</v>
      </c>
      <c r="BS583" s="6">
        <v>0</v>
      </c>
      <c r="BT583" s="6">
        <v>0</v>
      </c>
      <c r="BU583" s="6">
        <v>0</v>
      </c>
      <c r="BV583" s="6">
        <v>0</v>
      </c>
      <c r="BW583" s="6">
        <v>0</v>
      </c>
      <c r="BX583" s="6">
        <v>0</v>
      </c>
      <c r="BY583" s="6">
        <v>0</v>
      </c>
      <c r="BZ583" s="6">
        <v>0</v>
      </c>
      <c r="CA583" s="6">
        <v>0</v>
      </c>
      <c r="CB583" s="6">
        <v>0</v>
      </c>
      <c r="CC583" s="6">
        <f>IF(Table3[[#This Row],[Type]]="EM",IF((Table3[[#This Row],[Diameter]]/2)-Table3[[#This Row],[CornerRadius]]-0.012&gt;0,(Table3[[#This Row],[Diameter]]/2)-Table3[[#This Row],[CornerRadius]]-0.012,0),)</f>
        <v>0</v>
      </c>
      <c r="CE583" s="6" t="str">
        <f>IF(Table3[[#This Row],[ShoulderLength]]="","",IF(Table3[[#This Row],[ShoulderLength]]&lt;Table3[[#This Row],[LOC]],"FIX",""))</f>
        <v/>
      </c>
    </row>
    <row r="584" spans="1:83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v>0</v>
      </c>
      <c r="BN584" s="6">
        <v>0</v>
      </c>
      <c r="BO584" s="6">
        <v>0</v>
      </c>
      <c r="BP584" s="6">
        <v>0</v>
      </c>
      <c r="BQ584" s="6">
        <v>0</v>
      </c>
      <c r="BR584" s="6">
        <v>0</v>
      </c>
      <c r="BS584" s="6">
        <v>0</v>
      </c>
      <c r="BT584" s="6">
        <v>0</v>
      </c>
      <c r="BU584" s="6">
        <v>0</v>
      </c>
      <c r="BV584" s="6">
        <v>0</v>
      </c>
      <c r="BW584" s="6">
        <v>0</v>
      </c>
      <c r="BX584" s="6">
        <v>0</v>
      </c>
      <c r="BY584" s="6">
        <v>0</v>
      </c>
      <c r="BZ584" s="6">
        <v>0</v>
      </c>
      <c r="CA584" s="6">
        <v>0</v>
      </c>
      <c r="CB584" s="6">
        <v>0</v>
      </c>
      <c r="CC584" s="6">
        <f>IF(Table3[[#This Row],[Type]]="EM",IF((Table3[[#This Row],[Diameter]]/2)-Table3[[#This Row],[CornerRadius]]-0.012&gt;0,(Table3[[#This Row],[Diameter]]/2)-Table3[[#This Row],[CornerRadius]]-0.012,0),)</f>
        <v>0</v>
      </c>
      <c r="CE584" s="6" t="str">
        <f>IF(Table3[[#This Row],[ShoulderLength]]="","",IF(Table3[[#This Row],[ShoulderLength]]&lt;Table3[[#This Row],[LOC]],"FIX",""))</f>
        <v/>
      </c>
    </row>
    <row r="585" spans="1:83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v>0</v>
      </c>
      <c r="BN585" s="6">
        <v>0</v>
      </c>
      <c r="BO585" s="6">
        <v>0</v>
      </c>
      <c r="BP585" s="6">
        <v>0</v>
      </c>
      <c r="BQ585" s="6">
        <v>0</v>
      </c>
      <c r="BR585" s="6">
        <v>0</v>
      </c>
      <c r="BS585" s="6">
        <v>0</v>
      </c>
      <c r="BT585" s="6">
        <v>0</v>
      </c>
      <c r="BU585" s="6">
        <v>0</v>
      </c>
      <c r="BV585" s="6">
        <v>0</v>
      </c>
      <c r="BW585" s="6">
        <v>0</v>
      </c>
      <c r="BX585" s="6">
        <v>0</v>
      </c>
      <c r="BY585" s="6">
        <v>0</v>
      </c>
      <c r="BZ585" s="6">
        <v>0</v>
      </c>
      <c r="CA585" s="6">
        <v>0</v>
      </c>
      <c r="CB585" s="6">
        <v>0</v>
      </c>
      <c r="CC585" s="6">
        <f>IF(Table3[[#This Row],[Type]]="EM",IF((Table3[[#This Row],[Diameter]]/2)-Table3[[#This Row],[CornerRadius]]-0.012&gt;0,(Table3[[#This Row],[Diameter]]/2)-Table3[[#This Row],[CornerRadius]]-0.012,0),)</f>
        <v>0</v>
      </c>
      <c r="CE585" s="6" t="str">
        <f>IF(Table3[[#This Row],[ShoulderLength]]="","",IF(Table3[[#This Row],[ShoulderLength]]&lt;Table3[[#This Row],[LOC]],"FIX",""))</f>
        <v/>
      </c>
    </row>
    <row r="586" spans="1:83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v>0</v>
      </c>
      <c r="BN586" s="6">
        <v>0</v>
      </c>
      <c r="BO586" s="6">
        <v>0</v>
      </c>
      <c r="BP586" s="6">
        <v>0</v>
      </c>
      <c r="BQ586" s="6">
        <v>0</v>
      </c>
      <c r="BR586" s="6">
        <v>0</v>
      </c>
      <c r="BS586" s="6">
        <v>0</v>
      </c>
      <c r="BT586" s="6">
        <v>0</v>
      </c>
      <c r="BU586" s="6">
        <v>0</v>
      </c>
      <c r="BV586" s="6">
        <v>0</v>
      </c>
      <c r="BW586" s="6">
        <v>0</v>
      </c>
      <c r="BX586" s="6">
        <v>0</v>
      </c>
      <c r="BY586" s="6">
        <v>0</v>
      </c>
      <c r="BZ586" s="6">
        <v>0</v>
      </c>
      <c r="CA586" s="6">
        <v>0</v>
      </c>
      <c r="CB586" s="6">
        <v>0</v>
      </c>
      <c r="CC586" s="6">
        <f>IF(Table3[[#This Row],[Type]]="EM",IF((Table3[[#This Row],[Diameter]]/2)-Table3[[#This Row],[CornerRadius]]-0.012&gt;0,(Table3[[#This Row],[Diameter]]/2)-Table3[[#This Row],[CornerRadius]]-0.012,0),)</f>
        <v>0</v>
      </c>
      <c r="CE586" s="6" t="str">
        <f>IF(Table3[[#This Row],[ShoulderLength]]="","",IF(Table3[[#This Row],[ShoulderLength]]&lt;Table3[[#This Row],[LOC]],"FIX",""))</f>
        <v/>
      </c>
    </row>
    <row r="587" spans="1:83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v>0</v>
      </c>
      <c r="BN587" s="6">
        <v>0</v>
      </c>
      <c r="BO587" s="6">
        <v>0</v>
      </c>
      <c r="BP587" s="6">
        <v>0</v>
      </c>
      <c r="BQ587" s="6">
        <v>0</v>
      </c>
      <c r="BR587" s="6">
        <v>0</v>
      </c>
      <c r="BS587" s="6">
        <v>0</v>
      </c>
      <c r="BT587" s="6">
        <v>0</v>
      </c>
      <c r="BU587" s="6">
        <v>0</v>
      </c>
      <c r="BV587" s="6">
        <v>0</v>
      </c>
      <c r="BW587" s="6">
        <v>0</v>
      </c>
      <c r="BX587" s="6">
        <v>0</v>
      </c>
      <c r="BY587" s="6">
        <v>0</v>
      </c>
      <c r="BZ587" s="6">
        <v>0</v>
      </c>
      <c r="CA587" s="6">
        <v>0</v>
      </c>
      <c r="CB587" s="6">
        <v>0</v>
      </c>
      <c r="CC587" s="6">
        <f>IF(Table3[[#This Row],[Type]]="EM",IF((Table3[[#This Row],[Diameter]]/2)-Table3[[#This Row],[CornerRadius]]-0.012&gt;0,(Table3[[#This Row],[Diameter]]/2)-Table3[[#This Row],[CornerRadius]]-0.012,0),)</f>
        <v>0</v>
      </c>
      <c r="CE587" s="6" t="str">
        <f>IF(Table3[[#This Row],[ShoulderLength]]="","",IF(Table3[[#This Row],[ShoulderLength]]&lt;Table3[[#This Row],[LOC]],"FIX",""))</f>
        <v/>
      </c>
    </row>
    <row r="588" spans="1:83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v>0</v>
      </c>
      <c r="BN588" s="6">
        <v>0</v>
      </c>
      <c r="BO588" s="6">
        <v>0</v>
      </c>
      <c r="BP588" s="6">
        <v>0</v>
      </c>
      <c r="BQ588" s="6">
        <v>0</v>
      </c>
      <c r="BR588" s="6">
        <v>0</v>
      </c>
      <c r="BS588" s="6">
        <v>0</v>
      </c>
      <c r="BT588" s="6">
        <v>0</v>
      </c>
      <c r="BU588" s="6">
        <v>0</v>
      </c>
      <c r="BV588" s="6">
        <v>0</v>
      </c>
      <c r="BW588" s="6">
        <v>0</v>
      </c>
      <c r="BX588" s="6">
        <v>0</v>
      </c>
      <c r="BY588" s="6">
        <v>0</v>
      </c>
      <c r="BZ588" s="6">
        <v>0</v>
      </c>
      <c r="CA588" s="6">
        <v>0</v>
      </c>
      <c r="CB588" s="6">
        <v>0</v>
      </c>
      <c r="CC588" s="6">
        <f>IF(Table3[[#This Row],[Type]]="EM",IF((Table3[[#This Row],[Diameter]]/2)-Table3[[#This Row],[CornerRadius]]-0.012&gt;0,(Table3[[#This Row],[Diameter]]/2)-Table3[[#This Row],[CornerRadius]]-0.012,0),)</f>
        <v>0</v>
      </c>
      <c r="CE588" s="6" t="str">
        <f>IF(Table3[[#This Row],[ShoulderLength]]="","",IF(Table3[[#This Row],[ShoulderLength]]&lt;Table3[[#This Row],[LOC]],"FIX",""))</f>
        <v/>
      </c>
    </row>
    <row r="589" spans="1:83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v>0</v>
      </c>
      <c r="BN589" s="6">
        <v>0</v>
      </c>
      <c r="BO589" s="6">
        <v>0</v>
      </c>
      <c r="BP589" s="6">
        <v>0</v>
      </c>
      <c r="BQ589" s="6">
        <v>0</v>
      </c>
      <c r="BR589" s="6">
        <v>0</v>
      </c>
      <c r="BS589" s="6">
        <v>0</v>
      </c>
      <c r="BT589" s="6">
        <v>0</v>
      </c>
      <c r="BU589" s="6">
        <v>0</v>
      </c>
      <c r="BV589" s="6">
        <v>0</v>
      </c>
      <c r="BW589" s="6">
        <v>0</v>
      </c>
      <c r="BX589" s="6">
        <v>0</v>
      </c>
      <c r="BY589" s="6">
        <v>0</v>
      </c>
      <c r="BZ589" s="6">
        <v>0</v>
      </c>
      <c r="CA589" s="6">
        <v>0</v>
      </c>
      <c r="CB589" s="6">
        <v>0</v>
      </c>
      <c r="CC589" s="6">
        <f>IF(Table3[[#This Row],[Type]]="EM",IF((Table3[[#This Row],[Diameter]]/2)-Table3[[#This Row],[CornerRadius]]-0.012&gt;0,(Table3[[#This Row],[Diameter]]/2)-Table3[[#This Row],[CornerRadius]]-0.012,0),)</f>
        <v>0</v>
      </c>
      <c r="CE589" s="6" t="str">
        <f>IF(Table3[[#This Row],[ShoulderLength]]="","",IF(Table3[[#This Row],[ShoulderLength]]&lt;Table3[[#This Row],[LOC]],"FIX",""))</f>
        <v/>
      </c>
    </row>
    <row r="590" spans="1:83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v>0</v>
      </c>
      <c r="BN590" s="6">
        <v>0</v>
      </c>
      <c r="BO590" s="6">
        <v>0</v>
      </c>
      <c r="BP590" s="6">
        <v>0</v>
      </c>
      <c r="BQ590" s="6">
        <v>0</v>
      </c>
      <c r="BR590" s="6">
        <v>0</v>
      </c>
      <c r="BS590" s="6">
        <v>0</v>
      </c>
      <c r="BT590" s="6">
        <v>0</v>
      </c>
      <c r="BU590" s="6">
        <v>0</v>
      </c>
      <c r="BV590" s="6">
        <v>0</v>
      </c>
      <c r="BW590" s="6">
        <v>0</v>
      </c>
      <c r="BX590" s="6">
        <v>0</v>
      </c>
      <c r="BY590" s="6">
        <v>0</v>
      </c>
      <c r="BZ590" s="6">
        <v>0</v>
      </c>
      <c r="CA590" s="6">
        <v>0</v>
      </c>
      <c r="CB590" s="6">
        <v>0</v>
      </c>
      <c r="CC590" s="6">
        <f>IF(Table3[[#This Row],[Type]]="EM",IF((Table3[[#This Row],[Diameter]]/2)-Table3[[#This Row],[CornerRadius]]-0.012&gt;0,(Table3[[#This Row],[Diameter]]/2)-Table3[[#This Row],[CornerRadius]]-0.012,0),)</f>
        <v>0</v>
      </c>
      <c r="CE590" s="6" t="str">
        <f>IF(Table3[[#This Row],[ShoulderLength]]="","",IF(Table3[[#This Row],[ShoulderLength]]&lt;Table3[[#This Row],[LOC]],"FIX",""))</f>
        <v/>
      </c>
    </row>
    <row r="591" spans="1:83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v>0</v>
      </c>
      <c r="BN591" s="6">
        <v>0</v>
      </c>
      <c r="BO591" s="6">
        <v>0</v>
      </c>
      <c r="BP591" s="6">
        <v>0</v>
      </c>
      <c r="BQ591" s="6">
        <v>0</v>
      </c>
      <c r="BR591" s="6">
        <v>0</v>
      </c>
      <c r="BS591" s="6">
        <v>0</v>
      </c>
      <c r="BT591" s="6">
        <v>0</v>
      </c>
      <c r="BU591" s="6">
        <v>0</v>
      </c>
      <c r="BV591" s="6">
        <v>0</v>
      </c>
      <c r="BW591" s="6">
        <v>0</v>
      </c>
      <c r="BX591" s="6">
        <v>0</v>
      </c>
      <c r="BY591" s="6">
        <v>0</v>
      </c>
      <c r="BZ591" s="6">
        <v>0</v>
      </c>
      <c r="CA591" s="6">
        <v>0</v>
      </c>
      <c r="CB591" s="6">
        <v>0</v>
      </c>
      <c r="CC591" s="6">
        <f>IF(Table3[[#This Row],[Type]]="EM",IF((Table3[[#This Row],[Diameter]]/2)-Table3[[#This Row],[CornerRadius]]-0.012&gt;0,(Table3[[#This Row],[Diameter]]/2)-Table3[[#This Row],[CornerRadius]]-0.012,0),)</f>
        <v>0</v>
      </c>
      <c r="CE591" s="6" t="str">
        <f>IF(Table3[[#This Row],[ShoulderLength]]="","",IF(Table3[[#This Row],[ShoulderLength]]&lt;Table3[[#This Row],[LOC]],"FIX",""))</f>
        <v/>
      </c>
    </row>
    <row r="592" spans="1:83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v>0</v>
      </c>
      <c r="BN592" s="6">
        <v>0</v>
      </c>
      <c r="BO592" s="6">
        <v>0</v>
      </c>
      <c r="BP592" s="6">
        <v>0</v>
      </c>
      <c r="BQ592" s="6">
        <v>0</v>
      </c>
      <c r="BR592" s="6">
        <v>0</v>
      </c>
      <c r="BS592" s="6">
        <v>0</v>
      </c>
      <c r="BT592" s="6">
        <v>0</v>
      </c>
      <c r="BU592" s="6">
        <v>0</v>
      </c>
      <c r="BV592" s="6">
        <v>0</v>
      </c>
      <c r="BW592" s="6">
        <v>0</v>
      </c>
      <c r="BX592" s="6">
        <v>0</v>
      </c>
      <c r="BY592" s="6">
        <v>0</v>
      </c>
      <c r="BZ592" s="6">
        <v>0</v>
      </c>
      <c r="CA592" s="6">
        <v>0</v>
      </c>
      <c r="CB592" s="6">
        <v>0</v>
      </c>
      <c r="CC592" s="6">
        <f>IF(Table3[[#This Row],[Type]]="EM",IF((Table3[[#This Row],[Diameter]]/2)-Table3[[#This Row],[CornerRadius]]-0.012&gt;0,(Table3[[#This Row],[Diameter]]/2)-Table3[[#This Row],[CornerRadius]]-0.012,0),)</f>
        <v>0</v>
      </c>
      <c r="CE592" s="6" t="str">
        <f>IF(Table3[[#This Row],[ShoulderLength]]="","",IF(Table3[[#This Row],[ShoulderLength]]&lt;Table3[[#This Row],[LOC]],"FIX",""))</f>
        <v/>
      </c>
    </row>
    <row r="593" spans="1:83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v>0</v>
      </c>
      <c r="BN593" s="6">
        <v>0</v>
      </c>
      <c r="BO593" s="6">
        <v>0</v>
      </c>
      <c r="BP593" s="6">
        <v>0</v>
      </c>
      <c r="BQ593" s="6">
        <v>0</v>
      </c>
      <c r="BR593" s="6">
        <v>0</v>
      </c>
      <c r="BS593" s="6">
        <v>0</v>
      </c>
      <c r="BT593" s="6">
        <v>0</v>
      </c>
      <c r="BU593" s="6">
        <v>0</v>
      </c>
      <c r="BV593" s="6">
        <v>0</v>
      </c>
      <c r="BW593" s="6">
        <v>0</v>
      </c>
      <c r="BX593" s="6">
        <v>0</v>
      </c>
      <c r="BY593" s="6">
        <v>0</v>
      </c>
      <c r="BZ593" s="6">
        <v>0</v>
      </c>
      <c r="CA593" s="6">
        <v>0</v>
      </c>
      <c r="CB593" s="6">
        <v>0</v>
      </c>
      <c r="CC593" s="6">
        <f>IF(Table3[[#This Row],[Type]]="EM",IF((Table3[[#This Row],[Diameter]]/2)-Table3[[#This Row],[CornerRadius]]-0.012&gt;0,(Table3[[#This Row],[Diameter]]/2)-Table3[[#This Row],[CornerRadius]]-0.012,0),)</f>
        <v>0</v>
      </c>
      <c r="CE593" s="6" t="str">
        <f>IF(Table3[[#This Row],[ShoulderLength]]="","",IF(Table3[[#This Row],[ShoulderLength]]&lt;Table3[[#This Row],[LOC]],"FIX",""))</f>
        <v/>
      </c>
    </row>
    <row r="594" spans="1:83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v>0</v>
      </c>
      <c r="BN594" s="6">
        <v>0</v>
      </c>
      <c r="BO594" s="6">
        <v>0</v>
      </c>
      <c r="BP594" s="6">
        <v>0</v>
      </c>
      <c r="BQ594" s="6">
        <v>0</v>
      </c>
      <c r="BR594" s="6">
        <v>0</v>
      </c>
      <c r="BS594" s="6">
        <v>0</v>
      </c>
      <c r="BT594" s="6">
        <v>0</v>
      </c>
      <c r="BU594" s="6">
        <v>0</v>
      </c>
      <c r="BV594" s="6">
        <v>0</v>
      </c>
      <c r="BW594" s="6">
        <v>0</v>
      </c>
      <c r="BX594" s="6">
        <v>0</v>
      </c>
      <c r="BY594" s="6">
        <v>0</v>
      </c>
      <c r="BZ594" s="6">
        <v>0</v>
      </c>
      <c r="CA594" s="6">
        <v>0</v>
      </c>
      <c r="CB594" s="6">
        <v>0</v>
      </c>
      <c r="CC594" s="6">
        <f>IF(Table3[[#This Row],[Type]]="EM",IF((Table3[[#This Row],[Diameter]]/2)-Table3[[#This Row],[CornerRadius]]-0.012&gt;0,(Table3[[#This Row],[Diameter]]/2)-Table3[[#This Row],[CornerRadius]]-0.012,0),)</f>
        <v>0</v>
      </c>
      <c r="CE594" s="6" t="str">
        <f>IF(Table3[[#This Row],[ShoulderLength]]="","",IF(Table3[[#This Row],[ShoulderLength]]&lt;Table3[[#This Row],[LOC]],"FIX",""))</f>
        <v/>
      </c>
    </row>
    <row r="595" spans="1:83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v>0</v>
      </c>
      <c r="BN595" s="6">
        <v>0</v>
      </c>
      <c r="BO595" s="6">
        <v>0</v>
      </c>
      <c r="BP595" s="6">
        <v>0</v>
      </c>
      <c r="BQ595" s="6">
        <v>0</v>
      </c>
      <c r="BR595" s="6">
        <v>0</v>
      </c>
      <c r="BS595" s="6">
        <v>0</v>
      </c>
      <c r="BT595" s="6">
        <v>0</v>
      </c>
      <c r="BU595" s="6">
        <v>0</v>
      </c>
      <c r="BV595" s="6">
        <v>0</v>
      </c>
      <c r="BW595" s="6">
        <v>0</v>
      </c>
      <c r="BX595" s="6">
        <v>0</v>
      </c>
      <c r="BY595" s="6">
        <v>0</v>
      </c>
      <c r="BZ595" s="6">
        <v>0</v>
      </c>
      <c r="CA595" s="6">
        <v>0</v>
      </c>
      <c r="CB595" s="6">
        <v>0</v>
      </c>
      <c r="CC595" s="6">
        <f>IF(Table3[[#This Row],[Type]]="EM",IF((Table3[[#This Row],[Diameter]]/2)-Table3[[#This Row],[CornerRadius]]-0.012&gt;0,(Table3[[#This Row],[Diameter]]/2)-Table3[[#This Row],[CornerRadius]]-0.012,0),)</f>
        <v>0</v>
      </c>
      <c r="CE595" s="6" t="str">
        <f>IF(Table3[[#This Row],[ShoulderLength]]="","",IF(Table3[[#This Row],[ShoulderLength]]&lt;Table3[[#This Row],[LOC]],"FIX",""))</f>
        <v/>
      </c>
    </row>
    <row r="596" spans="1:83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v>0</v>
      </c>
      <c r="BN596" s="6">
        <v>0</v>
      </c>
      <c r="BO596" s="6">
        <v>0</v>
      </c>
      <c r="BP596" s="6">
        <v>0</v>
      </c>
      <c r="BQ596" s="6">
        <v>0</v>
      </c>
      <c r="BR596" s="6">
        <v>0</v>
      </c>
      <c r="BS596" s="6">
        <v>0</v>
      </c>
      <c r="BT596" s="6">
        <v>0</v>
      </c>
      <c r="BU596" s="6">
        <v>0</v>
      </c>
      <c r="BV596" s="6">
        <v>0</v>
      </c>
      <c r="BW596" s="6">
        <v>0</v>
      </c>
      <c r="BX596" s="6">
        <v>0</v>
      </c>
      <c r="BY596" s="6">
        <v>0</v>
      </c>
      <c r="BZ596" s="6">
        <v>0</v>
      </c>
      <c r="CA596" s="6">
        <v>0</v>
      </c>
      <c r="CB596" s="6">
        <v>0</v>
      </c>
      <c r="CC596" s="6">
        <f>IF(Table3[[#This Row],[Type]]="EM",IF((Table3[[#This Row],[Diameter]]/2)-Table3[[#This Row],[CornerRadius]]-0.012&gt;0,(Table3[[#This Row],[Diameter]]/2)-Table3[[#This Row],[CornerRadius]]-0.012,0),)</f>
        <v>0</v>
      </c>
      <c r="CE596" s="6" t="str">
        <f>IF(Table3[[#This Row],[ShoulderLength]]="","",IF(Table3[[#This Row],[ShoulderLength]]&lt;Table3[[#This Row],[LOC]],"FIX",""))</f>
        <v/>
      </c>
    </row>
    <row r="597" spans="1:83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v>0</v>
      </c>
      <c r="BN597" s="6">
        <v>0</v>
      </c>
      <c r="BO597" s="6">
        <v>0</v>
      </c>
      <c r="BP597" s="6">
        <v>0</v>
      </c>
      <c r="BQ597" s="6">
        <v>0</v>
      </c>
      <c r="BR597" s="6">
        <v>0</v>
      </c>
      <c r="BS597" s="6">
        <v>0</v>
      </c>
      <c r="BT597" s="6">
        <v>0</v>
      </c>
      <c r="BU597" s="6">
        <v>0</v>
      </c>
      <c r="BV597" s="6">
        <v>0</v>
      </c>
      <c r="BW597" s="6">
        <v>0</v>
      </c>
      <c r="BX597" s="6">
        <v>0</v>
      </c>
      <c r="BY597" s="6">
        <v>0</v>
      </c>
      <c r="BZ597" s="6">
        <v>0</v>
      </c>
      <c r="CA597" s="6">
        <v>0</v>
      </c>
      <c r="CB597" s="6">
        <v>0</v>
      </c>
      <c r="CC597" s="6">
        <f>IF(Table3[[#This Row],[Type]]="EM",IF((Table3[[#This Row],[Diameter]]/2)-Table3[[#This Row],[CornerRadius]]-0.012&gt;0,(Table3[[#This Row],[Diameter]]/2)-Table3[[#This Row],[CornerRadius]]-0.012,0),)</f>
        <v>0</v>
      </c>
      <c r="CE597" s="6" t="str">
        <f>IF(Table3[[#This Row],[ShoulderLength]]="","",IF(Table3[[#This Row],[ShoulderLength]]&lt;Table3[[#This Row],[LOC]],"FIX",""))</f>
        <v/>
      </c>
    </row>
    <row r="598" spans="1:83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v>0</v>
      </c>
      <c r="BN598" s="6">
        <v>0</v>
      </c>
      <c r="BO598" s="6">
        <v>0</v>
      </c>
      <c r="BP598" s="6">
        <v>0</v>
      </c>
      <c r="BQ598" s="6">
        <v>0</v>
      </c>
      <c r="BR598" s="6">
        <v>0</v>
      </c>
      <c r="BS598" s="6">
        <v>0</v>
      </c>
      <c r="BT598" s="6">
        <v>0</v>
      </c>
      <c r="BU598" s="6">
        <v>0</v>
      </c>
      <c r="BV598" s="6">
        <v>0</v>
      </c>
      <c r="BW598" s="6">
        <v>0</v>
      </c>
      <c r="BX598" s="6">
        <v>0</v>
      </c>
      <c r="BY598" s="6">
        <v>0</v>
      </c>
      <c r="BZ598" s="6">
        <v>0</v>
      </c>
      <c r="CA598" s="6">
        <v>0</v>
      </c>
      <c r="CB598" s="6">
        <v>0</v>
      </c>
      <c r="CC598" s="6">
        <f>IF(Table3[[#This Row],[Type]]="EM",IF((Table3[[#This Row],[Diameter]]/2)-Table3[[#This Row],[CornerRadius]]-0.012&gt;0,(Table3[[#This Row],[Diameter]]/2)-Table3[[#This Row],[CornerRadius]]-0.012,0),)</f>
        <v>0</v>
      </c>
      <c r="CE598" s="6" t="str">
        <f>IF(Table3[[#This Row],[ShoulderLength]]="","",IF(Table3[[#This Row],[ShoulderLength]]&lt;Table3[[#This Row],[LOC]],"FIX",""))</f>
        <v/>
      </c>
    </row>
    <row r="599" spans="1:83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v>0</v>
      </c>
      <c r="BN599" s="6">
        <v>0</v>
      </c>
      <c r="BO599" s="6">
        <v>0</v>
      </c>
      <c r="BP599" s="6">
        <v>0</v>
      </c>
      <c r="BQ599" s="6">
        <v>0</v>
      </c>
      <c r="BR599" s="6">
        <v>0</v>
      </c>
      <c r="BS599" s="6">
        <v>0</v>
      </c>
      <c r="BT599" s="6">
        <v>0</v>
      </c>
      <c r="BU599" s="6">
        <v>0</v>
      </c>
      <c r="BV599" s="6">
        <v>0</v>
      </c>
      <c r="BW599" s="6">
        <v>0</v>
      </c>
      <c r="BX599" s="6">
        <v>0</v>
      </c>
      <c r="BY599" s="6">
        <v>0</v>
      </c>
      <c r="BZ599" s="6">
        <v>0</v>
      </c>
      <c r="CA599" s="6">
        <v>0</v>
      </c>
      <c r="CB599" s="6">
        <v>0</v>
      </c>
      <c r="CC599" s="6">
        <f>IF(Table3[[#This Row],[Type]]="EM",IF((Table3[[#This Row],[Diameter]]/2)-Table3[[#This Row],[CornerRadius]]-0.012&gt;0,(Table3[[#This Row],[Diameter]]/2)-Table3[[#This Row],[CornerRadius]]-0.012,0),)</f>
        <v>0</v>
      </c>
      <c r="CE599" s="6" t="str">
        <f>IF(Table3[[#This Row],[ShoulderLength]]="","",IF(Table3[[#This Row],[ShoulderLength]]&lt;Table3[[#This Row],[LOC]],"FIX",""))</f>
        <v/>
      </c>
    </row>
    <row r="600" spans="1:83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v>0</v>
      </c>
      <c r="BN600" s="6">
        <v>0</v>
      </c>
      <c r="BO600" s="6">
        <v>0</v>
      </c>
      <c r="BP600" s="6">
        <v>0</v>
      </c>
      <c r="BQ600" s="6">
        <v>0</v>
      </c>
      <c r="BR600" s="6">
        <v>0</v>
      </c>
      <c r="BS600" s="6">
        <v>0</v>
      </c>
      <c r="BT600" s="6">
        <v>0</v>
      </c>
      <c r="BU600" s="6">
        <v>0</v>
      </c>
      <c r="BV600" s="6">
        <v>0</v>
      </c>
      <c r="BW600" s="6">
        <v>0</v>
      </c>
      <c r="BX600" s="6">
        <v>0</v>
      </c>
      <c r="BY600" s="6">
        <v>0</v>
      </c>
      <c r="BZ600" s="6">
        <v>0</v>
      </c>
      <c r="CA600" s="6">
        <v>0</v>
      </c>
      <c r="CB600" s="6">
        <v>0</v>
      </c>
      <c r="CC600" s="6">
        <f>IF(Table3[[#This Row],[Type]]="EM",IF((Table3[[#This Row],[Diameter]]/2)-Table3[[#This Row],[CornerRadius]]-0.012&gt;0,(Table3[[#This Row],[Diameter]]/2)-Table3[[#This Row],[CornerRadius]]-0.012,0),)</f>
        <v>0</v>
      </c>
      <c r="CE600" s="6" t="str">
        <f>IF(Table3[[#This Row],[ShoulderLength]]="","",IF(Table3[[#This Row],[ShoulderLength]]&lt;Table3[[#This Row],[LOC]],"FIX",""))</f>
        <v/>
      </c>
    </row>
    <row r="601" spans="1:83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v>0</v>
      </c>
      <c r="BN601" s="6">
        <v>0</v>
      </c>
      <c r="BO601" s="6">
        <v>0</v>
      </c>
      <c r="BP601" s="6">
        <v>0</v>
      </c>
      <c r="BQ601" s="6">
        <v>0</v>
      </c>
      <c r="BR601" s="6">
        <v>0</v>
      </c>
      <c r="BS601" s="6">
        <v>0</v>
      </c>
      <c r="BT601" s="6">
        <v>0</v>
      </c>
      <c r="BU601" s="6">
        <v>0</v>
      </c>
      <c r="BV601" s="6">
        <v>0</v>
      </c>
      <c r="BW601" s="6">
        <v>0</v>
      </c>
      <c r="BX601" s="6">
        <v>0</v>
      </c>
      <c r="BY601" s="6">
        <v>0</v>
      </c>
      <c r="BZ601" s="6">
        <v>0</v>
      </c>
      <c r="CA601" s="6">
        <v>0</v>
      </c>
      <c r="CB601" s="6">
        <v>0</v>
      </c>
      <c r="CC601" s="6">
        <f>IF(Table3[[#This Row],[Type]]="EM",IF((Table3[[#This Row],[Diameter]]/2)-Table3[[#This Row],[CornerRadius]]-0.012&gt;0,(Table3[[#This Row],[Diameter]]/2)-Table3[[#This Row],[CornerRadius]]-0.012,0),)</f>
        <v>0</v>
      </c>
      <c r="CE601" s="6" t="str">
        <f>IF(Table3[[#This Row],[ShoulderLength]]="","",IF(Table3[[#This Row],[ShoulderLength]]&lt;Table3[[#This Row],[LOC]],"FIX",""))</f>
        <v/>
      </c>
    </row>
    <row r="602" spans="1:83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v>0</v>
      </c>
      <c r="BN602" s="6">
        <v>0</v>
      </c>
      <c r="BO602" s="6">
        <v>0</v>
      </c>
      <c r="BP602" s="6">
        <v>0</v>
      </c>
      <c r="BQ602" s="6">
        <v>0</v>
      </c>
      <c r="BR602" s="6">
        <v>0</v>
      </c>
      <c r="BS602" s="6">
        <v>0</v>
      </c>
      <c r="BT602" s="6">
        <v>0</v>
      </c>
      <c r="BU602" s="6">
        <v>0</v>
      </c>
      <c r="BV602" s="6">
        <v>0</v>
      </c>
      <c r="BW602" s="6">
        <v>0</v>
      </c>
      <c r="BX602" s="6">
        <v>0</v>
      </c>
      <c r="BY602" s="6">
        <v>0</v>
      </c>
      <c r="BZ602" s="6">
        <v>0</v>
      </c>
      <c r="CA602" s="6">
        <v>0</v>
      </c>
      <c r="CB602" s="6">
        <v>0</v>
      </c>
      <c r="CC602" s="6">
        <f>IF(Table3[[#This Row],[Type]]="EM",IF((Table3[[#This Row],[Diameter]]/2)-Table3[[#This Row],[CornerRadius]]-0.012&gt;0,(Table3[[#This Row],[Diameter]]/2)-Table3[[#This Row],[CornerRadius]]-0.012,0),)</f>
        <v>0</v>
      </c>
      <c r="CE602" s="6" t="str">
        <f>IF(Table3[[#This Row],[ShoulderLength]]="","",IF(Table3[[#This Row],[ShoulderLength]]&lt;Table3[[#This Row],[LOC]],"FIX",""))</f>
        <v/>
      </c>
    </row>
    <row r="603" spans="1:83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v>0</v>
      </c>
      <c r="BN603" s="6">
        <v>0</v>
      </c>
      <c r="BO603" s="6">
        <v>0</v>
      </c>
      <c r="BP603" s="6">
        <v>0</v>
      </c>
      <c r="BQ603" s="6">
        <v>0</v>
      </c>
      <c r="BR603" s="6">
        <v>0</v>
      </c>
      <c r="BS603" s="6">
        <v>0</v>
      </c>
      <c r="BT603" s="6">
        <v>0</v>
      </c>
      <c r="BU603" s="6">
        <v>0</v>
      </c>
      <c r="BV603" s="6">
        <v>0</v>
      </c>
      <c r="BW603" s="6">
        <v>0</v>
      </c>
      <c r="BX603" s="6">
        <v>0</v>
      </c>
      <c r="BY603" s="6">
        <v>0</v>
      </c>
      <c r="BZ603" s="6">
        <v>0</v>
      </c>
      <c r="CA603" s="6">
        <v>0</v>
      </c>
      <c r="CB603" s="6">
        <v>0</v>
      </c>
      <c r="CC603" s="6">
        <f>IF(Table3[[#This Row],[Type]]="EM",IF((Table3[[#This Row],[Diameter]]/2)-Table3[[#This Row],[CornerRadius]]-0.012&gt;0,(Table3[[#This Row],[Diameter]]/2)-Table3[[#This Row],[CornerRadius]]-0.012,0),)</f>
        <v>0</v>
      </c>
      <c r="CE603" s="6" t="str">
        <f>IF(Table3[[#This Row],[ShoulderLength]]="","",IF(Table3[[#This Row],[ShoulderLength]]&lt;Table3[[#This Row],[LOC]],"FIX",""))</f>
        <v/>
      </c>
    </row>
    <row r="604" spans="1:83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v>0</v>
      </c>
      <c r="BN604" s="6">
        <v>0</v>
      </c>
      <c r="BO604" s="6">
        <v>0</v>
      </c>
      <c r="BP604" s="6">
        <v>0</v>
      </c>
      <c r="BQ604" s="6">
        <v>0</v>
      </c>
      <c r="BR604" s="6">
        <v>0</v>
      </c>
      <c r="BS604" s="6">
        <v>0</v>
      </c>
      <c r="BT604" s="6">
        <v>0</v>
      </c>
      <c r="BU604" s="6">
        <v>0</v>
      </c>
      <c r="BV604" s="6">
        <v>0</v>
      </c>
      <c r="BW604" s="6">
        <v>0</v>
      </c>
      <c r="BX604" s="6">
        <v>0</v>
      </c>
      <c r="BY604" s="6">
        <v>0</v>
      </c>
      <c r="BZ604" s="6">
        <v>0</v>
      </c>
      <c r="CA604" s="6">
        <v>0</v>
      </c>
      <c r="CB604" s="6">
        <v>0</v>
      </c>
      <c r="CC604" s="6">
        <f>IF(Table3[[#This Row],[Type]]="EM",IF((Table3[[#This Row],[Diameter]]/2)-Table3[[#This Row],[CornerRadius]]-0.012&gt;0,(Table3[[#This Row],[Diameter]]/2)-Table3[[#This Row],[CornerRadius]]-0.012,0),)</f>
        <v>0</v>
      </c>
      <c r="CE604" s="6" t="str">
        <f>IF(Table3[[#This Row],[ShoulderLength]]="","",IF(Table3[[#This Row],[ShoulderLength]]&lt;Table3[[#This Row],[LOC]],"FIX",""))</f>
        <v/>
      </c>
    </row>
    <row r="605" spans="1:83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v>0</v>
      </c>
      <c r="BN605" s="6">
        <v>0</v>
      </c>
      <c r="BO605" s="6">
        <v>0</v>
      </c>
      <c r="BP605" s="6">
        <v>0</v>
      </c>
      <c r="BQ605" s="6">
        <v>0</v>
      </c>
      <c r="BR605" s="6">
        <v>0</v>
      </c>
      <c r="BS605" s="6">
        <v>0</v>
      </c>
      <c r="BT605" s="6">
        <v>0</v>
      </c>
      <c r="BU605" s="6">
        <v>0</v>
      </c>
      <c r="BV605" s="6">
        <v>0</v>
      </c>
      <c r="BW605" s="6">
        <v>0</v>
      </c>
      <c r="BX605" s="6">
        <v>0</v>
      </c>
      <c r="BY605" s="6">
        <v>0</v>
      </c>
      <c r="BZ605" s="6">
        <v>0</v>
      </c>
      <c r="CA605" s="6">
        <v>0</v>
      </c>
      <c r="CB605" s="6">
        <v>0</v>
      </c>
      <c r="CC605" s="6">
        <f>IF(Table3[[#This Row],[Type]]="EM",IF((Table3[[#This Row],[Diameter]]/2)-Table3[[#This Row],[CornerRadius]]-0.012&gt;0,(Table3[[#This Row],[Diameter]]/2)-Table3[[#This Row],[CornerRadius]]-0.012,0),)</f>
        <v>0</v>
      </c>
      <c r="CE605" s="6" t="str">
        <f>IF(Table3[[#This Row],[ShoulderLength]]="","",IF(Table3[[#This Row],[ShoulderLength]]&lt;Table3[[#This Row],[LOC]],"FIX",""))</f>
        <v/>
      </c>
    </row>
    <row r="606" spans="1:83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v>0</v>
      </c>
      <c r="BN606" s="6">
        <v>0</v>
      </c>
      <c r="BO606" s="6">
        <v>0</v>
      </c>
      <c r="BP606" s="6">
        <v>0</v>
      </c>
      <c r="BQ606" s="6">
        <v>0</v>
      </c>
      <c r="BR606" s="6">
        <v>0</v>
      </c>
      <c r="BS606" s="6">
        <v>0</v>
      </c>
      <c r="BT606" s="6">
        <v>0</v>
      </c>
      <c r="BU606" s="6">
        <v>0</v>
      </c>
      <c r="BV606" s="6">
        <v>0</v>
      </c>
      <c r="BW606" s="6">
        <v>0</v>
      </c>
      <c r="BX606" s="6">
        <v>0</v>
      </c>
      <c r="BY606" s="6">
        <v>0</v>
      </c>
      <c r="BZ606" s="6">
        <v>0</v>
      </c>
      <c r="CA606" s="6">
        <v>0</v>
      </c>
      <c r="CB606" s="6">
        <v>0</v>
      </c>
      <c r="CC606" s="6">
        <f>IF(Table3[[#This Row],[Type]]="EM",IF((Table3[[#This Row],[Diameter]]/2)-Table3[[#This Row],[CornerRadius]]-0.012&gt;0,(Table3[[#This Row],[Diameter]]/2)-Table3[[#This Row],[CornerRadius]]-0.012,0),)</f>
        <v>0</v>
      </c>
      <c r="CE606" s="6" t="str">
        <f>IF(Table3[[#This Row],[ShoulderLength]]="","",IF(Table3[[#This Row],[ShoulderLength]]&lt;Table3[[#This Row],[LOC]],"FIX",""))</f>
        <v/>
      </c>
    </row>
    <row r="607" spans="1:83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v>0</v>
      </c>
      <c r="BN607" s="6">
        <v>0</v>
      </c>
      <c r="BO607" s="6">
        <v>0</v>
      </c>
      <c r="BP607" s="6">
        <v>0</v>
      </c>
      <c r="BQ607" s="6">
        <v>0</v>
      </c>
      <c r="BR607" s="6">
        <v>0</v>
      </c>
      <c r="BS607" s="6">
        <v>0</v>
      </c>
      <c r="BT607" s="6">
        <v>0</v>
      </c>
      <c r="BU607" s="6">
        <v>0</v>
      </c>
      <c r="BV607" s="6">
        <v>0</v>
      </c>
      <c r="BW607" s="6">
        <v>0</v>
      </c>
      <c r="BX607" s="6">
        <v>0</v>
      </c>
      <c r="BY607" s="6">
        <v>0</v>
      </c>
      <c r="BZ607" s="6">
        <v>0</v>
      </c>
      <c r="CA607" s="6">
        <v>0</v>
      </c>
      <c r="CB607" s="6">
        <v>0</v>
      </c>
      <c r="CC607" s="6">
        <f>IF(Table3[[#This Row],[Type]]="EM",IF((Table3[[#This Row],[Diameter]]/2)-Table3[[#This Row],[CornerRadius]]-0.012&gt;0,(Table3[[#This Row],[Diameter]]/2)-Table3[[#This Row],[CornerRadius]]-0.012,0),)</f>
        <v>0</v>
      </c>
      <c r="CE607" s="6" t="str">
        <f>IF(Table3[[#This Row],[ShoulderLength]]="","",IF(Table3[[#This Row],[ShoulderLength]]&lt;Table3[[#This Row],[LOC]],"FIX",""))</f>
        <v/>
      </c>
    </row>
    <row r="608" spans="1:83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v>0</v>
      </c>
      <c r="BN608" s="6">
        <v>0</v>
      </c>
      <c r="BO608" s="6">
        <v>0</v>
      </c>
      <c r="BP608" s="6">
        <v>0</v>
      </c>
      <c r="BQ608" s="6">
        <v>0</v>
      </c>
      <c r="BR608" s="6">
        <v>0</v>
      </c>
      <c r="BS608" s="6">
        <v>0</v>
      </c>
      <c r="BT608" s="6">
        <v>0</v>
      </c>
      <c r="BU608" s="6">
        <v>0</v>
      </c>
      <c r="BV608" s="6">
        <v>0</v>
      </c>
      <c r="BW608" s="6">
        <v>0</v>
      </c>
      <c r="BX608" s="6">
        <v>0</v>
      </c>
      <c r="BY608" s="6">
        <v>0</v>
      </c>
      <c r="BZ608" s="6">
        <v>0</v>
      </c>
      <c r="CA608" s="6">
        <v>0</v>
      </c>
      <c r="CB608" s="6">
        <v>0</v>
      </c>
      <c r="CC608" s="6">
        <f>IF(Table3[[#This Row],[Type]]="EM",IF((Table3[[#This Row],[Diameter]]/2)-Table3[[#This Row],[CornerRadius]]-0.012&gt;0,(Table3[[#This Row],[Diameter]]/2)-Table3[[#This Row],[CornerRadius]]-0.012,0),)</f>
        <v>0</v>
      </c>
      <c r="CE608" s="6" t="str">
        <f>IF(Table3[[#This Row],[ShoulderLength]]="","",IF(Table3[[#This Row],[ShoulderLength]]&lt;Table3[[#This Row],[LOC]],"FIX",""))</f>
        <v/>
      </c>
    </row>
    <row r="609" spans="1:83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v>0</v>
      </c>
      <c r="BN609" s="6">
        <v>0</v>
      </c>
      <c r="BO609" s="6">
        <v>0</v>
      </c>
      <c r="BP609" s="6">
        <v>0</v>
      </c>
      <c r="BQ609" s="6">
        <v>0</v>
      </c>
      <c r="BR609" s="6">
        <v>0</v>
      </c>
      <c r="BS609" s="6">
        <v>0</v>
      </c>
      <c r="BT609" s="6">
        <v>0</v>
      </c>
      <c r="BU609" s="6">
        <v>0</v>
      </c>
      <c r="BV609" s="6">
        <v>0</v>
      </c>
      <c r="BW609" s="6">
        <v>0</v>
      </c>
      <c r="BX609" s="6">
        <v>0</v>
      </c>
      <c r="BY609" s="6">
        <v>0</v>
      </c>
      <c r="BZ609" s="6">
        <v>0</v>
      </c>
      <c r="CA609" s="6">
        <v>0</v>
      </c>
      <c r="CB609" s="6">
        <v>0</v>
      </c>
      <c r="CC609" s="6">
        <f>IF(Table3[[#This Row],[Type]]="EM",IF((Table3[[#This Row],[Diameter]]/2)-Table3[[#This Row],[CornerRadius]]-0.012&gt;0,(Table3[[#This Row],[Diameter]]/2)-Table3[[#This Row],[CornerRadius]]-0.012,0),)</f>
        <v>0</v>
      </c>
      <c r="CE609" s="6" t="str">
        <f>IF(Table3[[#This Row],[ShoulderLength]]="","",IF(Table3[[#This Row],[ShoulderLength]]&lt;Table3[[#This Row],[LOC]],"FIX",""))</f>
        <v/>
      </c>
    </row>
    <row r="610" spans="1:83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v>0</v>
      </c>
      <c r="BN610" s="6">
        <v>0</v>
      </c>
      <c r="BO610" s="6">
        <v>0</v>
      </c>
      <c r="BP610" s="6">
        <v>0</v>
      </c>
      <c r="BQ610" s="6">
        <v>0</v>
      </c>
      <c r="BR610" s="6">
        <v>0</v>
      </c>
      <c r="BS610" s="6">
        <v>0</v>
      </c>
      <c r="BT610" s="6">
        <v>0</v>
      </c>
      <c r="BU610" s="6">
        <v>0</v>
      </c>
      <c r="BV610" s="6">
        <v>0</v>
      </c>
      <c r="BW610" s="6">
        <v>0</v>
      </c>
      <c r="BX610" s="6">
        <v>0</v>
      </c>
      <c r="BY610" s="6">
        <v>0</v>
      </c>
      <c r="BZ610" s="6">
        <v>0</v>
      </c>
      <c r="CA610" s="6">
        <v>0</v>
      </c>
      <c r="CB610" s="6">
        <v>0</v>
      </c>
      <c r="CC610" s="6">
        <f>IF(Table3[[#This Row],[Type]]="EM",IF((Table3[[#This Row],[Diameter]]/2)-Table3[[#This Row],[CornerRadius]]-0.012&gt;0,(Table3[[#This Row],[Diameter]]/2)-Table3[[#This Row],[CornerRadius]]-0.012,0),)</f>
        <v>0</v>
      </c>
      <c r="CE610" s="6" t="str">
        <f>IF(Table3[[#This Row],[ShoulderLength]]="","",IF(Table3[[#This Row],[ShoulderLength]]&lt;Table3[[#This Row],[LOC]],"FIX",""))</f>
        <v/>
      </c>
    </row>
    <row r="611" spans="1:83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v>0</v>
      </c>
      <c r="BN611" s="6">
        <v>0</v>
      </c>
      <c r="BO611" s="6">
        <v>0</v>
      </c>
      <c r="BP611" s="6">
        <v>0</v>
      </c>
      <c r="BQ611" s="6">
        <v>0</v>
      </c>
      <c r="BR611" s="6">
        <v>0</v>
      </c>
      <c r="BS611" s="6">
        <v>0</v>
      </c>
      <c r="BT611" s="6">
        <v>0</v>
      </c>
      <c r="BU611" s="6">
        <v>0</v>
      </c>
      <c r="BV611" s="6">
        <v>0</v>
      </c>
      <c r="BW611" s="6">
        <v>0</v>
      </c>
      <c r="BX611" s="6">
        <v>0</v>
      </c>
      <c r="BY611" s="6">
        <v>0</v>
      </c>
      <c r="BZ611" s="6">
        <v>0</v>
      </c>
      <c r="CA611" s="6">
        <v>0</v>
      </c>
      <c r="CB611" s="6">
        <v>0</v>
      </c>
      <c r="CC611" s="6">
        <f>IF(Table3[[#This Row],[Type]]="EM",IF((Table3[[#This Row],[Diameter]]/2)-Table3[[#This Row],[CornerRadius]]-0.012&gt;0,(Table3[[#This Row],[Diameter]]/2)-Table3[[#This Row],[CornerRadius]]-0.012,0),)</f>
        <v>0</v>
      </c>
      <c r="CE611" s="6" t="str">
        <f>IF(Table3[[#This Row],[ShoulderLength]]="","",IF(Table3[[#This Row],[ShoulderLength]]&lt;Table3[[#This Row],[LOC]],"FIX",""))</f>
        <v/>
      </c>
    </row>
    <row r="612" spans="1:83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v>0</v>
      </c>
      <c r="BN612" s="6">
        <v>0</v>
      </c>
      <c r="BO612" s="6">
        <v>0</v>
      </c>
      <c r="BP612" s="6">
        <v>0</v>
      </c>
      <c r="BQ612" s="6">
        <v>0</v>
      </c>
      <c r="BR612" s="6">
        <v>0</v>
      </c>
      <c r="BS612" s="6">
        <v>0</v>
      </c>
      <c r="BT612" s="6">
        <v>0</v>
      </c>
      <c r="BU612" s="6">
        <v>0</v>
      </c>
      <c r="BV612" s="6">
        <v>0</v>
      </c>
      <c r="BW612" s="6">
        <v>0</v>
      </c>
      <c r="BX612" s="6">
        <v>0</v>
      </c>
      <c r="BY612" s="6">
        <v>0</v>
      </c>
      <c r="BZ612" s="6">
        <v>0</v>
      </c>
      <c r="CA612" s="6">
        <v>0</v>
      </c>
      <c r="CB612" s="6">
        <v>0</v>
      </c>
      <c r="CC612" s="6">
        <f>IF(Table3[[#This Row],[Type]]="EM",IF((Table3[[#This Row],[Diameter]]/2)-Table3[[#This Row],[CornerRadius]]-0.012&gt;0,(Table3[[#This Row],[Diameter]]/2)-Table3[[#This Row],[CornerRadius]]-0.012,0),)</f>
        <v>0</v>
      </c>
      <c r="CE612" s="6" t="str">
        <f>IF(Table3[[#This Row],[ShoulderLength]]="","",IF(Table3[[#This Row],[ShoulderLength]]&lt;Table3[[#This Row],[LOC]],"FIX",""))</f>
        <v/>
      </c>
    </row>
    <row r="613" spans="1:83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v>0</v>
      </c>
      <c r="BN613" s="6">
        <v>0</v>
      </c>
      <c r="BO613" s="6">
        <v>0</v>
      </c>
      <c r="BP613" s="6">
        <v>0</v>
      </c>
      <c r="BQ613" s="6">
        <v>0</v>
      </c>
      <c r="BR613" s="6">
        <v>0</v>
      </c>
      <c r="BS613" s="6">
        <v>0</v>
      </c>
      <c r="BT613" s="6">
        <v>0</v>
      </c>
      <c r="BU613" s="6">
        <v>0</v>
      </c>
      <c r="BV613" s="6">
        <v>0</v>
      </c>
      <c r="BW613" s="6">
        <v>0</v>
      </c>
      <c r="BX613" s="6">
        <v>0</v>
      </c>
      <c r="BY613" s="6">
        <v>0</v>
      </c>
      <c r="BZ613" s="6">
        <v>0</v>
      </c>
      <c r="CA613" s="6">
        <v>0</v>
      </c>
      <c r="CB613" s="6">
        <v>0</v>
      </c>
      <c r="CC613" s="6">
        <f>IF(Table3[[#This Row],[Type]]="EM",IF((Table3[[#This Row],[Diameter]]/2)-Table3[[#This Row],[CornerRadius]]-0.012&gt;0,(Table3[[#This Row],[Diameter]]/2)-Table3[[#This Row],[CornerRadius]]-0.012,0),)</f>
        <v>0</v>
      </c>
      <c r="CE613" s="6" t="str">
        <f>IF(Table3[[#This Row],[ShoulderLength]]="","",IF(Table3[[#This Row],[ShoulderLength]]&lt;Table3[[#This Row],[LOC]],"FIX",""))</f>
        <v/>
      </c>
    </row>
    <row r="614" spans="1:83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v>0</v>
      </c>
      <c r="BN614" s="6">
        <v>0</v>
      </c>
      <c r="BO614" s="6">
        <v>0</v>
      </c>
      <c r="BP614" s="6">
        <v>0</v>
      </c>
      <c r="BQ614" s="6">
        <v>0</v>
      </c>
      <c r="BR614" s="6">
        <v>0</v>
      </c>
      <c r="BS614" s="6">
        <v>0</v>
      </c>
      <c r="BT614" s="6">
        <v>0</v>
      </c>
      <c r="BU614" s="6">
        <v>0</v>
      </c>
      <c r="BV614" s="6">
        <v>0</v>
      </c>
      <c r="BW614" s="6">
        <v>0</v>
      </c>
      <c r="BX614" s="6">
        <v>0</v>
      </c>
      <c r="BY614" s="6">
        <v>0</v>
      </c>
      <c r="BZ614" s="6">
        <v>0</v>
      </c>
      <c r="CA614" s="6">
        <v>0</v>
      </c>
      <c r="CB614" s="6">
        <v>0</v>
      </c>
      <c r="CC614" s="6">
        <f>IF(Table3[[#This Row],[Type]]="EM",IF((Table3[[#This Row],[Diameter]]/2)-Table3[[#This Row],[CornerRadius]]-0.012&gt;0,(Table3[[#This Row],[Diameter]]/2)-Table3[[#This Row],[CornerRadius]]-0.012,0),)</f>
        <v>0</v>
      </c>
      <c r="CE614" s="6" t="str">
        <f>IF(Table3[[#This Row],[ShoulderLength]]="","",IF(Table3[[#This Row],[ShoulderLength]]&lt;Table3[[#This Row],[LOC]],"FIX",""))</f>
        <v/>
      </c>
    </row>
    <row r="615" spans="1:83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v>0</v>
      </c>
      <c r="BN615" s="6">
        <v>0</v>
      </c>
      <c r="BO615" s="6">
        <v>0</v>
      </c>
      <c r="BP615" s="6">
        <v>0</v>
      </c>
      <c r="BQ615" s="6">
        <v>0</v>
      </c>
      <c r="BR615" s="6">
        <v>0</v>
      </c>
      <c r="BS615" s="6">
        <v>0</v>
      </c>
      <c r="BT615" s="6">
        <v>0</v>
      </c>
      <c r="BU615" s="6">
        <v>0</v>
      </c>
      <c r="BV615" s="6">
        <v>0</v>
      </c>
      <c r="BW615" s="6">
        <v>0</v>
      </c>
      <c r="BX615" s="6">
        <v>0</v>
      </c>
      <c r="BY615" s="6">
        <v>0</v>
      </c>
      <c r="BZ615" s="6">
        <v>0</v>
      </c>
      <c r="CA615" s="6">
        <v>0</v>
      </c>
      <c r="CB615" s="6">
        <v>0</v>
      </c>
      <c r="CC615" s="6">
        <f>IF(Table3[[#This Row],[Type]]="EM",IF((Table3[[#This Row],[Diameter]]/2)-Table3[[#This Row],[CornerRadius]]-0.012&gt;0,(Table3[[#This Row],[Diameter]]/2)-Table3[[#This Row],[CornerRadius]]-0.012,0),)</f>
        <v>0</v>
      </c>
      <c r="CE615" s="6" t="str">
        <f>IF(Table3[[#This Row],[ShoulderLength]]="","",IF(Table3[[#This Row],[ShoulderLength]]&lt;Table3[[#This Row],[LOC]],"FIX",""))</f>
        <v/>
      </c>
    </row>
    <row r="616" spans="1:83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v>0</v>
      </c>
      <c r="BN616" s="6">
        <v>0</v>
      </c>
      <c r="BO616" s="6">
        <v>0</v>
      </c>
      <c r="BP616" s="6">
        <v>0</v>
      </c>
      <c r="BQ616" s="6">
        <v>0</v>
      </c>
      <c r="BR616" s="6">
        <v>0</v>
      </c>
      <c r="BS616" s="6">
        <v>0</v>
      </c>
      <c r="BT616" s="6">
        <v>0</v>
      </c>
      <c r="BU616" s="6">
        <v>0</v>
      </c>
      <c r="BV616" s="6">
        <v>0</v>
      </c>
      <c r="BW616" s="6">
        <v>0</v>
      </c>
      <c r="BX616" s="6">
        <v>0</v>
      </c>
      <c r="BY616" s="6">
        <v>0</v>
      </c>
      <c r="BZ616" s="6">
        <v>0</v>
      </c>
      <c r="CA616" s="6">
        <v>0</v>
      </c>
      <c r="CB616" s="6">
        <v>0</v>
      </c>
      <c r="CC616" s="6">
        <f>IF(Table3[[#This Row],[Type]]="EM",IF((Table3[[#This Row],[Diameter]]/2)-Table3[[#This Row],[CornerRadius]]-0.012&gt;0,(Table3[[#This Row],[Diameter]]/2)-Table3[[#This Row],[CornerRadius]]-0.012,0),)</f>
        <v>0</v>
      </c>
      <c r="CE616" s="6" t="str">
        <f>IF(Table3[[#This Row],[ShoulderLength]]="","",IF(Table3[[#This Row],[ShoulderLength]]&lt;Table3[[#This Row],[LOC]],"FIX",""))</f>
        <v/>
      </c>
    </row>
    <row r="617" spans="1:83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v>0</v>
      </c>
      <c r="BN617" s="6">
        <v>0</v>
      </c>
      <c r="BO617" s="6">
        <v>0</v>
      </c>
      <c r="BP617" s="6">
        <v>0</v>
      </c>
      <c r="BQ617" s="6">
        <v>0</v>
      </c>
      <c r="BR617" s="6">
        <v>0</v>
      </c>
      <c r="BS617" s="6">
        <v>0</v>
      </c>
      <c r="BT617" s="6">
        <v>0</v>
      </c>
      <c r="BU617" s="6">
        <v>0</v>
      </c>
      <c r="BV617" s="6">
        <v>0</v>
      </c>
      <c r="BW617" s="6">
        <v>0</v>
      </c>
      <c r="BX617" s="6">
        <v>0</v>
      </c>
      <c r="BY617" s="6">
        <v>0</v>
      </c>
      <c r="BZ617" s="6">
        <v>0</v>
      </c>
      <c r="CA617" s="6">
        <v>0</v>
      </c>
      <c r="CB617" s="6">
        <v>0</v>
      </c>
      <c r="CC617" s="6">
        <f>IF(Table3[[#This Row],[Type]]="EM",IF((Table3[[#This Row],[Diameter]]/2)-Table3[[#This Row],[CornerRadius]]-0.012&gt;0,(Table3[[#This Row],[Diameter]]/2)-Table3[[#This Row],[CornerRadius]]-0.012,0),)</f>
        <v>0</v>
      </c>
      <c r="CE617" s="6" t="str">
        <f>IF(Table3[[#This Row],[ShoulderLength]]="","",IF(Table3[[#This Row],[ShoulderLength]]&lt;Table3[[#This Row],[LOC]],"FIX",""))</f>
        <v/>
      </c>
    </row>
    <row r="618" spans="1:83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v>0</v>
      </c>
      <c r="BN618" s="6">
        <v>0</v>
      </c>
      <c r="BO618" s="6">
        <v>0</v>
      </c>
      <c r="BP618" s="6">
        <v>0</v>
      </c>
      <c r="BQ618" s="6">
        <v>0</v>
      </c>
      <c r="BR618" s="6">
        <v>0</v>
      </c>
      <c r="BS618" s="6">
        <v>0</v>
      </c>
      <c r="BT618" s="6">
        <v>0</v>
      </c>
      <c r="BU618" s="6">
        <v>0</v>
      </c>
      <c r="BV618" s="6">
        <v>0</v>
      </c>
      <c r="BW618" s="6">
        <v>0</v>
      </c>
      <c r="BX618" s="6">
        <v>0</v>
      </c>
      <c r="BY618" s="6">
        <v>0</v>
      </c>
      <c r="BZ618" s="6">
        <v>0</v>
      </c>
      <c r="CA618" s="6">
        <v>0</v>
      </c>
      <c r="CB618" s="6">
        <v>0</v>
      </c>
      <c r="CC618" s="6">
        <f>IF(Table3[[#This Row],[Type]]="EM",IF((Table3[[#This Row],[Diameter]]/2)-Table3[[#This Row],[CornerRadius]]-0.012&gt;0,(Table3[[#This Row],[Diameter]]/2)-Table3[[#This Row],[CornerRadius]]-0.012,0),)</f>
        <v>0</v>
      </c>
      <c r="CE618" s="6" t="str">
        <f>IF(Table3[[#This Row],[ShoulderLength]]="","",IF(Table3[[#This Row],[ShoulderLength]]&lt;Table3[[#This Row],[LOC]],"FIX",""))</f>
        <v/>
      </c>
    </row>
    <row r="619" spans="1:83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v>0</v>
      </c>
      <c r="BN619" s="6">
        <v>0</v>
      </c>
      <c r="BO619" s="6">
        <v>0</v>
      </c>
      <c r="BP619" s="6">
        <v>0</v>
      </c>
      <c r="BQ619" s="6">
        <v>0</v>
      </c>
      <c r="BR619" s="6">
        <v>0</v>
      </c>
      <c r="BS619" s="6">
        <v>0</v>
      </c>
      <c r="BT619" s="6">
        <v>0</v>
      </c>
      <c r="BU619" s="6">
        <v>0</v>
      </c>
      <c r="BV619" s="6">
        <v>0</v>
      </c>
      <c r="BW619" s="6">
        <v>0</v>
      </c>
      <c r="BX619" s="6">
        <v>0</v>
      </c>
      <c r="BY619" s="6">
        <v>0</v>
      </c>
      <c r="BZ619" s="6">
        <v>0</v>
      </c>
      <c r="CA619" s="6">
        <v>0</v>
      </c>
      <c r="CB619" s="6">
        <v>0</v>
      </c>
      <c r="CC619" s="6">
        <f>IF(Table3[[#This Row],[Type]]="EM",IF((Table3[[#This Row],[Diameter]]/2)-Table3[[#This Row],[CornerRadius]]-0.012&gt;0,(Table3[[#This Row],[Diameter]]/2)-Table3[[#This Row],[CornerRadius]]-0.012,0),)</f>
        <v>0</v>
      </c>
      <c r="CE619" s="6" t="str">
        <f>IF(Table3[[#This Row],[ShoulderLength]]="","",IF(Table3[[#This Row],[ShoulderLength]]&lt;Table3[[#This Row],[LOC]],"FIX",""))</f>
        <v/>
      </c>
    </row>
    <row r="620" spans="1:83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v>0</v>
      </c>
      <c r="BN620" s="6">
        <v>0</v>
      </c>
      <c r="BO620" s="6">
        <v>0</v>
      </c>
      <c r="BP620" s="6">
        <v>0</v>
      </c>
      <c r="BQ620" s="6">
        <v>0</v>
      </c>
      <c r="BR620" s="6">
        <v>0</v>
      </c>
      <c r="BS620" s="6">
        <v>0</v>
      </c>
      <c r="BT620" s="6">
        <v>0</v>
      </c>
      <c r="BU620" s="6">
        <v>0</v>
      </c>
      <c r="BV620" s="6">
        <v>0</v>
      </c>
      <c r="BW620" s="6">
        <v>0</v>
      </c>
      <c r="BX620" s="6">
        <v>0</v>
      </c>
      <c r="BY620" s="6">
        <v>0</v>
      </c>
      <c r="BZ620" s="6">
        <v>0</v>
      </c>
      <c r="CA620" s="6">
        <v>0</v>
      </c>
      <c r="CB620" s="6">
        <v>0</v>
      </c>
      <c r="CC620" s="6">
        <f>IF(Table3[[#This Row],[Type]]="EM",IF((Table3[[#This Row],[Diameter]]/2)-Table3[[#This Row],[CornerRadius]]-0.012&gt;0,(Table3[[#This Row],[Diameter]]/2)-Table3[[#This Row],[CornerRadius]]-0.012,0),)</f>
        <v>0</v>
      </c>
      <c r="CE620" s="6" t="str">
        <f>IF(Table3[[#This Row],[ShoulderLength]]="","",IF(Table3[[#This Row],[ShoulderLength]]&lt;Table3[[#This Row],[LOC]],"FIX",""))</f>
        <v/>
      </c>
    </row>
    <row r="621" spans="1:83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v>0</v>
      </c>
      <c r="BN621" s="6">
        <v>0</v>
      </c>
      <c r="BO621" s="6">
        <v>0</v>
      </c>
      <c r="BP621" s="6">
        <v>0</v>
      </c>
      <c r="BQ621" s="6">
        <v>0</v>
      </c>
      <c r="BR621" s="6">
        <v>0</v>
      </c>
      <c r="BS621" s="6">
        <v>0</v>
      </c>
      <c r="BT621" s="6">
        <v>0</v>
      </c>
      <c r="BU621" s="6">
        <v>0</v>
      </c>
      <c r="BV621" s="6">
        <v>0</v>
      </c>
      <c r="BW621" s="6">
        <v>0</v>
      </c>
      <c r="BX621" s="6">
        <v>0</v>
      </c>
      <c r="BY621" s="6">
        <v>0</v>
      </c>
      <c r="BZ621" s="6">
        <v>0</v>
      </c>
      <c r="CA621" s="6">
        <v>0</v>
      </c>
      <c r="CB621" s="6">
        <v>0</v>
      </c>
      <c r="CC621" s="6">
        <f>IF(Table3[[#This Row],[Type]]="EM",IF((Table3[[#This Row],[Diameter]]/2)-Table3[[#This Row],[CornerRadius]]-0.012&gt;0,(Table3[[#This Row],[Diameter]]/2)-Table3[[#This Row],[CornerRadius]]-0.012,0),)</f>
        <v>0</v>
      </c>
      <c r="CE621" s="6" t="str">
        <f>IF(Table3[[#This Row],[ShoulderLength]]="","",IF(Table3[[#This Row],[ShoulderLength]]&lt;Table3[[#This Row],[LOC]],"FIX",""))</f>
        <v/>
      </c>
    </row>
    <row r="622" spans="1:83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v>0</v>
      </c>
      <c r="BN622" s="6">
        <v>0</v>
      </c>
      <c r="BO622" s="6">
        <v>0</v>
      </c>
      <c r="BP622" s="6">
        <v>0</v>
      </c>
      <c r="BQ622" s="6">
        <v>0</v>
      </c>
      <c r="BR622" s="6">
        <v>0</v>
      </c>
      <c r="BS622" s="6">
        <v>0</v>
      </c>
      <c r="BT622" s="6">
        <v>0</v>
      </c>
      <c r="BU622" s="6">
        <v>0</v>
      </c>
      <c r="BV622" s="6">
        <v>0</v>
      </c>
      <c r="BW622" s="6">
        <v>0</v>
      </c>
      <c r="BX622" s="6">
        <v>0</v>
      </c>
      <c r="BY622" s="6">
        <v>0</v>
      </c>
      <c r="BZ622" s="6">
        <v>0</v>
      </c>
      <c r="CA622" s="6">
        <v>0</v>
      </c>
      <c r="CB622" s="6">
        <v>0</v>
      </c>
      <c r="CC622" s="6">
        <f>IF(Table3[[#This Row],[Type]]="EM",IF((Table3[[#This Row],[Diameter]]/2)-Table3[[#This Row],[CornerRadius]]-0.012&gt;0,(Table3[[#This Row],[Diameter]]/2)-Table3[[#This Row],[CornerRadius]]-0.012,0),)</f>
        <v>0</v>
      </c>
      <c r="CE622" s="6" t="str">
        <f>IF(Table3[[#This Row],[ShoulderLength]]="","",IF(Table3[[#This Row],[ShoulderLength]]&lt;Table3[[#This Row],[LOC]],"FIX",""))</f>
        <v/>
      </c>
    </row>
    <row r="623" spans="1:83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v>0</v>
      </c>
      <c r="BN623" s="6">
        <v>0</v>
      </c>
      <c r="BO623" s="6">
        <v>0</v>
      </c>
      <c r="BP623" s="6">
        <v>0</v>
      </c>
      <c r="BQ623" s="6">
        <v>0</v>
      </c>
      <c r="BR623" s="6">
        <v>0</v>
      </c>
      <c r="BS623" s="6">
        <v>0</v>
      </c>
      <c r="BT623" s="6">
        <v>0</v>
      </c>
      <c r="BU623" s="6">
        <v>0</v>
      </c>
      <c r="BV623" s="6">
        <v>0</v>
      </c>
      <c r="BW623" s="6">
        <v>0</v>
      </c>
      <c r="BX623" s="6">
        <v>0</v>
      </c>
      <c r="BY623" s="6">
        <v>0</v>
      </c>
      <c r="BZ623" s="6">
        <v>0</v>
      </c>
      <c r="CA623" s="6">
        <v>0</v>
      </c>
      <c r="CB623" s="6">
        <v>0</v>
      </c>
      <c r="CC623" s="6">
        <f>IF(Table3[[#This Row],[Type]]="EM",IF((Table3[[#This Row],[Diameter]]/2)-Table3[[#This Row],[CornerRadius]]-0.012&gt;0,(Table3[[#This Row],[Diameter]]/2)-Table3[[#This Row],[CornerRadius]]-0.012,0),)</f>
        <v>0</v>
      </c>
      <c r="CE623" s="6" t="str">
        <f>IF(Table3[[#This Row],[ShoulderLength]]="","",IF(Table3[[#This Row],[ShoulderLength]]&lt;Table3[[#This Row],[LOC]],"FIX",""))</f>
        <v/>
      </c>
    </row>
    <row r="624" spans="1:83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v>0</v>
      </c>
      <c r="BN624" s="6">
        <v>0</v>
      </c>
      <c r="BO624" s="6">
        <v>0</v>
      </c>
      <c r="BP624" s="6">
        <v>0</v>
      </c>
      <c r="BQ624" s="6">
        <v>0</v>
      </c>
      <c r="BR624" s="6">
        <v>0</v>
      </c>
      <c r="BS624" s="6">
        <v>0</v>
      </c>
      <c r="BT624" s="6">
        <v>0</v>
      </c>
      <c r="BU624" s="6">
        <v>0</v>
      </c>
      <c r="BV624" s="6">
        <v>0</v>
      </c>
      <c r="BW624" s="6">
        <v>0</v>
      </c>
      <c r="BX624" s="6">
        <v>0</v>
      </c>
      <c r="BY624" s="6">
        <v>0</v>
      </c>
      <c r="BZ624" s="6">
        <v>0</v>
      </c>
      <c r="CA624" s="6">
        <v>0</v>
      </c>
      <c r="CB624" s="6">
        <v>0</v>
      </c>
      <c r="CC624" s="6">
        <f>IF(Table3[[#This Row],[Type]]="EM",IF((Table3[[#This Row],[Diameter]]/2)-Table3[[#This Row],[CornerRadius]]-0.012&gt;0,(Table3[[#This Row],[Diameter]]/2)-Table3[[#This Row],[CornerRadius]]-0.012,0),)</f>
        <v>0</v>
      </c>
      <c r="CE624" s="6" t="str">
        <f>IF(Table3[[#This Row],[ShoulderLength]]="","",IF(Table3[[#This Row],[ShoulderLength]]&lt;Table3[[#This Row],[LOC]],"FIX",""))</f>
        <v/>
      </c>
    </row>
    <row r="625" spans="1:83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v>0</v>
      </c>
      <c r="BN625" s="6">
        <v>0</v>
      </c>
      <c r="BO625" s="6">
        <v>0</v>
      </c>
      <c r="BP625" s="6">
        <v>0</v>
      </c>
      <c r="BQ625" s="6">
        <v>0</v>
      </c>
      <c r="BR625" s="6">
        <v>0</v>
      </c>
      <c r="BS625" s="6">
        <v>0</v>
      </c>
      <c r="BT625" s="6">
        <v>0</v>
      </c>
      <c r="BU625" s="6">
        <v>0</v>
      </c>
      <c r="BV625" s="6">
        <v>0</v>
      </c>
      <c r="BW625" s="6">
        <v>0</v>
      </c>
      <c r="BX625" s="6">
        <v>0</v>
      </c>
      <c r="BY625" s="6">
        <v>0</v>
      </c>
      <c r="BZ625" s="6">
        <v>0</v>
      </c>
      <c r="CA625" s="6">
        <v>0</v>
      </c>
      <c r="CB625" s="6">
        <v>0</v>
      </c>
      <c r="CC625" s="6">
        <f>IF(Table3[[#This Row],[Type]]="EM",IF((Table3[[#This Row],[Diameter]]/2)-Table3[[#This Row],[CornerRadius]]-0.012&gt;0,(Table3[[#This Row],[Diameter]]/2)-Table3[[#This Row],[CornerRadius]]-0.012,0),)</f>
        <v>0</v>
      </c>
      <c r="CE625" s="6" t="str">
        <f>IF(Table3[[#This Row],[ShoulderLength]]="","",IF(Table3[[#This Row],[ShoulderLength]]&lt;Table3[[#This Row],[LOC]],"FIX",""))</f>
        <v/>
      </c>
    </row>
    <row r="626" spans="1:83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v>0</v>
      </c>
      <c r="BN626" s="6">
        <v>0</v>
      </c>
      <c r="BO626" s="6">
        <v>0</v>
      </c>
      <c r="BP626" s="6">
        <v>0</v>
      </c>
      <c r="BQ626" s="6">
        <v>0</v>
      </c>
      <c r="BR626" s="6">
        <v>0</v>
      </c>
      <c r="BS626" s="6">
        <v>0</v>
      </c>
      <c r="BT626" s="6">
        <v>0</v>
      </c>
      <c r="BU626" s="6">
        <v>0</v>
      </c>
      <c r="BV626" s="6">
        <v>0</v>
      </c>
      <c r="BW626" s="6">
        <v>0</v>
      </c>
      <c r="BX626" s="6">
        <v>0</v>
      </c>
      <c r="BY626" s="6">
        <v>0</v>
      </c>
      <c r="BZ626" s="6">
        <v>0</v>
      </c>
      <c r="CA626" s="6">
        <v>0</v>
      </c>
      <c r="CB626" s="6">
        <v>0</v>
      </c>
      <c r="CC626" s="6">
        <f>IF(Table3[[#This Row],[Type]]="EM",IF((Table3[[#This Row],[Diameter]]/2)-Table3[[#This Row],[CornerRadius]]-0.012&gt;0,(Table3[[#This Row],[Diameter]]/2)-Table3[[#This Row],[CornerRadius]]-0.012,0),)</f>
        <v>0</v>
      </c>
      <c r="CE626" s="6" t="str">
        <f>IF(Table3[[#This Row],[ShoulderLength]]="","",IF(Table3[[#This Row],[ShoulderLength]]&lt;Table3[[#This Row],[LOC]],"FIX",""))</f>
        <v/>
      </c>
    </row>
    <row r="627" spans="1:83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v>0</v>
      </c>
      <c r="BN627" s="6">
        <v>0</v>
      </c>
      <c r="BO627" s="6">
        <v>0</v>
      </c>
      <c r="BP627" s="6">
        <v>0</v>
      </c>
      <c r="BQ627" s="6">
        <v>0</v>
      </c>
      <c r="BR627" s="6">
        <v>0</v>
      </c>
      <c r="BS627" s="6">
        <v>0</v>
      </c>
      <c r="BT627" s="6">
        <v>0</v>
      </c>
      <c r="BU627" s="6">
        <v>0</v>
      </c>
      <c r="BV627" s="6">
        <v>0</v>
      </c>
      <c r="BW627" s="6">
        <v>0</v>
      </c>
      <c r="BX627" s="6">
        <v>0</v>
      </c>
      <c r="BY627" s="6">
        <v>0</v>
      </c>
      <c r="BZ627" s="6">
        <v>0</v>
      </c>
      <c r="CA627" s="6">
        <v>0</v>
      </c>
      <c r="CB627" s="6">
        <v>0</v>
      </c>
      <c r="CC627" s="6">
        <f>IF(Table3[[#This Row],[Type]]="EM",IF((Table3[[#This Row],[Diameter]]/2)-Table3[[#This Row],[CornerRadius]]-0.012&gt;0,(Table3[[#This Row],[Diameter]]/2)-Table3[[#This Row],[CornerRadius]]-0.012,0),)</f>
        <v>0</v>
      </c>
      <c r="CE627" s="6" t="str">
        <f>IF(Table3[[#This Row],[ShoulderLength]]="","",IF(Table3[[#This Row],[ShoulderLength]]&lt;Table3[[#This Row],[LOC]],"FIX",""))</f>
        <v/>
      </c>
    </row>
    <row r="628" spans="1:83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v>0</v>
      </c>
      <c r="BN628" s="6">
        <v>0</v>
      </c>
      <c r="BO628" s="6">
        <v>0</v>
      </c>
      <c r="BP628" s="6">
        <v>0</v>
      </c>
      <c r="BQ628" s="6">
        <v>0</v>
      </c>
      <c r="BR628" s="6">
        <v>0</v>
      </c>
      <c r="BS628" s="6">
        <v>0</v>
      </c>
      <c r="BT628" s="6">
        <v>0</v>
      </c>
      <c r="BU628" s="6">
        <v>0</v>
      </c>
      <c r="BV628" s="6">
        <v>0</v>
      </c>
      <c r="BW628" s="6">
        <v>0</v>
      </c>
      <c r="BX628" s="6">
        <v>0</v>
      </c>
      <c r="BY628" s="6">
        <v>0</v>
      </c>
      <c r="BZ628" s="6">
        <v>0</v>
      </c>
      <c r="CA628" s="6">
        <v>0</v>
      </c>
      <c r="CB628" s="6">
        <v>0</v>
      </c>
      <c r="CC628" s="6">
        <f>IF(Table3[[#This Row],[Type]]="EM",IF((Table3[[#This Row],[Diameter]]/2)-Table3[[#This Row],[CornerRadius]]-0.012&gt;0,(Table3[[#This Row],[Diameter]]/2)-Table3[[#This Row],[CornerRadius]]-0.012,0),)</f>
        <v>0</v>
      </c>
      <c r="CE628" s="6" t="str">
        <f>IF(Table3[[#This Row],[ShoulderLength]]="","",IF(Table3[[#This Row],[ShoulderLength]]&lt;Table3[[#This Row],[LOC]],"FIX",""))</f>
        <v/>
      </c>
    </row>
    <row r="629" spans="1:83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v>0</v>
      </c>
      <c r="BN629" s="6">
        <v>0</v>
      </c>
      <c r="BO629" s="6">
        <v>0</v>
      </c>
      <c r="BP629" s="6">
        <v>0</v>
      </c>
      <c r="BQ629" s="6">
        <v>0</v>
      </c>
      <c r="BR629" s="6">
        <v>0</v>
      </c>
      <c r="BS629" s="6">
        <v>0</v>
      </c>
      <c r="BT629" s="6">
        <v>0</v>
      </c>
      <c r="BU629" s="6">
        <v>0</v>
      </c>
      <c r="BV629" s="6">
        <v>0</v>
      </c>
      <c r="BW629" s="6">
        <v>0</v>
      </c>
      <c r="BX629" s="6">
        <v>0</v>
      </c>
      <c r="BY629" s="6">
        <v>0</v>
      </c>
      <c r="BZ629" s="6">
        <v>0</v>
      </c>
      <c r="CA629" s="6">
        <v>0</v>
      </c>
      <c r="CB629" s="6">
        <v>0</v>
      </c>
      <c r="CC629" s="6">
        <f>IF(Table3[[#This Row],[Type]]="EM",IF((Table3[[#This Row],[Diameter]]/2)-Table3[[#This Row],[CornerRadius]]-0.012&gt;0,(Table3[[#This Row],[Diameter]]/2)-Table3[[#This Row],[CornerRadius]]-0.012,0),)</f>
        <v>0</v>
      </c>
      <c r="CE629" s="6" t="str">
        <f>IF(Table3[[#This Row],[ShoulderLength]]="","",IF(Table3[[#This Row],[ShoulderLength]]&lt;Table3[[#This Row],[LOC]],"FIX",""))</f>
        <v/>
      </c>
    </row>
    <row r="630" spans="1:83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v>0</v>
      </c>
      <c r="BN630" s="6">
        <v>0</v>
      </c>
      <c r="BO630" s="6">
        <v>0</v>
      </c>
      <c r="BP630" s="6">
        <v>0</v>
      </c>
      <c r="BQ630" s="6">
        <v>0</v>
      </c>
      <c r="BR630" s="6">
        <v>0</v>
      </c>
      <c r="BS630" s="6">
        <v>0</v>
      </c>
      <c r="BT630" s="6">
        <v>0</v>
      </c>
      <c r="BU630" s="6">
        <v>0</v>
      </c>
      <c r="BV630" s="6">
        <v>0</v>
      </c>
      <c r="BW630" s="6">
        <v>0</v>
      </c>
      <c r="BX630" s="6">
        <v>0</v>
      </c>
      <c r="BY630" s="6">
        <v>0</v>
      </c>
      <c r="BZ630" s="6">
        <v>0</v>
      </c>
      <c r="CA630" s="6">
        <v>0</v>
      </c>
      <c r="CB630" s="6">
        <v>0</v>
      </c>
      <c r="CC630" s="6">
        <f>IF(Table3[[#This Row],[Type]]="EM",IF((Table3[[#This Row],[Diameter]]/2)-Table3[[#This Row],[CornerRadius]]-0.012&gt;0,(Table3[[#This Row],[Diameter]]/2)-Table3[[#This Row],[CornerRadius]]-0.012,0),)</f>
        <v>0</v>
      </c>
      <c r="CE630" s="6" t="str">
        <f>IF(Table3[[#This Row],[ShoulderLength]]="","",IF(Table3[[#This Row],[ShoulderLength]]&lt;Table3[[#This Row],[LOC]],"FIX",""))</f>
        <v/>
      </c>
    </row>
    <row r="631" spans="1:83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v>0</v>
      </c>
      <c r="BN631" s="6">
        <v>0</v>
      </c>
      <c r="BO631" s="6">
        <v>0</v>
      </c>
      <c r="BP631" s="6">
        <v>0</v>
      </c>
      <c r="BQ631" s="6">
        <v>0</v>
      </c>
      <c r="BR631" s="6">
        <v>0</v>
      </c>
      <c r="BS631" s="6">
        <v>0</v>
      </c>
      <c r="BT631" s="6">
        <v>0</v>
      </c>
      <c r="BU631" s="6">
        <v>0</v>
      </c>
      <c r="BV631" s="6">
        <v>0</v>
      </c>
      <c r="BW631" s="6">
        <v>0</v>
      </c>
      <c r="BX631" s="6">
        <v>0</v>
      </c>
      <c r="BY631" s="6">
        <v>0</v>
      </c>
      <c r="BZ631" s="6">
        <v>0</v>
      </c>
      <c r="CA631" s="6">
        <v>0</v>
      </c>
      <c r="CB631" s="6">
        <v>0</v>
      </c>
      <c r="CC631" s="6">
        <f>IF(Table3[[#This Row],[Type]]="EM",IF((Table3[[#This Row],[Diameter]]/2)-Table3[[#This Row],[CornerRadius]]-0.012&gt;0,(Table3[[#This Row],[Diameter]]/2)-Table3[[#This Row],[CornerRadius]]-0.012,0),)</f>
        <v>0</v>
      </c>
      <c r="CE631" s="6" t="str">
        <f>IF(Table3[[#This Row],[ShoulderLength]]="","",IF(Table3[[#This Row],[ShoulderLength]]&lt;Table3[[#This Row],[LOC]],"FIX",""))</f>
        <v/>
      </c>
    </row>
    <row r="632" spans="1:83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v>0</v>
      </c>
      <c r="BN632" s="6">
        <v>0</v>
      </c>
      <c r="BO632" s="6">
        <v>0</v>
      </c>
      <c r="BP632" s="6">
        <v>0</v>
      </c>
      <c r="BQ632" s="6">
        <v>0</v>
      </c>
      <c r="BR632" s="6">
        <v>0</v>
      </c>
      <c r="BS632" s="6">
        <v>0</v>
      </c>
      <c r="BT632" s="6">
        <v>0</v>
      </c>
      <c r="BU632" s="6">
        <v>0</v>
      </c>
      <c r="BV632" s="6">
        <v>0</v>
      </c>
      <c r="BW632" s="6">
        <v>0</v>
      </c>
      <c r="BX632" s="6">
        <v>0</v>
      </c>
      <c r="BY632" s="6">
        <v>0</v>
      </c>
      <c r="BZ632" s="6">
        <v>0</v>
      </c>
      <c r="CA632" s="6">
        <v>0</v>
      </c>
      <c r="CB632" s="6">
        <v>0</v>
      </c>
      <c r="CC632" s="6">
        <f>IF(Table3[[#This Row],[Type]]="EM",IF((Table3[[#This Row],[Diameter]]/2)-Table3[[#This Row],[CornerRadius]]-0.012&gt;0,(Table3[[#This Row],[Diameter]]/2)-Table3[[#This Row],[CornerRadius]]-0.012,0),)</f>
        <v>0</v>
      </c>
      <c r="CE632" s="6" t="str">
        <f>IF(Table3[[#This Row],[ShoulderLength]]="","",IF(Table3[[#This Row],[ShoulderLength]]&lt;Table3[[#This Row],[LOC]],"FIX",""))</f>
        <v/>
      </c>
    </row>
    <row r="633" spans="1:83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v>0</v>
      </c>
      <c r="BN633" s="6">
        <v>0</v>
      </c>
      <c r="BO633" s="6">
        <v>0</v>
      </c>
      <c r="BP633" s="6">
        <v>0</v>
      </c>
      <c r="BQ633" s="6">
        <v>0</v>
      </c>
      <c r="BR633" s="6">
        <v>0</v>
      </c>
      <c r="BS633" s="6">
        <v>0</v>
      </c>
      <c r="BT633" s="6">
        <v>0</v>
      </c>
      <c r="BU633" s="6">
        <v>0</v>
      </c>
      <c r="BV633" s="6">
        <v>0</v>
      </c>
      <c r="BW633" s="6">
        <v>0</v>
      </c>
      <c r="BX633" s="6">
        <v>0</v>
      </c>
      <c r="BY633" s="6">
        <v>0</v>
      </c>
      <c r="BZ633" s="6">
        <v>0</v>
      </c>
      <c r="CA633" s="6">
        <v>0</v>
      </c>
      <c r="CB633" s="6">
        <v>0</v>
      </c>
      <c r="CC633" s="6">
        <f>IF(Table3[[#This Row],[Type]]="EM",IF((Table3[[#This Row],[Diameter]]/2)-Table3[[#This Row],[CornerRadius]]-0.012&gt;0,(Table3[[#This Row],[Diameter]]/2)-Table3[[#This Row],[CornerRadius]]-0.012,0),)</f>
        <v>0</v>
      </c>
      <c r="CE633" s="6" t="str">
        <f>IF(Table3[[#This Row],[ShoulderLength]]="","",IF(Table3[[#This Row],[ShoulderLength]]&lt;Table3[[#This Row],[LOC]],"FIX",""))</f>
        <v/>
      </c>
    </row>
    <row r="634" spans="1:83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v>0</v>
      </c>
      <c r="BN634" s="6">
        <v>0</v>
      </c>
      <c r="BO634" s="6">
        <v>0</v>
      </c>
      <c r="BP634" s="6">
        <v>0</v>
      </c>
      <c r="BQ634" s="6">
        <v>0</v>
      </c>
      <c r="BR634" s="6">
        <v>0</v>
      </c>
      <c r="BS634" s="6">
        <v>0</v>
      </c>
      <c r="BT634" s="6">
        <v>0</v>
      </c>
      <c r="BU634" s="6">
        <v>0</v>
      </c>
      <c r="BV634" s="6">
        <v>0</v>
      </c>
      <c r="BW634" s="6">
        <v>0</v>
      </c>
      <c r="BX634" s="6">
        <v>0</v>
      </c>
      <c r="BY634" s="6">
        <v>0</v>
      </c>
      <c r="BZ634" s="6">
        <v>0</v>
      </c>
      <c r="CA634" s="6">
        <v>0</v>
      </c>
      <c r="CB634" s="6">
        <v>0</v>
      </c>
      <c r="CC634" s="6">
        <f>IF(Table3[[#This Row],[Type]]="EM",IF((Table3[[#This Row],[Diameter]]/2)-Table3[[#This Row],[CornerRadius]]-0.012&gt;0,(Table3[[#This Row],[Diameter]]/2)-Table3[[#This Row],[CornerRadius]]-0.012,0),)</f>
        <v>0</v>
      </c>
      <c r="CE634" s="6" t="str">
        <f>IF(Table3[[#This Row],[ShoulderLength]]="","",IF(Table3[[#This Row],[ShoulderLength]]&lt;Table3[[#This Row],[LOC]],"FIX",""))</f>
        <v/>
      </c>
    </row>
    <row r="635" spans="1:83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v>0</v>
      </c>
      <c r="BN635" s="6">
        <v>0</v>
      </c>
      <c r="BO635" s="6">
        <v>0</v>
      </c>
      <c r="BP635" s="6">
        <v>0</v>
      </c>
      <c r="BQ635" s="6">
        <v>0</v>
      </c>
      <c r="BR635" s="6">
        <v>0</v>
      </c>
      <c r="BS635" s="6">
        <v>0</v>
      </c>
      <c r="BT635" s="6">
        <v>0</v>
      </c>
      <c r="BU635" s="6">
        <v>0</v>
      </c>
      <c r="BV635" s="6">
        <v>0</v>
      </c>
      <c r="BW635" s="6">
        <v>0</v>
      </c>
      <c r="BX635" s="6">
        <v>0</v>
      </c>
      <c r="BY635" s="6">
        <v>0</v>
      </c>
      <c r="BZ635" s="6">
        <v>0</v>
      </c>
      <c r="CA635" s="6">
        <v>0</v>
      </c>
      <c r="CB635" s="6">
        <v>0</v>
      </c>
      <c r="CC635" s="6">
        <f>IF(Table3[[#This Row],[Type]]="EM",IF((Table3[[#This Row],[Diameter]]/2)-Table3[[#This Row],[CornerRadius]]-0.012&gt;0,(Table3[[#This Row],[Diameter]]/2)-Table3[[#This Row],[CornerRadius]]-0.012,0),)</f>
        <v>0</v>
      </c>
      <c r="CE635" s="6" t="str">
        <f>IF(Table3[[#This Row],[ShoulderLength]]="","",IF(Table3[[#This Row],[ShoulderLength]]&lt;Table3[[#This Row],[LOC]],"FIX",""))</f>
        <v/>
      </c>
    </row>
    <row r="636" spans="1:83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v>0</v>
      </c>
      <c r="BN636" s="6">
        <v>0</v>
      </c>
      <c r="BO636" s="6">
        <v>0</v>
      </c>
      <c r="BP636" s="6">
        <v>0</v>
      </c>
      <c r="BQ636" s="6">
        <v>0</v>
      </c>
      <c r="BR636" s="6">
        <v>0</v>
      </c>
      <c r="BS636" s="6">
        <v>0</v>
      </c>
      <c r="BT636" s="6">
        <v>0</v>
      </c>
      <c r="BU636" s="6">
        <v>0</v>
      </c>
      <c r="BV636" s="6">
        <v>0</v>
      </c>
      <c r="BW636" s="6">
        <v>0</v>
      </c>
      <c r="BX636" s="6">
        <v>0</v>
      </c>
      <c r="BY636" s="6">
        <v>0</v>
      </c>
      <c r="BZ636" s="6">
        <v>0</v>
      </c>
      <c r="CA636" s="6">
        <v>0</v>
      </c>
      <c r="CB636" s="6">
        <v>0</v>
      </c>
      <c r="CC636" s="6">
        <f>IF(Table3[[#This Row],[Type]]="EM",IF((Table3[[#This Row],[Diameter]]/2)-Table3[[#This Row],[CornerRadius]]-0.012&gt;0,(Table3[[#This Row],[Diameter]]/2)-Table3[[#This Row],[CornerRadius]]-0.012,0),)</f>
        <v>0</v>
      </c>
      <c r="CE636" s="6" t="str">
        <f>IF(Table3[[#This Row],[ShoulderLength]]="","",IF(Table3[[#This Row],[ShoulderLength]]&lt;Table3[[#This Row],[LOC]],"FIX",""))</f>
        <v/>
      </c>
    </row>
    <row r="637" spans="1:83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v>0</v>
      </c>
      <c r="BN637" s="6">
        <v>0</v>
      </c>
      <c r="BO637" s="6">
        <v>0</v>
      </c>
      <c r="BP637" s="6">
        <v>0</v>
      </c>
      <c r="BQ637" s="6">
        <v>0</v>
      </c>
      <c r="BR637" s="6">
        <v>0</v>
      </c>
      <c r="BS637" s="6">
        <v>0</v>
      </c>
      <c r="BT637" s="6">
        <v>0</v>
      </c>
      <c r="BU637" s="6">
        <v>0</v>
      </c>
      <c r="BV637" s="6">
        <v>0</v>
      </c>
      <c r="BW637" s="6">
        <v>0</v>
      </c>
      <c r="BX637" s="6">
        <v>0</v>
      </c>
      <c r="BY637" s="6">
        <v>0</v>
      </c>
      <c r="BZ637" s="6">
        <v>0</v>
      </c>
      <c r="CA637" s="6">
        <v>0</v>
      </c>
      <c r="CB637" s="6">
        <v>0</v>
      </c>
      <c r="CC637" s="6">
        <f>IF(Table3[[#This Row],[Type]]="EM",IF((Table3[[#This Row],[Diameter]]/2)-Table3[[#This Row],[CornerRadius]]-0.012&gt;0,(Table3[[#This Row],[Diameter]]/2)-Table3[[#This Row],[CornerRadius]]-0.012,0),)</f>
        <v>0</v>
      </c>
      <c r="CE637" s="6" t="str">
        <f>IF(Table3[[#This Row],[ShoulderLength]]="","",IF(Table3[[#This Row],[ShoulderLength]]&lt;Table3[[#This Row],[LOC]],"FIX",""))</f>
        <v/>
      </c>
    </row>
    <row r="638" spans="1:83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v>0</v>
      </c>
      <c r="BN638" s="6">
        <v>0</v>
      </c>
      <c r="BO638" s="6">
        <v>0</v>
      </c>
      <c r="BP638" s="6">
        <v>0</v>
      </c>
      <c r="BQ638" s="6">
        <v>0</v>
      </c>
      <c r="BR638" s="6">
        <v>0</v>
      </c>
      <c r="BS638" s="6">
        <v>0</v>
      </c>
      <c r="BT638" s="6">
        <v>0</v>
      </c>
      <c r="BU638" s="6">
        <v>0</v>
      </c>
      <c r="BV638" s="6">
        <v>0</v>
      </c>
      <c r="BW638" s="6">
        <v>0</v>
      </c>
      <c r="BX638" s="6">
        <v>0</v>
      </c>
      <c r="BY638" s="6">
        <v>0</v>
      </c>
      <c r="BZ638" s="6">
        <v>0</v>
      </c>
      <c r="CA638" s="6">
        <v>0</v>
      </c>
      <c r="CB638" s="6">
        <v>0</v>
      </c>
      <c r="CC638" s="6">
        <f>IF(Table3[[#This Row],[Type]]="EM",IF((Table3[[#This Row],[Diameter]]/2)-Table3[[#This Row],[CornerRadius]]-0.012&gt;0,(Table3[[#This Row],[Diameter]]/2)-Table3[[#This Row],[CornerRadius]]-0.012,0),)</f>
        <v>0</v>
      </c>
      <c r="CE638" s="6" t="str">
        <f>IF(Table3[[#This Row],[ShoulderLength]]="","",IF(Table3[[#This Row],[ShoulderLength]]&lt;Table3[[#This Row],[LOC]],"FIX",""))</f>
        <v/>
      </c>
    </row>
    <row r="639" spans="1:83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v>0</v>
      </c>
      <c r="BN639" s="6">
        <v>0</v>
      </c>
      <c r="BO639" s="6">
        <v>0</v>
      </c>
      <c r="BP639" s="6">
        <v>0</v>
      </c>
      <c r="BQ639" s="6">
        <v>0</v>
      </c>
      <c r="BR639" s="6">
        <v>0</v>
      </c>
      <c r="BS639" s="6">
        <v>0</v>
      </c>
      <c r="BT639" s="6">
        <v>0</v>
      </c>
      <c r="BU639" s="6">
        <v>0</v>
      </c>
      <c r="BV639" s="6">
        <v>0</v>
      </c>
      <c r="BW639" s="6">
        <v>0</v>
      </c>
      <c r="BX639" s="6">
        <v>0</v>
      </c>
      <c r="BY639" s="6">
        <v>0</v>
      </c>
      <c r="BZ639" s="6">
        <v>0</v>
      </c>
      <c r="CA639" s="6">
        <v>0</v>
      </c>
      <c r="CB639" s="6">
        <v>0</v>
      </c>
      <c r="CC639" s="6">
        <f>IF(Table3[[#This Row],[Type]]="EM",IF((Table3[[#This Row],[Diameter]]/2)-Table3[[#This Row],[CornerRadius]]-0.012&gt;0,(Table3[[#This Row],[Diameter]]/2)-Table3[[#This Row],[CornerRadius]]-0.012,0),)</f>
        <v>0</v>
      </c>
      <c r="CE639" s="6" t="str">
        <f>IF(Table3[[#This Row],[ShoulderLength]]="","",IF(Table3[[#This Row],[ShoulderLength]]&lt;Table3[[#This Row],[LOC]],"FIX",""))</f>
        <v/>
      </c>
    </row>
    <row r="640" spans="1:83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v>0</v>
      </c>
      <c r="BN640" s="6">
        <v>0</v>
      </c>
      <c r="BO640" s="6">
        <v>0</v>
      </c>
      <c r="BP640" s="6">
        <v>0</v>
      </c>
      <c r="BQ640" s="6">
        <v>0</v>
      </c>
      <c r="BR640" s="6">
        <v>0</v>
      </c>
      <c r="BS640" s="6">
        <v>0</v>
      </c>
      <c r="BT640" s="6">
        <v>0</v>
      </c>
      <c r="BU640" s="6">
        <v>0</v>
      </c>
      <c r="BV640" s="6">
        <v>0</v>
      </c>
      <c r="BW640" s="6">
        <v>0</v>
      </c>
      <c r="BX640" s="6">
        <v>0</v>
      </c>
      <c r="BY640" s="6">
        <v>0</v>
      </c>
      <c r="BZ640" s="6">
        <v>0</v>
      </c>
      <c r="CA640" s="6">
        <v>0</v>
      </c>
      <c r="CB640" s="6">
        <v>0</v>
      </c>
      <c r="CC640" s="6">
        <f>IF(Table3[[#This Row],[Type]]="EM",IF((Table3[[#This Row],[Diameter]]/2)-Table3[[#This Row],[CornerRadius]]-0.012&gt;0,(Table3[[#This Row],[Diameter]]/2)-Table3[[#This Row],[CornerRadius]]-0.012,0),)</f>
        <v>0</v>
      </c>
      <c r="CE640" s="6" t="str">
        <f>IF(Table3[[#This Row],[ShoulderLength]]="","",IF(Table3[[#This Row],[ShoulderLength]]&lt;Table3[[#This Row],[LOC]],"FIX",""))</f>
        <v/>
      </c>
    </row>
    <row r="641" spans="1:83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v>0</v>
      </c>
      <c r="BN641" s="6">
        <v>0</v>
      </c>
      <c r="BO641" s="6">
        <v>0</v>
      </c>
      <c r="BP641" s="6">
        <v>0</v>
      </c>
      <c r="BQ641" s="6">
        <v>0</v>
      </c>
      <c r="BR641" s="6">
        <v>0</v>
      </c>
      <c r="BS641" s="6">
        <v>0</v>
      </c>
      <c r="BT641" s="6">
        <v>0</v>
      </c>
      <c r="BU641" s="6">
        <v>0</v>
      </c>
      <c r="BV641" s="6">
        <v>0</v>
      </c>
      <c r="BW641" s="6">
        <v>0</v>
      </c>
      <c r="BX641" s="6">
        <v>0</v>
      </c>
      <c r="BY641" s="6">
        <v>0</v>
      </c>
      <c r="BZ641" s="6">
        <v>0</v>
      </c>
      <c r="CA641" s="6">
        <v>0</v>
      </c>
      <c r="CB641" s="6">
        <v>0</v>
      </c>
      <c r="CC641" s="6">
        <f>IF(Table3[[#This Row],[Type]]="EM",IF((Table3[[#This Row],[Diameter]]/2)-Table3[[#This Row],[CornerRadius]]-0.012&gt;0,(Table3[[#This Row],[Diameter]]/2)-Table3[[#This Row],[CornerRadius]]-0.012,0),)</f>
        <v>0</v>
      </c>
      <c r="CE641" s="6" t="str">
        <f>IF(Table3[[#This Row],[ShoulderLength]]="","",IF(Table3[[#This Row],[ShoulderLength]]&lt;Table3[[#This Row],[LOC]],"FIX",""))</f>
        <v/>
      </c>
    </row>
    <row r="642" spans="1:83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v>0</v>
      </c>
      <c r="BN642" s="6">
        <v>0</v>
      </c>
      <c r="BO642" s="6">
        <v>0</v>
      </c>
      <c r="BP642" s="6">
        <v>0</v>
      </c>
      <c r="BQ642" s="6">
        <v>0</v>
      </c>
      <c r="BR642" s="6">
        <v>0</v>
      </c>
      <c r="BS642" s="6">
        <v>0</v>
      </c>
      <c r="BT642" s="6">
        <v>0</v>
      </c>
      <c r="BU642" s="6">
        <v>0</v>
      </c>
      <c r="BV642" s="6">
        <v>0</v>
      </c>
      <c r="BW642" s="6">
        <v>0</v>
      </c>
      <c r="BX642" s="6">
        <v>0</v>
      </c>
      <c r="BY642" s="6">
        <v>0</v>
      </c>
      <c r="BZ642" s="6">
        <v>0</v>
      </c>
      <c r="CA642" s="6">
        <v>0</v>
      </c>
      <c r="CB642" s="6">
        <v>0</v>
      </c>
      <c r="CC642" s="6">
        <f>IF(Table3[[#This Row],[Type]]="EM",IF((Table3[[#This Row],[Diameter]]/2)-Table3[[#This Row],[CornerRadius]]-0.012&gt;0,(Table3[[#This Row],[Diameter]]/2)-Table3[[#This Row],[CornerRadius]]-0.012,0),)</f>
        <v>0</v>
      </c>
      <c r="CE642" s="6" t="str">
        <f>IF(Table3[[#This Row],[ShoulderLength]]="","",IF(Table3[[#This Row],[ShoulderLength]]&lt;Table3[[#This Row],[LOC]],"FIX",""))</f>
        <v/>
      </c>
    </row>
    <row r="643" spans="1:83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v>0</v>
      </c>
      <c r="BN643" s="6">
        <v>0</v>
      </c>
      <c r="BO643" s="6">
        <v>0</v>
      </c>
      <c r="BP643" s="6">
        <v>0</v>
      </c>
      <c r="BQ643" s="6">
        <v>0</v>
      </c>
      <c r="BR643" s="6">
        <v>0</v>
      </c>
      <c r="BS643" s="6">
        <v>0</v>
      </c>
      <c r="BT643" s="6">
        <v>0</v>
      </c>
      <c r="BU643" s="6">
        <v>0</v>
      </c>
      <c r="BV643" s="6">
        <v>0</v>
      </c>
      <c r="BW643" s="6">
        <v>0</v>
      </c>
      <c r="BX643" s="6">
        <v>0</v>
      </c>
      <c r="BY643" s="6">
        <v>0</v>
      </c>
      <c r="BZ643" s="6">
        <v>0</v>
      </c>
      <c r="CA643" s="6">
        <v>0</v>
      </c>
      <c r="CB643" s="6">
        <v>0</v>
      </c>
      <c r="CC643" s="6">
        <f>IF(Table3[[#This Row],[Type]]="EM",IF((Table3[[#This Row],[Diameter]]/2)-Table3[[#This Row],[CornerRadius]]-0.012&gt;0,(Table3[[#This Row],[Diameter]]/2)-Table3[[#This Row],[CornerRadius]]-0.012,0),)</f>
        <v>0</v>
      </c>
      <c r="CE643" s="6" t="str">
        <f>IF(Table3[[#This Row],[ShoulderLength]]="","",IF(Table3[[#This Row],[ShoulderLength]]&lt;Table3[[#This Row],[LOC]],"FIX",""))</f>
        <v/>
      </c>
    </row>
    <row r="644" spans="1:83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v>0</v>
      </c>
      <c r="BN644" s="6">
        <v>0</v>
      </c>
      <c r="BO644" s="6">
        <v>0</v>
      </c>
      <c r="BP644" s="6">
        <v>0</v>
      </c>
      <c r="BQ644" s="6">
        <v>0</v>
      </c>
      <c r="BR644" s="6">
        <v>0</v>
      </c>
      <c r="BS644" s="6">
        <v>0</v>
      </c>
      <c r="BT644" s="6">
        <v>0</v>
      </c>
      <c r="BU644" s="6">
        <v>0</v>
      </c>
      <c r="BV644" s="6">
        <v>0</v>
      </c>
      <c r="BW644" s="6">
        <v>0</v>
      </c>
      <c r="BX644" s="6">
        <v>0</v>
      </c>
      <c r="BY644" s="6">
        <v>0</v>
      </c>
      <c r="BZ644" s="6">
        <v>0</v>
      </c>
      <c r="CA644" s="6">
        <v>0</v>
      </c>
      <c r="CB644" s="6">
        <v>0</v>
      </c>
      <c r="CC644" s="6">
        <f>IF(Table3[[#This Row],[Type]]="EM",IF((Table3[[#This Row],[Diameter]]/2)-Table3[[#This Row],[CornerRadius]]-0.012&gt;0,(Table3[[#This Row],[Diameter]]/2)-Table3[[#This Row],[CornerRadius]]-0.012,0),)</f>
        <v>0</v>
      </c>
      <c r="CE644" s="6" t="str">
        <f>IF(Table3[[#This Row],[ShoulderLength]]="","",IF(Table3[[#This Row],[ShoulderLength]]&lt;Table3[[#This Row],[LOC]],"FIX",""))</f>
        <v/>
      </c>
    </row>
    <row r="645" spans="1:83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v>0</v>
      </c>
      <c r="BN645" s="6">
        <v>0</v>
      </c>
      <c r="BO645" s="6">
        <v>0</v>
      </c>
      <c r="BP645" s="6">
        <v>0</v>
      </c>
      <c r="BQ645" s="6">
        <v>0</v>
      </c>
      <c r="BR645" s="6">
        <v>0</v>
      </c>
      <c r="BS645" s="6">
        <v>0</v>
      </c>
      <c r="BT645" s="6">
        <v>0</v>
      </c>
      <c r="BU645" s="6">
        <v>0</v>
      </c>
      <c r="BV645" s="6">
        <v>0</v>
      </c>
      <c r="BW645" s="6">
        <v>0</v>
      </c>
      <c r="BX645" s="6">
        <v>0</v>
      </c>
      <c r="BY645" s="6">
        <v>0</v>
      </c>
      <c r="BZ645" s="6">
        <v>0</v>
      </c>
      <c r="CA645" s="6">
        <v>0</v>
      </c>
      <c r="CB645" s="6">
        <v>0</v>
      </c>
      <c r="CC645" s="6">
        <f>IF(Table3[[#This Row],[Type]]="EM",IF((Table3[[#This Row],[Diameter]]/2)-Table3[[#This Row],[CornerRadius]]-0.012&gt;0,(Table3[[#This Row],[Diameter]]/2)-Table3[[#This Row],[CornerRadius]]-0.012,0),)</f>
        <v>0</v>
      </c>
      <c r="CE645" s="6" t="str">
        <f>IF(Table3[[#This Row],[ShoulderLength]]="","",IF(Table3[[#This Row],[ShoulderLength]]&lt;Table3[[#This Row],[LOC]],"FIX",""))</f>
        <v/>
      </c>
    </row>
    <row r="646" spans="1:83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v>0</v>
      </c>
      <c r="BN646" s="6">
        <v>0</v>
      </c>
      <c r="BO646" s="6">
        <v>0</v>
      </c>
      <c r="BP646" s="6">
        <v>0</v>
      </c>
      <c r="BQ646" s="6">
        <v>0</v>
      </c>
      <c r="BR646" s="6">
        <v>0</v>
      </c>
      <c r="BS646" s="6">
        <v>0</v>
      </c>
      <c r="BT646" s="6">
        <v>0</v>
      </c>
      <c r="BU646" s="6">
        <v>0</v>
      </c>
      <c r="BV646" s="6">
        <v>0</v>
      </c>
      <c r="BW646" s="6">
        <v>0</v>
      </c>
      <c r="BX646" s="6">
        <v>0</v>
      </c>
      <c r="BY646" s="6">
        <v>0</v>
      </c>
      <c r="BZ646" s="6">
        <v>0</v>
      </c>
      <c r="CA646" s="6">
        <v>0</v>
      </c>
      <c r="CB646" s="6">
        <v>0</v>
      </c>
      <c r="CC646" s="6">
        <f>IF(Table3[[#This Row],[Type]]="EM",IF((Table3[[#This Row],[Diameter]]/2)-Table3[[#This Row],[CornerRadius]]-0.012&gt;0,(Table3[[#This Row],[Diameter]]/2)-Table3[[#This Row],[CornerRadius]]-0.012,0),)</f>
        <v>0</v>
      </c>
      <c r="CE646" s="6" t="str">
        <f>IF(Table3[[#This Row],[ShoulderLength]]="","",IF(Table3[[#This Row],[ShoulderLength]]&lt;Table3[[#This Row],[LOC]],"FIX",""))</f>
        <v/>
      </c>
    </row>
    <row r="647" spans="1:83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v>0</v>
      </c>
      <c r="BN647" s="6">
        <v>0</v>
      </c>
      <c r="BO647" s="6">
        <v>0</v>
      </c>
      <c r="BP647" s="6">
        <v>0</v>
      </c>
      <c r="BQ647" s="6">
        <v>0</v>
      </c>
      <c r="BR647" s="6">
        <v>0</v>
      </c>
      <c r="BS647" s="6">
        <v>0</v>
      </c>
      <c r="BT647" s="6">
        <v>0</v>
      </c>
      <c r="BU647" s="6">
        <v>0</v>
      </c>
      <c r="BV647" s="6">
        <v>0</v>
      </c>
      <c r="BW647" s="6">
        <v>0</v>
      </c>
      <c r="BX647" s="6">
        <v>0</v>
      </c>
      <c r="BY647" s="6">
        <v>0</v>
      </c>
      <c r="BZ647" s="6">
        <v>0</v>
      </c>
      <c r="CA647" s="6">
        <v>0</v>
      </c>
      <c r="CB647" s="6">
        <v>0</v>
      </c>
      <c r="CC647" s="6">
        <f>IF(Table3[[#This Row],[Type]]="EM",IF((Table3[[#This Row],[Diameter]]/2)-Table3[[#This Row],[CornerRadius]]-0.012&gt;0,(Table3[[#This Row],[Diameter]]/2)-Table3[[#This Row],[CornerRadius]]-0.012,0),)</f>
        <v>0</v>
      </c>
      <c r="CE647" s="6" t="str">
        <f>IF(Table3[[#This Row],[ShoulderLength]]="","",IF(Table3[[#This Row],[ShoulderLength]]&lt;Table3[[#This Row],[LOC]],"FIX",""))</f>
        <v/>
      </c>
    </row>
    <row r="648" spans="1:83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v>0</v>
      </c>
      <c r="BN648" s="6">
        <v>0</v>
      </c>
      <c r="BO648" s="6">
        <v>0</v>
      </c>
      <c r="BP648" s="6">
        <v>0</v>
      </c>
      <c r="BQ648" s="6">
        <v>0</v>
      </c>
      <c r="BR648" s="6">
        <v>0</v>
      </c>
      <c r="BS648" s="6">
        <v>0</v>
      </c>
      <c r="BT648" s="6">
        <v>0</v>
      </c>
      <c r="BU648" s="6">
        <v>0</v>
      </c>
      <c r="BV648" s="6">
        <v>0</v>
      </c>
      <c r="BW648" s="6">
        <v>0</v>
      </c>
      <c r="BX648" s="6">
        <v>0</v>
      </c>
      <c r="BY648" s="6">
        <v>0</v>
      </c>
      <c r="BZ648" s="6">
        <v>0</v>
      </c>
      <c r="CA648" s="6">
        <v>0</v>
      </c>
      <c r="CB648" s="6">
        <v>0</v>
      </c>
      <c r="CC648" s="6">
        <f>IF(Table3[[#This Row],[Type]]="EM",IF((Table3[[#This Row],[Diameter]]/2)-Table3[[#This Row],[CornerRadius]]-0.012&gt;0,(Table3[[#This Row],[Diameter]]/2)-Table3[[#This Row],[CornerRadius]]-0.012,0),)</f>
        <v>0</v>
      </c>
      <c r="CE648" s="6" t="str">
        <f>IF(Table3[[#This Row],[ShoulderLength]]="","",IF(Table3[[#This Row],[ShoulderLength]]&lt;Table3[[#This Row],[LOC]],"FIX",""))</f>
        <v/>
      </c>
    </row>
    <row r="649" spans="1:83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v>0</v>
      </c>
      <c r="BN649" s="6">
        <v>0</v>
      </c>
      <c r="BO649" s="6">
        <v>0</v>
      </c>
      <c r="BP649" s="6">
        <v>0</v>
      </c>
      <c r="BQ649" s="6">
        <v>0</v>
      </c>
      <c r="BR649" s="6">
        <v>0</v>
      </c>
      <c r="BS649" s="6">
        <v>0</v>
      </c>
      <c r="BT649" s="6">
        <v>0</v>
      </c>
      <c r="BU649" s="6">
        <v>0</v>
      </c>
      <c r="BV649" s="6">
        <v>0</v>
      </c>
      <c r="BW649" s="6">
        <v>0</v>
      </c>
      <c r="BX649" s="6">
        <v>0</v>
      </c>
      <c r="BY649" s="6">
        <v>0</v>
      </c>
      <c r="BZ649" s="6">
        <v>0</v>
      </c>
      <c r="CA649" s="6">
        <v>0</v>
      </c>
      <c r="CB649" s="6">
        <v>0</v>
      </c>
      <c r="CC649" s="6">
        <f>IF(Table3[[#This Row],[Type]]="EM",IF((Table3[[#This Row],[Diameter]]/2)-Table3[[#This Row],[CornerRadius]]-0.012&gt;0,(Table3[[#This Row],[Diameter]]/2)-Table3[[#This Row],[CornerRadius]]-0.012,0),)</f>
        <v>0</v>
      </c>
      <c r="CE649" s="6" t="str">
        <f>IF(Table3[[#This Row],[ShoulderLength]]="","",IF(Table3[[#This Row],[ShoulderLength]]&lt;Table3[[#This Row],[LOC]],"FIX",""))</f>
        <v/>
      </c>
    </row>
    <row r="650" spans="1:83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v>0</v>
      </c>
      <c r="BN650" s="6">
        <v>0</v>
      </c>
      <c r="BO650" s="6">
        <v>0</v>
      </c>
      <c r="BP650" s="6">
        <v>0</v>
      </c>
      <c r="BQ650" s="6">
        <v>0</v>
      </c>
      <c r="BR650" s="6">
        <v>0</v>
      </c>
      <c r="BS650" s="6">
        <v>0</v>
      </c>
      <c r="BT650" s="6">
        <v>0</v>
      </c>
      <c r="BU650" s="6">
        <v>0</v>
      </c>
      <c r="BV650" s="6">
        <v>0</v>
      </c>
      <c r="BW650" s="6">
        <v>0</v>
      </c>
      <c r="BX650" s="6">
        <v>0</v>
      </c>
      <c r="BY650" s="6">
        <v>0</v>
      </c>
      <c r="BZ650" s="6">
        <v>0</v>
      </c>
      <c r="CA650" s="6">
        <v>0</v>
      </c>
      <c r="CB650" s="6">
        <v>0</v>
      </c>
      <c r="CC650" s="6">
        <f>IF(Table3[[#This Row],[Type]]="EM",IF((Table3[[#This Row],[Diameter]]/2)-Table3[[#This Row],[CornerRadius]]-0.012&gt;0,(Table3[[#This Row],[Diameter]]/2)-Table3[[#This Row],[CornerRadius]]-0.012,0),)</f>
        <v>0</v>
      </c>
      <c r="CE650" s="6" t="str">
        <f>IF(Table3[[#This Row],[ShoulderLength]]="","",IF(Table3[[#This Row],[ShoulderLength]]&lt;Table3[[#This Row],[LOC]],"FIX",""))</f>
        <v/>
      </c>
    </row>
    <row r="651" spans="1:83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v>0</v>
      </c>
      <c r="BN651" s="6">
        <v>0</v>
      </c>
      <c r="BO651" s="6">
        <v>0</v>
      </c>
      <c r="BP651" s="6">
        <v>0</v>
      </c>
      <c r="BQ651" s="6">
        <v>0</v>
      </c>
      <c r="BR651" s="6">
        <v>0</v>
      </c>
      <c r="BS651" s="6">
        <v>0</v>
      </c>
      <c r="BT651" s="6">
        <v>0</v>
      </c>
      <c r="BU651" s="6">
        <v>0</v>
      </c>
      <c r="BV651" s="6">
        <v>0</v>
      </c>
      <c r="BW651" s="6">
        <v>0</v>
      </c>
      <c r="BX651" s="6">
        <v>0</v>
      </c>
      <c r="BY651" s="6">
        <v>0</v>
      </c>
      <c r="BZ651" s="6">
        <v>0</v>
      </c>
      <c r="CA651" s="6">
        <v>0</v>
      </c>
      <c r="CB651" s="6">
        <v>0</v>
      </c>
      <c r="CC651" s="6">
        <f>IF(Table3[[#This Row],[Type]]="EM",IF((Table3[[#This Row],[Diameter]]/2)-Table3[[#This Row],[CornerRadius]]-0.012&gt;0,(Table3[[#This Row],[Diameter]]/2)-Table3[[#This Row],[CornerRadius]]-0.012,0),)</f>
        <v>0</v>
      </c>
      <c r="CE651" s="6" t="str">
        <f>IF(Table3[[#This Row],[ShoulderLength]]="","",IF(Table3[[#This Row],[ShoulderLength]]&lt;Table3[[#This Row],[LOC]],"FIX",""))</f>
        <v/>
      </c>
    </row>
    <row r="652" spans="1:83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v>0</v>
      </c>
      <c r="BN652" s="6">
        <v>0</v>
      </c>
      <c r="BO652" s="6">
        <v>0</v>
      </c>
      <c r="BP652" s="6">
        <v>0</v>
      </c>
      <c r="BQ652" s="6">
        <v>0</v>
      </c>
      <c r="BR652" s="6">
        <v>0</v>
      </c>
      <c r="BS652" s="6">
        <v>0</v>
      </c>
      <c r="BT652" s="6">
        <v>0</v>
      </c>
      <c r="BU652" s="6">
        <v>0</v>
      </c>
      <c r="BV652" s="6">
        <v>0</v>
      </c>
      <c r="BW652" s="6">
        <v>0</v>
      </c>
      <c r="BX652" s="6">
        <v>0</v>
      </c>
      <c r="BY652" s="6">
        <v>0</v>
      </c>
      <c r="BZ652" s="6">
        <v>0</v>
      </c>
      <c r="CA652" s="6">
        <v>0</v>
      </c>
      <c r="CB652" s="6">
        <v>0</v>
      </c>
      <c r="CC652" s="6">
        <f>IF(Table3[[#This Row],[Type]]="EM",IF((Table3[[#This Row],[Diameter]]/2)-Table3[[#This Row],[CornerRadius]]-0.012&gt;0,(Table3[[#This Row],[Diameter]]/2)-Table3[[#This Row],[CornerRadius]]-0.012,0),)</f>
        <v>0</v>
      </c>
      <c r="CE652" s="6" t="str">
        <f>IF(Table3[[#This Row],[ShoulderLength]]="","",IF(Table3[[#This Row],[ShoulderLength]]&lt;Table3[[#This Row],[LOC]],"FIX",""))</f>
        <v/>
      </c>
    </row>
    <row r="653" spans="1:83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v>0</v>
      </c>
      <c r="BN653" s="6">
        <v>0</v>
      </c>
      <c r="BO653" s="6">
        <v>0</v>
      </c>
      <c r="BP653" s="6">
        <v>0</v>
      </c>
      <c r="BQ653" s="6">
        <v>0</v>
      </c>
      <c r="BR653" s="6">
        <v>0</v>
      </c>
      <c r="BS653" s="6">
        <v>0</v>
      </c>
      <c r="BT653" s="6">
        <v>0</v>
      </c>
      <c r="BU653" s="6">
        <v>0</v>
      </c>
      <c r="BV653" s="6">
        <v>0</v>
      </c>
      <c r="BW653" s="6">
        <v>0</v>
      </c>
      <c r="BX653" s="6">
        <v>0</v>
      </c>
      <c r="BY653" s="6">
        <v>0</v>
      </c>
      <c r="BZ653" s="6">
        <v>0</v>
      </c>
      <c r="CA653" s="6">
        <v>0</v>
      </c>
      <c r="CB653" s="6">
        <v>0</v>
      </c>
      <c r="CC653" s="6">
        <f>IF(Table3[[#This Row],[Type]]="EM",IF((Table3[[#This Row],[Diameter]]/2)-Table3[[#This Row],[CornerRadius]]-0.012&gt;0,(Table3[[#This Row],[Diameter]]/2)-Table3[[#This Row],[CornerRadius]]-0.012,0),)</f>
        <v>0</v>
      </c>
      <c r="CE653" s="6" t="str">
        <f>IF(Table3[[#This Row],[ShoulderLength]]="","",IF(Table3[[#This Row],[ShoulderLength]]&lt;Table3[[#This Row],[LOC]],"FIX",""))</f>
        <v/>
      </c>
    </row>
    <row r="654" spans="1:83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v>0</v>
      </c>
      <c r="BN654" s="6">
        <v>0</v>
      </c>
      <c r="BO654" s="6">
        <v>0</v>
      </c>
      <c r="BP654" s="6">
        <v>0</v>
      </c>
      <c r="BQ654" s="6">
        <v>0</v>
      </c>
      <c r="BR654" s="6">
        <v>0</v>
      </c>
      <c r="BS654" s="6">
        <v>0</v>
      </c>
      <c r="BT654" s="6">
        <v>0</v>
      </c>
      <c r="BU654" s="6">
        <v>0</v>
      </c>
      <c r="BV654" s="6">
        <v>0</v>
      </c>
      <c r="BW654" s="6">
        <v>0</v>
      </c>
      <c r="BX654" s="6">
        <v>0</v>
      </c>
      <c r="BY654" s="6">
        <v>0</v>
      </c>
      <c r="BZ654" s="6">
        <v>0</v>
      </c>
      <c r="CA654" s="6">
        <v>0</v>
      </c>
      <c r="CB654" s="6">
        <v>0</v>
      </c>
      <c r="CC654" s="6">
        <f>IF(Table3[[#This Row],[Type]]="EM",IF((Table3[[#This Row],[Diameter]]/2)-Table3[[#This Row],[CornerRadius]]-0.012&gt;0,(Table3[[#This Row],[Diameter]]/2)-Table3[[#This Row],[CornerRadius]]-0.012,0),)</f>
        <v>0</v>
      </c>
      <c r="CE654" s="6" t="str">
        <f>IF(Table3[[#This Row],[ShoulderLength]]="","",IF(Table3[[#This Row],[ShoulderLength]]&lt;Table3[[#This Row],[LOC]],"FIX",""))</f>
        <v/>
      </c>
    </row>
    <row r="655" spans="1:83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v>0</v>
      </c>
      <c r="BN655" s="6">
        <v>0</v>
      </c>
      <c r="BO655" s="6">
        <v>0</v>
      </c>
      <c r="BP655" s="6">
        <v>0</v>
      </c>
      <c r="BQ655" s="6">
        <v>0</v>
      </c>
      <c r="BR655" s="6">
        <v>0</v>
      </c>
      <c r="BS655" s="6">
        <v>0</v>
      </c>
      <c r="BT655" s="6">
        <v>0</v>
      </c>
      <c r="BU655" s="6">
        <v>0</v>
      </c>
      <c r="BV655" s="6">
        <v>0</v>
      </c>
      <c r="BW655" s="6">
        <v>0</v>
      </c>
      <c r="BX655" s="6">
        <v>0</v>
      </c>
      <c r="BY655" s="6">
        <v>0</v>
      </c>
      <c r="BZ655" s="6">
        <v>0</v>
      </c>
      <c r="CA655" s="6">
        <v>0</v>
      </c>
      <c r="CB655" s="6">
        <v>0</v>
      </c>
      <c r="CC655" s="6">
        <f>IF(Table3[[#This Row],[Type]]="EM",IF((Table3[[#This Row],[Diameter]]/2)-Table3[[#This Row],[CornerRadius]]-0.012&gt;0,(Table3[[#This Row],[Diameter]]/2)-Table3[[#This Row],[CornerRadius]]-0.012,0),)</f>
        <v>0</v>
      </c>
      <c r="CE655" s="6" t="str">
        <f>IF(Table3[[#This Row],[ShoulderLength]]="","",IF(Table3[[#This Row],[ShoulderLength]]&lt;Table3[[#This Row],[LOC]],"FIX",""))</f>
        <v/>
      </c>
    </row>
    <row r="656" spans="1:83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v>0</v>
      </c>
      <c r="BN656" s="6">
        <v>0</v>
      </c>
      <c r="BO656" s="6">
        <v>0</v>
      </c>
      <c r="BP656" s="6">
        <v>0</v>
      </c>
      <c r="BQ656" s="6">
        <v>0</v>
      </c>
      <c r="BR656" s="6">
        <v>0</v>
      </c>
      <c r="BS656" s="6">
        <v>0</v>
      </c>
      <c r="BT656" s="6">
        <v>0</v>
      </c>
      <c r="BU656" s="6">
        <v>0</v>
      </c>
      <c r="BV656" s="6">
        <v>0</v>
      </c>
      <c r="BW656" s="6">
        <v>0</v>
      </c>
      <c r="BX656" s="6">
        <v>0</v>
      </c>
      <c r="BY656" s="6">
        <v>0</v>
      </c>
      <c r="BZ656" s="6">
        <v>0</v>
      </c>
      <c r="CA656" s="6">
        <v>0</v>
      </c>
      <c r="CB656" s="6">
        <v>0</v>
      </c>
      <c r="CC656" s="6">
        <f>IF(Table3[[#This Row],[Type]]="EM",IF((Table3[[#This Row],[Diameter]]/2)-Table3[[#This Row],[CornerRadius]]-0.012&gt;0,(Table3[[#This Row],[Diameter]]/2)-Table3[[#This Row],[CornerRadius]]-0.012,0),)</f>
        <v>0</v>
      </c>
      <c r="CE656" s="6" t="str">
        <f>IF(Table3[[#This Row],[ShoulderLength]]="","",IF(Table3[[#This Row],[ShoulderLength]]&lt;Table3[[#This Row],[LOC]],"FIX",""))</f>
        <v/>
      </c>
    </row>
    <row r="657" spans="1:83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v>0</v>
      </c>
      <c r="BN657" s="6">
        <v>0</v>
      </c>
      <c r="BO657" s="6">
        <v>0</v>
      </c>
      <c r="BP657" s="6">
        <v>0</v>
      </c>
      <c r="BQ657" s="6">
        <v>0</v>
      </c>
      <c r="BR657" s="6">
        <v>0</v>
      </c>
      <c r="BS657" s="6">
        <v>0</v>
      </c>
      <c r="BT657" s="6">
        <v>0</v>
      </c>
      <c r="BU657" s="6">
        <v>0</v>
      </c>
      <c r="BV657" s="6">
        <v>0</v>
      </c>
      <c r="BW657" s="6">
        <v>0</v>
      </c>
      <c r="BX657" s="6">
        <v>0</v>
      </c>
      <c r="BY657" s="6">
        <v>0</v>
      </c>
      <c r="BZ657" s="6">
        <v>0</v>
      </c>
      <c r="CA657" s="6">
        <v>0</v>
      </c>
      <c r="CB657" s="6">
        <v>0</v>
      </c>
      <c r="CC657" s="6">
        <f>IF(Table3[[#This Row],[Type]]="EM",IF((Table3[[#This Row],[Diameter]]/2)-Table3[[#This Row],[CornerRadius]]-0.012&gt;0,(Table3[[#This Row],[Diameter]]/2)-Table3[[#This Row],[CornerRadius]]-0.012,0),)</f>
        <v>0</v>
      </c>
      <c r="CE657" s="6" t="str">
        <f>IF(Table3[[#This Row],[ShoulderLength]]="","",IF(Table3[[#This Row],[ShoulderLength]]&lt;Table3[[#This Row],[LOC]],"FIX",""))</f>
        <v/>
      </c>
    </row>
    <row r="658" spans="1:83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v>0</v>
      </c>
      <c r="BN658" s="6">
        <v>0</v>
      </c>
      <c r="BO658" s="6">
        <v>0</v>
      </c>
      <c r="BP658" s="6">
        <v>0</v>
      </c>
      <c r="BQ658" s="6">
        <v>0</v>
      </c>
      <c r="BR658" s="6">
        <v>0</v>
      </c>
      <c r="BS658" s="6">
        <v>0</v>
      </c>
      <c r="BT658" s="6">
        <v>0</v>
      </c>
      <c r="BU658" s="6">
        <v>0</v>
      </c>
      <c r="BV658" s="6">
        <v>0</v>
      </c>
      <c r="BW658" s="6">
        <v>0</v>
      </c>
      <c r="BX658" s="6">
        <v>0</v>
      </c>
      <c r="BY658" s="6">
        <v>0</v>
      </c>
      <c r="BZ658" s="6">
        <v>0</v>
      </c>
      <c r="CA658" s="6">
        <v>0</v>
      </c>
      <c r="CB658" s="6">
        <v>0</v>
      </c>
      <c r="CC658" s="6">
        <f>IF(Table3[[#This Row],[Type]]="EM",IF((Table3[[#This Row],[Diameter]]/2)-Table3[[#This Row],[CornerRadius]]-0.012&gt;0,(Table3[[#This Row],[Diameter]]/2)-Table3[[#This Row],[CornerRadius]]-0.012,0),)</f>
        <v>0</v>
      </c>
      <c r="CE658" s="6" t="str">
        <f>IF(Table3[[#This Row],[ShoulderLength]]="","",IF(Table3[[#This Row],[ShoulderLength]]&lt;Table3[[#This Row],[LOC]],"FIX",""))</f>
        <v/>
      </c>
    </row>
    <row r="659" spans="1:83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v>0</v>
      </c>
      <c r="BN659" s="6">
        <v>0</v>
      </c>
      <c r="BO659" s="6">
        <v>0</v>
      </c>
      <c r="BP659" s="6">
        <v>0</v>
      </c>
      <c r="BQ659" s="6">
        <v>0</v>
      </c>
      <c r="BR659" s="6">
        <v>0</v>
      </c>
      <c r="BS659" s="6">
        <v>0</v>
      </c>
      <c r="BT659" s="6">
        <v>0</v>
      </c>
      <c r="BU659" s="6">
        <v>0</v>
      </c>
      <c r="BV659" s="6">
        <v>0</v>
      </c>
      <c r="BW659" s="6">
        <v>0</v>
      </c>
      <c r="BX659" s="6">
        <v>0</v>
      </c>
      <c r="BY659" s="6">
        <v>0</v>
      </c>
      <c r="BZ659" s="6">
        <v>0</v>
      </c>
      <c r="CA659" s="6">
        <v>0</v>
      </c>
      <c r="CB659" s="6">
        <v>0</v>
      </c>
      <c r="CC659" s="6">
        <f>IF(Table3[[#This Row],[Type]]="EM",IF((Table3[[#This Row],[Diameter]]/2)-Table3[[#This Row],[CornerRadius]]-0.012&gt;0,(Table3[[#This Row],[Diameter]]/2)-Table3[[#This Row],[CornerRadius]]-0.012,0),)</f>
        <v>0</v>
      </c>
      <c r="CE659" s="6" t="str">
        <f>IF(Table3[[#This Row],[ShoulderLength]]="","",IF(Table3[[#This Row],[ShoulderLength]]&lt;Table3[[#This Row],[LOC]],"FIX",""))</f>
        <v/>
      </c>
    </row>
    <row r="660" spans="1:83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v>0</v>
      </c>
      <c r="BN660" s="6">
        <v>0</v>
      </c>
      <c r="BO660" s="6">
        <v>0</v>
      </c>
      <c r="BP660" s="6">
        <v>0</v>
      </c>
      <c r="BQ660" s="6">
        <v>0</v>
      </c>
      <c r="BR660" s="6">
        <v>0</v>
      </c>
      <c r="BS660" s="6">
        <v>0</v>
      </c>
      <c r="BT660" s="6">
        <v>0</v>
      </c>
      <c r="BU660" s="6">
        <v>0</v>
      </c>
      <c r="BV660" s="6">
        <v>0</v>
      </c>
      <c r="BW660" s="6">
        <v>0</v>
      </c>
      <c r="BX660" s="6">
        <v>0</v>
      </c>
      <c r="BY660" s="6">
        <v>0</v>
      </c>
      <c r="BZ660" s="6">
        <v>0</v>
      </c>
      <c r="CA660" s="6">
        <v>0</v>
      </c>
      <c r="CB660" s="6">
        <v>0</v>
      </c>
      <c r="CC660" s="6">
        <f>IF(Table3[[#This Row],[Type]]="EM",IF((Table3[[#This Row],[Diameter]]/2)-Table3[[#This Row],[CornerRadius]]-0.012&gt;0,(Table3[[#This Row],[Diameter]]/2)-Table3[[#This Row],[CornerRadius]]-0.012,0),)</f>
        <v>0</v>
      </c>
      <c r="CE660" s="6" t="str">
        <f>IF(Table3[[#This Row],[ShoulderLength]]="","",IF(Table3[[#This Row],[ShoulderLength]]&lt;Table3[[#This Row],[LOC]],"FIX",""))</f>
        <v/>
      </c>
    </row>
    <row r="661" spans="1:83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v>0</v>
      </c>
      <c r="BN661" s="6">
        <v>0</v>
      </c>
      <c r="BO661" s="6">
        <v>0</v>
      </c>
      <c r="BP661" s="6">
        <v>0</v>
      </c>
      <c r="BQ661" s="6">
        <v>0</v>
      </c>
      <c r="BR661" s="6">
        <v>0</v>
      </c>
      <c r="BS661" s="6">
        <v>0</v>
      </c>
      <c r="BT661" s="6">
        <v>0</v>
      </c>
      <c r="BU661" s="6">
        <v>0</v>
      </c>
      <c r="BV661" s="6">
        <v>0</v>
      </c>
      <c r="BW661" s="6">
        <v>0</v>
      </c>
      <c r="BX661" s="6">
        <v>0</v>
      </c>
      <c r="BY661" s="6">
        <v>0</v>
      </c>
      <c r="BZ661" s="6">
        <v>0</v>
      </c>
      <c r="CA661" s="6">
        <v>0</v>
      </c>
      <c r="CB661" s="6">
        <v>0</v>
      </c>
      <c r="CC661" s="6">
        <f>IF(Table3[[#This Row],[Type]]="EM",IF((Table3[[#This Row],[Diameter]]/2)-Table3[[#This Row],[CornerRadius]]-0.012&gt;0,(Table3[[#This Row],[Diameter]]/2)-Table3[[#This Row],[CornerRadius]]-0.012,0),)</f>
        <v>0</v>
      </c>
      <c r="CE661" s="6" t="str">
        <f>IF(Table3[[#This Row],[ShoulderLength]]="","",IF(Table3[[#This Row],[ShoulderLength]]&lt;Table3[[#This Row],[LOC]],"FIX",""))</f>
        <v/>
      </c>
    </row>
    <row r="662" spans="1:83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v>0</v>
      </c>
      <c r="BN662" s="6">
        <v>0</v>
      </c>
      <c r="BO662" s="6">
        <v>0</v>
      </c>
      <c r="BP662" s="6">
        <v>0</v>
      </c>
      <c r="BQ662" s="6">
        <v>0</v>
      </c>
      <c r="BR662" s="6">
        <v>0</v>
      </c>
      <c r="BS662" s="6">
        <v>0</v>
      </c>
      <c r="BT662" s="6">
        <v>0</v>
      </c>
      <c r="BU662" s="6">
        <v>0</v>
      </c>
      <c r="BV662" s="6">
        <v>0</v>
      </c>
      <c r="BW662" s="6">
        <v>0</v>
      </c>
      <c r="BX662" s="6">
        <v>0</v>
      </c>
      <c r="BY662" s="6">
        <v>0</v>
      </c>
      <c r="BZ662" s="6">
        <v>0</v>
      </c>
      <c r="CA662" s="6">
        <v>0</v>
      </c>
      <c r="CB662" s="6">
        <v>0</v>
      </c>
      <c r="CC662" s="6">
        <f>IF(Table3[[#This Row],[Type]]="EM",IF((Table3[[#This Row],[Diameter]]/2)-Table3[[#This Row],[CornerRadius]]-0.012&gt;0,(Table3[[#This Row],[Diameter]]/2)-Table3[[#This Row],[CornerRadius]]-0.012,0),)</f>
        <v>0</v>
      </c>
      <c r="CE662" s="6" t="str">
        <f>IF(Table3[[#This Row],[ShoulderLength]]="","",IF(Table3[[#This Row],[ShoulderLength]]&lt;Table3[[#This Row],[LOC]],"FIX",""))</f>
        <v/>
      </c>
    </row>
    <row r="663" spans="1:83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v>0</v>
      </c>
      <c r="BN663" s="6">
        <v>0</v>
      </c>
      <c r="BO663" s="6">
        <v>0</v>
      </c>
      <c r="BP663" s="6">
        <v>0</v>
      </c>
      <c r="BQ663" s="6">
        <v>0</v>
      </c>
      <c r="BR663" s="6">
        <v>0</v>
      </c>
      <c r="BS663" s="6">
        <v>0</v>
      </c>
      <c r="BT663" s="6">
        <v>0</v>
      </c>
      <c r="BU663" s="6">
        <v>0</v>
      </c>
      <c r="BV663" s="6">
        <v>0</v>
      </c>
      <c r="BW663" s="6">
        <v>0</v>
      </c>
      <c r="BX663" s="6">
        <v>0</v>
      </c>
      <c r="BY663" s="6">
        <v>0</v>
      </c>
      <c r="BZ663" s="6">
        <v>0</v>
      </c>
      <c r="CA663" s="6">
        <v>0</v>
      </c>
      <c r="CB663" s="6">
        <v>0</v>
      </c>
      <c r="CC663" s="6">
        <f>IF(Table3[[#This Row],[Type]]="EM",IF((Table3[[#This Row],[Diameter]]/2)-Table3[[#This Row],[CornerRadius]]-0.012&gt;0,(Table3[[#This Row],[Diameter]]/2)-Table3[[#This Row],[CornerRadius]]-0.012,0),)</f>
        <v>0</v>
      </c>
      <c r="CE663" s="6" t="str">
        <f>IF(Table3[[#This Row],[ShoulderLength]]="","",IF(Table3[[#This Row],[ShoulderLength]]&lt;Table3[[#This Row],[LOC]],"FIX",""))</f>
        <v/>
      </c>
    </row>
    <row r="664" spans="1:83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v>0</v>
      </c>
      <c r="BN664" s="6">
        <v>0</v>
      </c>
      <c r="BO664" s="6">
        <v>0</v>
      </c>
      <c r="BP664" s="6">
        <v>0</v>
      </c>
      <c r="BQ664" s="6">
        <v>0</v>
      </c>
      <c r="BR664" s="6">
        <v>0</v>
      </c>
      <c r="BS664" s="6">
        <v>0</v>
      </c>
      <c r="BT664" s="6">
        <v>0</v>
      </c>
      <c r="BU664" s="6">
        <v>0</v>
      </c>
      <c r="BV664" s="6">
        <v>0</v>
      </c>
      <c r="BW664" s="6">
        <v>0</v>
      </c>
      <c r="BX664" s="6">
        <v>0</v>
      </c>
      <c r="BY664" s="6">
        <v>0</v>
      </c>
      <c r="BZ664" s="6">
        <v>0</v>
      </c>
      <c r="CA664" s="6">
        <v>0</v>
      </c>
      <c r="CB664" s="6">
        <v>0</v>
      </c>
      <c r="CC664" s="6">
        <f>IF(Table3[[#This Row],[Type]]="EM",IF((Table3[[#This Row],[Diameter]]/2)-Table3[[#This Row],[CornerRadius]]-0.012&gt;0,(Table3[[#This Row],[Diameter]]/2)-Table3[[#This Row],[CornerRadius]]-0.012,0),)</f>
        <v>0</v>
      </c>
      <c r="CE664" s="6" t="str">
        <f>IF(Table3[[#This Row],[ShoulderLength]]="","",IF(Table3[[#This Row],[ShoulderLength]]&lt;Table3[[#This Row],[LOC]],"FIX",""))</f>
        <v/>
      </c>
    </row>
    <row r="665" spans="1:83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v>0</v>
      </c>
      <c r="BN665" s="6">
        <v>0</v>
      </c>
      <c r="BO665" s="6">
        <v>0</v>
      </c>
      <c r="BP665" s="6">
        <v>0</v>
      </c>
      <c r="BQ665" s="6">
        <v>0</v>
      </c>
      <c r="BR665" s="6">
        <v>0</v>
      </c>
      <c r="BS665" s="6">
        <v>0</v>
      </c>
      <c r="BT665" s="6">
        <v>0</v>
      </c>
      <c r="BU665" s="6">
        <v>0</v>
      </c>
      <c r="BV665" s="6">
        <v>0</v>
      </c>
      <c r="BW665" s="6">
        <v>0</v>
      </c>
      <c r="BX665" s="6">
        <v>0</v>
      </c>
      <c r="BY665" s="6">
        <v>0</v>
      </c>
      <c r="BZ665" s="6">
        <v>0</v>
      </c>
      <c r="CA665" s="6">
        <v>0</v>
      </c>
      <c r="CB665" s="6">
        <v>0</v>
      </c>
      <c r="CC665" s="6">
        <f>IF(Table3[[#This Row],[Type]]="EM",IF((Table3[[#This Row],[Diameter]]/2)-Table3[[#This Row],[CornerRadius]]-0.012&gt;0,(Table3[[#This Row],[Diameter]]/2)-Table3[[#This Row],[CornerRadius]]-0.012,0),)</f>
        <v>0</v>
      </c>
      <c r="CE665" s="6" t="str">
        <f>IF(Table3[[#This Row],[ShoulderLength]]="","",IF(Table3[[#This Row],[ShoulderLength]]&lt;Table3[[#This Row],[LOC]],"FIX",""))</f>
        <v/>
      </c>
    </row>
    <row r="666" spans="1:83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v>0</v>
      </c>
      <c r="BN666" s="6">
        <v>0</v>
      </c>
      <c r="BO666" s="6">
        <v>0</v>
      </c>
      <c r="BP666" s="6">
        <v>0</v>
      </c>
      <c r="BQ666" s="6">
        <v>0</v>
      </c>
      <c r="BR666" s="6">
        <v>0</v>
      </c>
      <c r="BS666" s="6">
        <v>0</v>
      </c>
      <c r="BT666" s="6">
        <v>0</v>
      </c>
      <c r="BU666" s="6">
        <v>0</v>
      </c>
      <c r="BV666" s="6">
        <v>0</v>
      </c>
      <c r="BW666" s="6">
        <v>0</v>
      </c>
      <c r="BX666" s="6">
        <v>0</v>
      </c>
      <c r="BY666" s="6">
        <v>0</v>
      </c>
      <c r="BZ666" s="6">
        <v>0</v>
      </c>
      <c r="CA666" s="6">
        <v>0</v>
      </c>
      <c r="CB666" s="6">
        <v>0</v>
      </c>
      <c r="CC666" s="6">
        <f>IF(Table3[[#This Row],[Type]]="EM",IF((Table3[[#This Row],[Diameter]]/2)-Table3[[#This Row],[CornerRadius]]-0.012&gt;0,(Table3[[#This Row],[Diameter]]/2)-Table3[[#This Row],[CornerRadius]]-0.012,0),)</f>
        <v>0</v>
      </c>
      <c r="CE666" s="6" t="str">
        <f>IF(Table3[[#This Row],[ShoulderLength]]="","",IF(Table3[[#This Row],[ShoulderLength]]&lt;Table3[[#This Row],[LOC]],"FIX",""))</f>
        <v/>
      </c>
    </row>
    <row r="667" spans="1:83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v>0</v>
      </c>
      <c r="BN667" s="6">
        <v>0</v>
      </c>
      <c r="BO667" s="6">
        <v>0</v>
      </c>
      <c r="BP667" s="6">
        <v>0</v>
      </c>
      <c r="BQ667" s="6">
        <v>0</v>
      </c>
      <c r="BR667" s="6">
        <v>0</v>
      </c>
      <c r="BS667" s="6">
        <v>0</v>
      </c>
      <c r="BT667" s="6">
        <v>0</v>
      </c>
      <c r="BU667" s="6">
        <v>0</v>
      </c>
      <c r="BV667" s="6">
        <v>0</v>
      </c>
      <c r="BW667" s="6">
        <v>0</v>
      </c>
      <c r="BX667" s="6">
        <v>0</v>
      </c>
      <c r="BY667" s="6">
        <v>0</v>
      </c>
      <c r="BZ667" s="6">
        <v>0</v>
      </c>
      <c r="CA667" s="6">
        <v>0</v>
      </c>
      <c r="CB667" s="6">
        <v>0</v>
      </c>
      <c r="CC667" s="6">
        <f>IF(Table3[[#This Row],[Type]]="EM",IF((Table3[[#This Row],[Diameter]]/2)-Table3[[#This Row],[CornerRadius]]-0.012&gt;0,(Table3[[#This Row],[Diameter]]/2)-Table3[[#This Row],[CornerRadius]]-0.012,0),)</f>
        <v>0</v>
      </c>
      <c r="CE667" s="6" t="str">
        <f>IF(Table3[[#This Row],[ShoulderLength]]="","",IF(Table3[[#This Row],[ShoulderLength]]&lt;Table3[[#This Row],[LOC]],"FIX",""))</f>
        <v/>
      </c>
    </row>
    <row r="668" spans="1:83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v>0</v>
      </c>
      <c r="BN668" s="6">
        <v>0</v>
      </c>
      <c r="BO668" s="6">
        <v>0</v>
      </c>
      <c r="BP668" s="6">
        <v>0</v>
      </c>
      <c r="BQ668" s="6">
        <v>0</v>
      </c>
      <c r="BR668" s="6">
        <v>0</v>
      </c>
      <c r="BS668" s="6">
        <v>0</v>
      </c>
      <c r="BT668" s="6">
        <v>0</v>
      </c>
      <c r="BU668" s="6">
        <v>0</v>
      </c>
      <c r="BV668" s="6">
        <v>0</v>
      </c>
      <c r="BW668" s="6">
        <v>0</v>
      </c>
      <c r="BX668" s="6">
        <v>0</v>
      </c>
      <c r="BY668" s="6">
        <v>0</v>
      </c>
      <c r="BZ668" s="6">
        <v>0</v>
      </c>
      <c r="CA668" s="6">
        <v>0</v>
      </c>
      <c r="CB668" s="6">
        <v>0</v>
      </c>
      <c r="CC668" s="6">
        <f>IF(Table3[[#This Row],[Type]]="EM",IF((Table3[[#This Row],[Diameter]]/2)-Table3[[#This Row],[CornerRadius]]-0.012&gt;0,(Table3[[#This Row],[Diameter]]/2)-Table3[[#This Row],[CornerRadius]]-0.012,0),)</f>
        <v>0</v>
      </c>
      <c r="CE668" s="6" t="str">
        <f>IF(Table3[[#This Row],[ShoulderLength]]="","",IF(Table3[[#This Row],[ShoulderLength]]&lt;Table3[[#This Row],[LOC]],"FIX",""))</f>
        <v/>
      </c>
    </row>
    <row r="669" spans="1:83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v>0</v>
      </c>
      <c r="BN669" s="6">
        <v>0</v>
      </c>
      <c r="BO669" s="6">
        <v>0</v>
      </c>
      <c r="BP669" s="6">
        <v>0</v>
      </c>
      <c r="BQ669" s="6">
        <v>0</v>
      </c>
      <c r="BR669" s="6">
        <v>0</v>
      </c>
      <c r="BS669" s="6">
        <v>0</v>
      </c>
      <c r="BT669" s="6">
        <v>0</v>
      </c>
      <c r="BU669" s="6">
        <v>0</v>
      </c>
      <c r="BV669" s="6">
        <v>0</v>
      </c>
      <c r="BW669" s="6">
        <v>0</v>
      </c>
      <c r="BX669" s="6">
        <v>0</v>
      </c>
      <c r="BY669" s="6">
        <v>0</v>
      </c>
      <c r="BZ669" s="6">
        <v>0</v>
      </c>
      <c r="CA669" s="6">
        <v>0</v>
      </c>
      <c r="CB669" s="6">
        <v>0</v>
      </c>
      <c r="CC669" s="6">
        <f>IF(Table3[[#This Row],[Type]]="EM",IF((Table3[[#This Row],[Diameter]]/2)-Table3[[#This Row],[CornerRadius]]-0.012&gt;0,(Table3[[#This Row],[Diameter]]/2)-Table3[[#This Row],[CornerRadius]]-0.012,0),)</f>
        <v>0</v>
      </c>
      <c r="CE669" s="6" t="str">
        <f>IF(Table3[[#This Row],[ShoulderLength]]="","",IF(Table3[[#This Row],[ShoulderLength]]&lt;Table3[[#This Row],[LOC]],"FIX",""))</f>
        <v>FIX</v>
      </c>
    </row>
    <row r="670" spans="1:83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v>0</v>
      </c>
      <c r="BN670" s="6">
        <v>0</v>
      </c>
      <c r="BO670" s="6">
        <v>0</v>
      </c>
      <c r="BP670" s="6">
        <v>0</v>
      </c>
      <c r="BQ670" s="6">
        <v>0</v>
      </c>
      <c r="BR670" s="6">
        <v>0</v>
      </c>
      <c r="BS670" s="6">
        <v>0</v>
      </c>
      <c r="BT670" s="6">
        <v>0</v>
      </c>
      <c r="BU670" s="6">
        <v>0</v>
      </c>
      <c r="BV670" s="6">
        <v>0</v>
      </c>
      <c r="BW670" s="6">
        <v>0</v>
      </c>
      <c r="BX670" s="6">
        <v>0</v>
      </c>
      <c r="BY670" s="6">
        <v>0</v>
      </c>
      <c r="BZ670" s="6">
        <v>0</v>
      </c>
      <c r="CA670" s="6">
        <v>0</v>
      </c>
      <c r="CB670" s="6">
        <v>0</v>
      </c>
      <c r="CC670" s="6">
        <f>IF(Table3[[#This Row],[Type]]="EM",IF((Table3[[#This Row],[Diameter]]/2)-Table3[[#This Row],[CornerRadius]]-0.012&gt;0,(Table3[[#This Row],[Diameter]]/2)-Table3[[#This Row],[CornerRadius]]-0.012,0),)</f>
        <v>0</v>
      </c>
      <c r="CE670" s="6" t="str">
        <f>IF(Table3[[#This Row],[ShoulderLength]]="","",IF(Table3[[#This Row],[ShoulderLength]]&lt;Table3[[#This Row],[LOC]],"FIX",""))</f>
        <v/>
      </c>
    </row>
    <row r="671" spans="1:83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v>0</v>
      </c>
      <c r="BN671" s="6">
        <v>0</v>
      </c>
      <c r="BO671" s="6">
        <v>0</v>
      </c>
      <c r="BP671" s="6">
        <v>0</v>
      </c>
      <c r="BQ671" s="6">
        <v>0</v>
      </c>
      <c r="BR671" s="6">
        <v>0</v>
      </c>
      <c r="BS671" s="6">
        <v>0</v>
      </c>
      <c r="BT671" s="6">
        <v>0</v>
      </c>
      <c r="BU671" s="6">
        <v>0</v>
      </c>
      <c r="BV671" s="6">
        <v>0</v>
      </c>
      <c r="BW671" s="6">
        <v>0</v>
      </c>
      <c r="BX671" s="6">
        <v>0</v>
      </c>
      <c r="BY671" s="6">
        <v>0</v>
      </c>
      <c r="BZ671" s="6">
        <v>0</v>
      </c>
      <c r="CA671" s="6">
        <v>0</v>
      </c>
      <c r="CB671" s="6">
        <v>0</v>
      </c>
      <c r="CC671" s="6">
        <f>IF(Table3[[#This Row],[Type]]="EM",IF((Table3[[#This Row],[Diameter]]/2)-Table3[[#This Row],[CornerRadius]]-0.012&gt;0,(Table3[[#This Row],[Diameter]]/2)-Table3[[#This Row],[CornerRadius]]-0.012,0),)</f>
        <v>0</v>
      </c>
      <c r="CE671" s="6" t="str">
        <f>IF(Table3[[#This Row],[ShoulderLength]]="","",IF(Table3[[#This Row],[ShoulderLength]]&lt;Table3[[#This Row],[LOC]],"FIX",""))</f>
        <v/>
      </c>
    </row>
    <row r="672" spans="1:83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v>0</v>
      </c>
      <c r="BN672" s="6">
        <v>0</v>
      </c>
      <c r="BO672" s="6">
        <v>0</v>
      </c>
      <c r="BP672" s="6">
        <v>0</v>
      </c>
      <c r="BQ672" s="6">
        <v>0</v>
      </c>
      <c r="BR672" s="6">
        <v>0</v>
      </c>
      <c r="BS672" s="6">
        <v>0</v>
      </c>
      <c r="BT672" s="6">
        <v>0</v>
      </c>
      <c r="BU672" s="6">
        <v>0</v>
      </c>
      <c r="BV672" s="6">
        <v>0</v>
      </c>
      <c r="BW672" s="6">
        <v>0</v>
      </c>
      <c r="BX672" s="6">
        <v>0</v>
      </c>
      <c r="BY672" s="6">
        <v>0</v>
      </c>
      <c r="BZ672" s="6">
        <v>0</v>
      </c>
      <c r="CA672" s="6">
        <v>0</v>
      </c>
      <c r="CB672" s="6">
        <v>0</v>
      </c>
      <c r="CC672" s="6">
        <f>IF(Table3[[#This Row],[Type]]="EM",IF((Table3[[#This Row],[Diameter]]/2)-Table3[[#This Row],[CornerRadius]]-0.012&gt;0,(Table3[[#This Row],[Diameter]]/2)-Table3[[#This Row],[CornerRadius]]-0.012,0),)</f>
        <v>0</v>
      </c>
      <c r="CE672" s="6" t="str">
        <f>IF(Table3[[#This Row],[ShoulderLength]]="","",IF(Table3[[#This Row],[ShoulderLength]]&lt;Table3[[#This Row],[LOC]],"FIX",""))</f>
        <v/>
      </c>
    </row>
    <row r="673" spans="1:83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v>0</v>
      </c>
      <c r="BN673" s="6">
        <v>0</v>
      </c>
      <c r="BO673" s="6">
        <v>0</v>
      </c>
      <c r="BP673" s="6">
        <v>0</v>
      </c>
      <c r="BQ673" s="6">
        <v>0</v>
      </c>
      <c r="BR673" s="6">
        <v>0</v>
      </c>
      <c r="BS673" s="6">
        <v>0</v>
      </c>
      <c r="BT673" s="6">
        <v>0</v>
      </c>
      <c r="BU673" s="6">
        <v>0</v>
      </c>
      <c r="BV673" s="6">
        <v>0</v>
      </c>
      <c r="BW673" s="6">
        <v>0</v>
      </c>
      <c r="BX673" s="6">
        <v>0</v>
      </c>
      <c r="BY673" s="6">
        <v>0</v>
      </c>
      <c r="BZ673" s="6">
        <v>0</v>
      </c>
      <c r="CA673" s="6">
        <v>0</v>
      </c>
      <c r="CB673" s="6">
        <v>0</v>
      </c>
      <c r="CC673" s="6">
        <f>IF(Table3[[#This Row],[Type]]="EM",IF((Table3[[#This Row],[Diameter]]/2)-Table3[[#This Row],[CornerRadius]]-0.012&gt;0,(Table3[[#This Row],[Diameter]]/2)-Table3[[#This Row],[CornerRadius]]-0.012,0),)</f>
        <v>0</v>
      </c>
      <c r="CE673" s="6" t="str">
        <f>IF(Table3[[#This Row],[ShoulderLength]]="","",IF(Table3[[#This Row],[ShoulderLength]]&lt;Table3[[#This Row],[LOC]],"FIX",""))</f>
        <v/>
      </c>
    </row>
    <row r="674" spans="1:83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v>0</v>
      </c>
      <c r="BN674" s="6">
        <v>0</v>
      </c>
      <c r="BO674" s="6">
        <v>0</v>
      </c>
      <c r="BP674" s="6">
        <v>0</v>
      </c>
      <c r="BQ674" s="6">
        <v>0</v>
      </c>
      <c r="BR674" s="6">
        <v>0</v>
      </c>
      <c r="BS674" s="6">
        <v>0</v>
      </c>
      <c r="BT674" s="6">
        <v>0</v>
      </c>
      <c r="BU674" s="6">
        <v>0</v>
      </c>
      <c r="BV674" s="6">
        <v>0</v>
      </c>
      <c r="BW674" s="6">
        <v>0</v>
      </c>
      <c r="BX674" s="6">
        <v>0</v>
      </c>
      <c r="BY674" s="6">
        <v>0</v>
      </c>
      <c r="BZ674" s="6">
        <v>0</v>
      </c>
      <c r="CA674" s="6">
        <v>0</v>
      </c>
      <c r="CB674" s="6">
        <v>0</v>
      </c>
      <c r="CC674" s="6">
        <f>IF(Table3[[#This Row],[Type]]="EM",IF((Table3[[#This Row],[Diameter]]/2)-Table3[[#This Row],[CornerRadius]]-0.012&gt;0,(Table3[[#This Row],[Diameter]]/2)-Table3[[#This Row],[CornerRadius]]-0.012,0),)</f>
        <v>0</v>
      </c>
      <c r="CE674" s="6" t="str">
        <f>IF(Table3[[#This Row],[ShoulderLength]]="","",IF(Table3[[#This Row],[ShoulderLength]]&lt;Table3[[#This Row],[LOC]],"FIX",""))</f>
        <v/>
      </c>
    </row>
    <row r="675" spans="1:83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v>0</v>
      </c>
      <c r="BN675" s="6">
        <v>0</v>
      </c>
      <c r="BO675" s="6">
        <v>0</v>
      </c>
      <c r="BP675" s="6">
        <v>0</v>
      </c>
      <c r="BQ675" s="6">
        <v>0</v>
      </c>
      <c r="BR675" s="6">
        <v>0</v>
      </c>
      <c r="BS675" s="6">
        <v>0</v>
      </c>
      <c r="BT675" s="6">
        <v>0</v>
      </c>
      <c r="BU675" s="6">
        <v>0</v>
      </c>
      <c r="BV675" s="6">
        <v>0</v>
      </c>
      <c r="BW675" s="6">
        <v>0</v>
      </c>
      <c r="BX675" s="6">
        <v>0</v>
      </c>
      <c r="BY675" s="6">
        <v>0</v>
      </c>
      <c r="BZ675" s="6">
        <v>0</v>
      </c>
      <c r="CA675" s="6">
        <v>0</v>
      </c>
      <c r="CB675" s="6">
        <v>0</v>
      </c>
      <c r="CC675" s="6">
        <f>IF(Table3[[#This Row],[Type]]="EM",IF((Table3[[#This Row],[Diameter]]/2)-Table3[[#This Row],[CornerRadius]]-0.012&gt;0,(Table3[[#This Row],[Diameter]]/2)-Table3[[#This Row],[CornerRadius]]-0.012,0),)</f>
        <v>0</v>
      </c>
      <c r="CE675" s="6" t="str">
        <f>IF(Table3[[#This Row],[ShoulderLength]]="","",IF(Table3[[#This Row],[ShoulderLength]]&lt;Table3[[#This Row],[LOC]],"FIX",""))</f>
        <v/>
      </c>
    </row>
    <row r="676" spans="1:83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v>0</v>
      </c>
      <c r="BN676" s="6">
        <v>0</v>
      </c>
      <c r="BO676" s="6">
        <v>0</v>
      </c>
      <c r="BP676" s="6">
        <v>0</v>
      </c>
      <c r="BQ676" s="6">
        <v>0</v>
      </c>
      <c r="BR676" s="6">
        <v>0</v>
      </c>
      <c r="BS676" s="6">
        <v>0</v>
      </c>
      <c r="BT676" s="6">
        <v>0</v>
      </c>
      <c r="BU676" s="6">
        <v>0</v>
      </c>
      <c r="BV676" s="6">
        <v>0</v>
      </c>
      <c r="BW676" s="6">
        <v>0</v>
      </c>
      <c r="BX676" s="6">
        <v>0</v>
      </c>
      <c r="BY676" s="6">
        <v>0</v>
      </c>
      <c r="BZ676" s="6">
        <v>0</v>
      </c>
      <c r="CA676" s="6">
        <v>0</v>
      </c>
      <c r="CB676" s="6">
        <v>0</v>
      </c>
      <c r="CC676" s="6">
        <f>IF(Table3[[#This Row],[Type]]="EM",IF((Table3[[#This Row],[Diameter]]/2)-Table3[[#This Row],[CornerRadius]]-0.012&gt;0,(Table3[[#This Row],[Diameter]]/2)-Table3[[#This Row],[CornerRadius]]-0.012,0),)</f>
        <v>0</v>
      </c>
      <c r="CE676" s="6" t="str">
        <f>IF(Table3[[#This Row],[ShoulderLength]]="","",IF(Table3[[#This Row],[ShoulderLength]]&lt;Table3[[#This Row],[LOC]],"FIX",""))</f>
        <v/>
      </c>
    </row>
    <row r="677" spans="1:83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v>0</v>
      </c>
      <c r="BN677" s="6">
        <v>0</v>
      </c>
      <c r="BO677" s="6">
        <v>0</v>
      </c>
      <c r="BP677" s="6">
        <v>0</v>
      </c>
      <c r="BQ677" s="6">
        <v>0</v>
      </c>
      <c r="BR677" s="6">
        <v>0</v>
      </c>
      <c r="BS677" s="6">
        <v>0</v>
      </c>
      <c r="BT677" s="6">
        <v>0</v>
      </c>
      <c r="BU677" s="6">
        <v>0</v>
      </c>
      <c r="BV677" s="6">
        <v>0</v>
      </c>
      <c r="BW677" s="6">
        <v>0</v>
      </c>
      <c r="BX677" s="6">
        <v>0</v>
      </c>
      <c r="BY677" s="6">
        <v>0</v>
      </c>
      <c r="BZ677" s="6">
        <v>0</v>
      </c>
      <c r="CA677" s="6">
        <v>0</v>
      </c>
      <c r="CB677" s="6">
        <v>0</v>
      </c>
      <c r="CC677" s="6">
        <f>IF(Table3[[#This Row],[Type]]="EM",IF((Table3[[#This Row],[Diameter]]/2)-Table3[[#This Row],[CornerRadius]]-0.012&gt;0,(Table3[[#This Row],[Diameter]]/2)-Table3[[#This Row],[CornerRadius]]-0.012,0),)</f>
        <v>0</v>
      </c>
      <c r="CE677" s="6" t="str">
        <f>IF(Table3[[#This Row],[ShoulderLength]]="","",IF(Table3[[#This Row],[ShoulderLength]]&lt;Table3[[#This Row],[LOC]],"FIX",""))</f>
        <v/>
      </c>
    </row>
    <row r="678" spans="1:83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v>0</v>
      </c>
      <c r="BN678" s="6">
        <v>0</v>
      </c>
      <c r="BO678" s="6">
        <v>0</v>
      </c>
      <c r="BP678" s="6">
        <v>0</v>
      </c>
      <c r="BQ678" s="6">
        <v>0</v>
      </c>
      <c r="BR678" s="6">
        <v>0</v>
      </c>
      <c r="BS678" s="6">
        <v>0</v>
      </c>
      <c r="BT678" s="6">
        <v>0</v>
      </c>
      <c r="BU678" s="6">
        <v>0</v>
      </c>
      <c r="BV678" s="6">
        <v>0</v>
      </c>
      <c r="BW678" s="6">
        <v>0</v>
      </c>
      <c r="BX678" s="6">
        <v>0</v>
      </c>
      <c r="BY678" s="6">
        <v>0</v>
      </c>
      <c r="BZ678" s="6">
        <v>0</v>
      </c>
      <c r="CA678" s="6">
        <v>0</v>
      </c>
      <c r="CB678" s="6">
        <v>0</v>
      </c>
      <c r="CC678" s="6">
        <f>IF(Table3[[#This Row],[Type]]="EM",IF((Table3[[#This Row],[Diameter]]/2)-Table3[[#This Row],[CornerRadius]]-0.012&gt;0,(Table3[[#This Row],[Diameter]]/2)-Table3[[#This Row],[CornerRadius]]-0.012,0),)</f>
        <v>0</v>
      </c>
      <c r="CE678" s="6" t="str">
        <f>IF(Table3[[#This Row],[ShoulderLength]]="","",IF(Table3[[#This Row],[ShoulderLength]]&lt;Table3[[#This Row],[LOC]],"FIX",""))</f>
        <v/>
      </c>
    </row>
    <row r="679" spans="1:83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v>0</v>
      </c>
      <c r="BN679" s="6">
        <v>0</v>
      </c>
      <c r="BO679" s="6">
        <v>0</v>
      </c>
      <c r="BP679" s="6">
        <v>0</v>
      </c>
      <c r="BQ679" s="6">
        <v>0</v>
      </c>
      <c r="BR679" s="6">
        <v>0</v>
      </c>
      <c r="BS679" s="6">
        <v>0</v>
      </c>
      <c r="BT679" s="6">
        <v>0</v>
      </c>
      <c r="BU679" s="6">
        <v>0</v>
      </c>
      <c r="BV679" s="6">
        <v>0</v>
      </c>
      <c r="BW679" s="6">
        <v>0</v>
      </c>
      <c r="BX679" s="6">
        <v>0</v>
      </c>
      <c r="BY679" s="6">
        <v>0</v>
      </c>
      <c r="BZ679" s="6">
        <v>0</v>
      </c>
      <c r="CA679" s="6">
        <v>0</v>
      </c>
      <c r="CB679" s="6">
        <v>0</v>
      </c>
      <c r="CC679" s="6">
        <f>IF(Table3[[#This Row],[Type]]="EM",IF((Table3[[#This Row],[Diameter]]/2)-Table3[[#This Row],[CornerRadius]]-0.012&gt;0,(Table3[[#This Row],[Diameter]]/2)-Table3[[#This Row],[CornerRadius]]-0.012,0),)</f>
        <v>0</v>
      </c>
      <c r="CE679" s="6" t="str">
        <f>IF(Table3[[#This Row],[ShoulderLength]]="","",IF(Table3[[#This Row],[ShoulderLength]]&lt;Table3[[#This Row],[LOC]],"FIX",""))</f>
        <v/>
      </c>
    </row>
    <row r="680" spans="1:83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v>0</v>
      </c>
      <c r="BN680" s="6">
        <v>0</v>
      </c>
      <c r="BO680" s="6">
        <v>0</v>
      </c>
      <c r="BP680" s="6">
        <v>0</v>
      </c>
      <c r="BQ680" s="6">
        <v>0</v>
      </c>
      <c r="BR680" s="6">
        <v>0</v>
      </c>
      <c r="BS680" s="6">
        <v>0</v>
      </c>
      <c r="BT680" s="6">
        <v>0</v>
      </c>
      <c r="BU680" s="6">
        <v>0</v>
      </c>
      <c r="BV680" s="6">
        <v>0</v>
      </c>
      <c r="BW680" s="6">
        <v>0</v>
      </c>
      <c r="BX680" s="6">
        <v>0</v>
      </c>
      <c r="BY680" s="6">
        <v>0</v>
      </c>
      <c r="BZ680" s="6">
        <v>0</v>
      </c>
      <c r="CA680" s="6">
        <v>0</v>
      </c>
      <c r="CB680" s="6">
        <v>0</v>
      </c>
      <c r="CC680" s="6">
        <f>IF(Table3[[#This Row],[Type]]="EM",IF((Table3[[#This Row],[Diameter]]/2)-Table3[[#This Row],[CornerRadius]]-0.012&gt;0,(Table3[[#This Row],[Diameter]]/2)-Table3[[#This Row],[CornerRadius]]-0.012,0),)</f>
        <v>0</v>
      </c>
      <c r="CE680" s="6" t="str">
        <f>IF(Table3[[#This Row],[ShoulderLength]]="","",IF(Table3[[#This Row],[ShoulderLength]]&lt;Table3[[#This Row],[LOC]],"FIX",""))</f>
        <v/>
      </c>
    </row>
    <row r="681" spans="1:83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v>0</v>
      </c>
      <c r="BN681" s="6">
        <v>0</v>
      </c>
      <c r="BO681" s="6">
        <v>0</v>
      </c>
      <c r="BP681" s="6">
        <v>0</v>
      </c>
      <c r="BQ681" s="6">
        <v>0</v>
      </c>
      <c r="BR681" s="6">
        <v>0</v>
      </c>
      <c r="BS681" s="6">
        <v>0</v>
      </c>
      <c r="BT681" s="6">
        <v>0</v>
      </c>
      <c r="BU681" s="6">
        <v>0</v>
      </c>
      <c r="BV681" s="6">
        <v>0</v>
      </c>
      <c r="BW681" s="6">
        <v>0</v>
      </c>
      <c r="BX681" s="6">
        <v>0</v>
      </c>
      <c r="BY681" s="6">
        <v>0</v>
      </c>
      <c r="BZ681" s="6">
        <v>0</v>
      </c>
      <c r="CA681" s="6">
        <v>0</v>
      </c>
      <c r="CB681" s="6">
        <v>0</v>
      </c>
      <c r="CC681" s="6">
        <f>IF(Table3[[#This Row],[Type]]="EM",IF((Table3[[#This Row],[Diameter]]/2)-Table3[[#This Row],[CornerRadius]]-0.012&gt;0,(Table3[[#This Row],[Diameter]]/2)-Table3[[#This Row],[CornerRadius]]-0.012,0),)</f>
        <v>0</v>
      </c>
      <c r="CE681" s="6" t="str">
        <f>IF(Table3[[#This Row],[ShoulderLength]]="","",IF(Table3[[#This Row],[ShoulderLength]]&lt;Table3[[#This Row],[LOC]],"FIX",""))</f>
        <v/>
      </c>
    </row>
    <row r="682" spans="1:83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v>0</v>
      </c>
      <c r="BN682" s="6">
        <v>0</v>
      </c>
      <c r="BO682" s="6">
        <v>0</v>
      </c>
      <c r="BP682" s="6">
        <v>0</v>
      </c>
      <c r="BQ682" s="6">
        <v>0</v>
      </c>
      <c r="BR682" s="6">
        <v>0</v>
      </c>
      <c r="BS682" s="6">
        <v>0</v>
      </c>
      <c r="BT682" s="6">
        <v>0</v>
      </c>
      <c r="BU682" s="6">
        <v>0</v>
      </c>
      <c r="BV682" s="6">
        <v>0</v>
      </c>
      <c r="BW682" s="6">
        <v>0</v>
      </c>
      <c r="BX682" s="6">
        <v>0</v>
      </c>
      <c r="BY682" s="6">
        <v>0</v>
      </c>
      <c r="BZ682" s="6">
        <v>0</v>
      </c>
      <c r="CA682" s="6">
        <v>0</v>
      </c>
      <c r="CB682" s="6">
        <v>0</v>
      </c>
      <c r="CC682" s="6">
        <f>IF(Table3[[#This Row],[Type]]="EM",IF((Table3[[#This Row],[Diameter]]/2)-Table3[[#This Row],[CornerRadius]]-0.012&gt;0,(Table3[[#This Row],[Diameter]]/2)-Table3[[#This Row],[CornerRadius]]-0.012,0),)</f>
        <v>0</v>
      </c>
      <c r="CE682" s="6" t="str">
        <f>IF(Table3[[#This Row],[ShoulderLength]]="","",IF(Table3[[#This Row],[ShoulderLength]]&lt;Table3[[#This Row],[LOC]],"FIX",""))</f>
        <v/>
      </c>
    </row>
    <row r="683" spans="1:83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v>0</v>
      </c>
      <c r="BN683" s="6">
        <v>0</v>
      </c>
      <c r="BO683" s="6">
        <v>0</v>
      </c>
      <c r="BP683" s="6">
        <v>0</v>
      </c>
      <c r="BQ683" s="6">
        <v>0</v>
      </c>
      <c r="BR683" s="6">
        <v>0</v>
      </c>
      <c r="BS683" s="6">
        <v>0</v>
      </c>
      <c r="BT683" s="6">
        <v>0</v>
      </c>
      <c r="BU683" s="6">
        <v>0</v>
      </c>
      <c r="BV683" s="6">
        <v>0</v>
      </c>
      <c r="BW683" s="6">
        <v>0</v>
      </c>
      <c r="BX683" s="6">
        <v>0</v>
      </c>
      <c r="BY683" s="6">
        <v>0</v>
      </c>
      <c r="BZ683" s="6">
        <v>0</v>
      </c>
      <c r="CA683" s="6">
        <v>0</v>
      </c>
      <c r="CB683" s="6">
        <v>0</v>
      </c>
      <c r="CC683" s="6">
        <f>IF(Table3[[#This Row],[Type]]="EM",IF((Table3[[#This Row],[Diameter]]/2)-Table3[[#This Row],[CornerRadius]]-0.012&gt;0,(Table3[[#This Row],[Diameter]]/2)-Table3[[#This Row],[CornerRadius]]-0.012,0),)</f>
        <v>0</v>
      </c>
      <c r="CE683" s="6" t="str">
        <f>IF(Table3[[#This Row],[ShoulderLength]]="","",IF(Table3[[#This Row],[ShoulderLength]]&lt;Table3[[#This Row],[LOC]],"FIX",""))</f>
        <v/>
      </c>
    </row>
    <row r="684" spans="1:83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v>0</v>
      </c>
      <c r="BN684" s="6">
        <v>0</v>
      </c>
      <c r="BO684" s="6">
        <v>0</v>
      </c>
      <c r="BP684" s="6">
        <v>0</v>
      </c>
      <c r="BQ684" s="6">
        <v>0</v>
      </c>
      <c r="BR684" s="6">
        <v>0</v>
      </c>
      <c r="BS684" s="6">
        <v>0</v>
      </c>
      <c r="BT684" s="6">
        <v>0</v>
      </c>
      <c r="BU684" s="6">
        <v>0</v>
      </c>
      <c r="BV684" s="6">
        <v>0</v>
      </c>
      <c r="BW684" s="6">
        <v>0</v>
      </c>
      <c r="BX684" s="6">
        <v>0</v>
      </c>
      <c r="BY684" s="6">
        <v>0</v>
      </c>
      <c r="BZ684" s="6">
        <v>0</v>
      </c>
      <c r="CA684" s="6">
        <v>0</v>
      </c>
      <c r="CB684" s="6">
        <v>0</v>
      </c>
      <c r="CC684" s="6">
        <f>IF(Table3[[#This Row],[Type]]="EM",IF((Table3[[#This Row],[Diameter]]/2)-Table3[[#This Row],[CornerRadius]]-0.012&gt;0,(Table3[[#This Row],[Diameter]]/2)-Table3[[#This Row],[CornerRadius]]-0.012,0),)</f>
        <v>0</v>
      </c>
      <c r="CE684" s="6" t="str">
        <f>IF(Table3[[#This Row],[ShoulderLength]]="","",IF(Table3[[#This Row],[ShoulderLength]]&lt;Table3[[#This Row],[LOC]],"FIX",""))</f>
        <v/>
      </c>
    </row>
    <row r="685" spans="1:83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v>0</v>
      </c>
      <c r="BN685" s="6">
        <v>0</v>
      </c>
      <c r="BO685" s="6">
        <v>0</v>
      </c>
      <c r="BP685" s="6">
        <v>0</v>
      </c>
      <c r="BQ685" s="6">
        <v>0</v>
      </c>
      <c r="BR685" s="6">
        <v>0</v>
      </c>
      <c r="BS685" s="6">
        <v>0</v>
      </c>
      <c r="BT685" s="6">
        <v>0</v>
      </c>
      <c r="BU685" s="6">
        <v>0</v>
      </c>
      <c r="BV685" s="6">
        <v>0</v>
      </c>
      <c r="BW685" s="6">
        <v>0</v>
      </c>
      <c r="BX685" s="6">
        <v>0</v>
      </c>
      <c r="BY685" s="6">
        <v>0</v>
      </c>
      <c r="BZ685" s="6">
        <v>0</v>
      </c>
      <c r="CA685" s="6">
        <v>0</v>
      </c>
      <c r="CB685" s="6">
        <v>0</v>
      </c>
      <c r="CC685" s="6">
        <f>IF(Table3[[#This Row],[Type]]="EM",IF((Table3[[#This Row],[Diameter]]/2)-Table3[[#This Row],[CornerRadius]]-0.012&gt;0,(Table3[[#This Row],[Diameter]]/2)-Table3[[#This Row],[CornerRadius]]-0.012,0),)</f>
        <v>0</v>
      </c>
      <c r="CE685" s="6" t="str">
        <f>IF(Table3[[#This Row],[ShoulderLength]]="","",IF(Table3[[#This Row],[ShoulderLength]]&lt;Table3[[#This Row],[LOC]],"FIX",""))</f>
        <v/>
      </c>
    </row>
    <row r="686" spans="1:83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v>0</v>
      </c>
      <c r="BN686" s="6">
        <v>0</v>
      </c>
      <c r="BO686" s="6">
        <v>0</v>
      </c>
      <c r="BP686" s="6">
        <v>0</v>
      </c>
      <c r="BQ686" s="6">
        <v>0</v>
      </c>
      <c r="BR686" s="6">
        <v>0</v>
      </c>
      <c r="BS686" s="6">
        <v>0</v>
      </c>
      <c r="BT686" s="6">
        <v>0</v>
      </c>
      <c r="BU686" s="6">
        <v>0</v>
      </c>
      <c r="BV686" s="6">
        <v>0</v>
      </c>
      <c r="BW686" s="6">
        <v>0</v>
      </c>
      <c r="BX686" s="6">
        <v>0</v>
      </c>
      <c r="BY686" s="6">
        <v>0</v>
      </c>
      <c r="BZ686" s="6">
        <v>0</v>
      </c>
      <c r="CA686" s="6">
        <v>0</v>
      </c>
      <c r="CB686" s="6">
        <v>0</v>
      </c>
      <c r="CC686" s="6">
        <f>IF(Table3[[#This Row],[Type]]="EM",IF((Table3[[#This Row],[Diameter]]/2)-Table3[[#This Row],[CornerRadius]]-0.012&gt;0,(Table3[[#This Row],[Diameter]]/2)-Table3[[#This Row],[CornerRadius]]-0.012,0),)</f>
        <v>0</v>
      </c>
      <c r="CE686" s="6" t="str">
        <f>IF(Table3[[#This Row],[ShoulderLength]]="","",IF(Table3[[#This Row],[ShoulderLength]]&lt;Table3[[#This Row],[LOC]],"FIX",""))</f>
        <v/>
      </c>
    </row>
    <row r="687" spans="1:83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v>0</v>
      </c>
      <c r="BN687" s="6">
        <v>0</v>
      </c>
      <c r="BO687" s="6">
        <v>0</v>
      </c>
      <c r="BP687" s="6">
        <v>0</v>
      </c>
      <c r="BQ687" s="6">
        <v>0</v>
      </c>
      <c r="BR687" s="6">
        <v>0</v>
      </c>
      <c r="BS687" s="6">
        <v>0</v>
      </c>
      <c r="BT687" s="6">
        <v>0</v>
      </c>
      <c r="BU687" s="6">
        <v>0</v>
      </c>
      <c r="BV687" s="6">
        <v>0</v>
      </c>
      <c r="BW687" s="6">
        <v>0</v>
      </c>
      <c r="BX687" s="6">
        <v>0</v>
      </c>
      <c r="BY687" s="6">
        <v>0</v>
      </c>
      <c r="BZ687" s="6">
        <v>0</v>
      </c>
      <c r="CA687" s="6">
        <v>0</v>
      </c>
      <c r="CB687" s="6">
        <v>0</v>
      </c>
      <c r="CC687" s="6">
        <f>IF(Table3[[#This Row],[Type]]="EM",IF((Table3[[#This Row],[Diameter]]/2)-Table3[[#This Row],[CornerRadius]]-0.012&gt;0,(Table3[[#This Row],[Diameter]]/2)-Table3[[#This Row],[CornerRadius]]-0.012,0),)</f>
        <v>0</v>
      </c>
      <c r="CE687" s="6" t="str">
        <f>IF(Table3[[#This Row],[ShoulderLength]]="","",IF(Table3[[#This Row],[ShoulderLength]]&lt;Table3[[#This Row],[LOC]],"FIX",""))</f>
        <v/>
      </c>
    </row>
    <row r="688" spans="1:83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v>0</v>
      </c>
      <c r="BN688" s="6">
        <v>0</v>
      </c>
      <c r="BO688" s="6">
        <v>0</v>
      </c>
      <c r="BP688" s="6">
        <v>0</v>
      </c>
      <c r="BQ688" s="6">
        <v>0</v>
      </c>
      <c r="BR688" s="6">
        <v>0</v>
      </c>
      <c r="BS688" s="6">
        <v>0</v>
      </c>
      <c r="BT688" s="6">
        <v>0</v>
      </c>
      <c r="BU688" s="6">
        <v>0</v>
      </c>
      <c r="BV688" s="6">
        <v>0</v>
      </c>
      <c r="BW688" s="6">
        <v>0</v>
      </c>
      <c r="BX688" s="6">
        <v>0</v>
      </c>
      <c r="BY688" s="6">
        <v>0</v>
      </c>
      <c r="BZ688" s="6">
        <v>0</v>
      </c>
      <c r="CA688" s="6">
        <v>0</v>
      </c>
      <c r="CB688" s="6">
        <v>0</v>
      </c>
      <c r="CC688" s="6">
        <f>IF(Table3[[#This Row],[Type]]="EM",IF((Table3[[#This Row],[Diameter]]/2)-Table3[[#This Row],[CornerRadius]]-0.012&gt;0,(Table3[[#This Row],[Diameter]]/2)-Table3[[#This Row],[CornerRadius]]-0.012,0),)</f>
        <v>0</v>
      </c>
      <c r="CE688" s="6" t="str">
        <f>IF(Table3[[#This Row],[ShoulderLength]]="","",IF(Table3[[#This Row],[ShoulderLength]]&lt;Table3[[#This Row],[LOC]],"FIX",""))</f>
        <v/>
      </c>
    </row>
    <row r="689" spans="1:83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v>0</v>
      </c>
      <c r="BN689" s="6">
        <v>0</v>
      </c>
      <c r="BO689" s="6">
        <v>0</v>
      </c>
      <c r="BP689" s="6">
        <v>0</v>
      </c>
      <c r="BQ689" s="6">
        <v>0</v>
      </c>
      <c r="BR689" s="6">
        <v>0</v>
      </c>
      <c r="BS689" s="6">
        <v>0</v>
      </c>
      <c r="BT689" s="6">
        <v>0</v>
      </c>
      <c r="BU689" s="6">
        <v>0</v>
      </c>
      <c r="BV689" s="6">
        <v>0</v>
      </c>
      <c r="BW689" s="6">
        <v>0</v>
      </c>
      <c r="BX689" s="6">
        <v>0</v>
      </c>
      <c r="BY689" s="6">
        <v>0</v>
      </c>
      <c r="BZ689" s="6">
        <v>0</v>
      </c>
      <c r="CA689" s="6">
        <v>0</v>
      </c>
      <c r="CB689" s="6">
        <v>0</v>
      </c>
      <c r="CC689" s="6">
        <f>IF(Table3[[#This Row],[Type]]="EM",IF((Table3[[#This Row],[Diameter]]/2)-Table3[[#This Row],[CornerRadius]]-0.012&gt;0,(Table3[[#This Row],[Diameter]]/2)-Table3[[#This Row],[CornerRadius]]-0.012,0),)</f>
        <v>0</v>
      </c>
      <c r="CE689" s="6" t="str">
        <f>IF(Table3[[#This Row],[ShoulderLength]]="","",IF(Table3[[#This Row],[ShoulderLength]]&lt;Table3[[#This Row],[LOC]],"FIX",""))</f>
        <v/>
      </c>
    </row>
    <row r="690" spans="1:83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v>0</v>
      </c>
      <c r="BN690" s="6">
        <v>0</v>
      </c>
      <c r="BO690" s="6">
        <v>0</v>
      </c>
      <c r="BP690" s="6">
        <v>0</v>
      </c>
      <c r="BQ690" s="6">
        <v>0</v>
      </c>
      <c r="BR690" s="6">
        <v>0</v>
      </c>
      <c r="BS690" s="6">
        <v>0</v>
      </c>
      <c r="BT690" s="6">
        <v>0</v>
      </c>
      <c r="BU690" s="6">
        <v>0</v>
      </c>
      <c r="BV690" s="6">
        <v>0</v>
      </c>
      <c r="BW690" s="6">
        <v>0</v>
      </c>
      <c r="BX690" s="6">
        <v>0</v>
      </c>
      <c r="BY690" s="6">
        <v>0</v>
      </c>
      <c r="BZ690" s="6">
        <v>0</v>
      </c>
      <c r="CA690" s="6">
        <v>0</v>
      </c>
      <c r="CB690" s="6">
        <v>0</v>
      </c>
      <c r="CC690" s="6">
        <f>IF(Table3[[#This Row],[Type]]="EM",IF((Table3[[#This Row],[Diameter]]/2)-Table3[[#This Row],[CornerRadius]]-0.012&gt;0,(Table3[[#This Row],[Diameter]]/2)-Table3[[#This Row],[CornerRadius]]-0.012,0),)</f>
        <v>0</v>
      </c>
      <c r="CE690" s="6" t="str">
        <f>IF(Table3[[#This Row],[ShoulderLength]]="","",IF(Table3[[#This Row],[ShoulderLength]]&lt;Table3[[#This Row],[LOC]],"FIX",""))</f>
        <v/>
      </c>
    </row>
    <row r="691" spans="1:83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v>0</v>
      </c>
      <c r="BN691" s="6">
        <v>0</v>
      </c>
      <c r="BO691" s="6">
        <v>0</v>
      </c>
      <c r="BP691" s="6">
        <v>0</v>
      </c>
      <c r="BQ691" s="6">
        <v>0</v>
      </c>
      <c r="BR691" s="6">
        <v>0</v>
      </c>
      <c r="BS691" s="6">
        <v>0</v>
      </c>
      <c r="BT691" s="6">
        <v>0</v>
      </c>
      <c r="BU691" s="6">
        <v>0</v>
      </c>
      <c r="BV691" s="6">
        <v>0</v>
      </c>
      <c r="BW691" s="6">
        <v>0</v>
      </c>
      <c r="BX691" s="6">
        <v>0</v>
      </c>
      <c r="BY691" s="6">
        <v>0</v>
      </c>
      <c r="BZ691" s="6">
        <v>0</v>
      </c>
      <c r="CA691" s="6">
        <v>0</v>
      </c>
      <c r="CB691" s="6">
        <v>0</v>
      </c>
      <c r="CC691" s="6">
        <f>IF(Table3[[#This Row],[Type]]="EM",IF((Table3[[#This Row],[Diameter]]/2)-Table3[[#This Row],[CornerRadius]]-0.012&gt;0,(Table3[[#This Row],[Diameter]]/2)-Table3[[#This Row],[CornerRadius]]-0.012,0),)</f>
        <v>0</v>
      </c>
      <c r="CE691" s="6" t="str">
        <f>IF(Table3[[#This Row],[ShoulderLength]]="","",IF(Table3[[#This Row],[ShoulderLength]]&lt;Table3[[#This Row],[LOC]],"FIX",""))</f>
        <v/>
      </c>
    </row>
    <row r="692" spans="1:83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v>0</v>
      </c>
      <c r="BN692" s="6">
        <v>0</v>
      </c>
      <c r="BO692" s="6">
        <v>0</v>
      </c>
      <c r="BP692" s="6">
        <v>0</v>
      </c>
      <c r="BQ692" s="6">
        <v>0</v>
      </c>
      <c r="BR692" s="6">
        <v>0</v>
      </c>
      <c r="BS692" s="6">
        <v>0</v>
      </c>
      <c r="BT692" s="6">
        <v>0</v>
      </c>
      <c r="BU692" s="6">
        <v>0</v>
      </c>
      <c r="BV692" s="6">
        <v>0</v>
      </c>
      <c r="BW692" s="6">
        <v>0</v>
      </c>
      <c r="BX692" s="6">
        <v>0</v>
      </c>
      <c r="BY692" s="6">
        <v>0</v>
      </c>
      <c r="BZ692" s="6">
        <v>0</v>
      </c>
      <c r="CA692" s="6">
        <v>0</v>
      </c>
      <c r="CB692" s="6">
        <v>0</v>
      </c>
      <c r="CC692" s="6">
        <f>IF(Table3[[#This Row],[Type]]="EM",IF((Table3[[#This Row],[Diameter]]/2)-Table3[[#This Row],[CornerRadius]]-0.012&gt;0,(Table3[[#This Row],[Diameter]]/2)-Table3[[#This Row],[CornerRadius]]-0.012,0),)</f>
        <v>0</v>
      </c>
      <c r="CE692" s="6" t="str">
        <f>IF(Table3[[#This Row],[ShoulderLength]]="","",IF(Table3[[#This Row],[ShoulderLength]]&lt;Table3[[#This Row],[LOC]],"FIX",""))</f>
        <v/>
      </c>
    </row>
    <row r="693" spans="1:83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v>0</v>
      </c>
      <c r="BN693" s="6">
        <v>0</v>
      </c>
      <c r="BO693" s="6">
        <v>0</v>
      </c>
      <c r="BP693" s="6">
        <v>0</v>
      </c>
      <c r="BQ693" s="6">
        <v>0</v>
      </c>
      <c r="BR693" s="6">
        <v>0</v>
      </c>
      <c r="BS693" s="6">
        <v>0</v>
      </c>
      <c r="BT693" s="6">
        <v>0</v>
      </c>
      <c r="BU693" s="6">
        <v>0</v>
      </c>
      <c r="BV693" s="6">
        <v>0</v>
      </c>
      <c r="BW693" s="6">
        <v>0</v>
      </c>
      <c r="BX693" s="6">
        <v>0</v>
      </c>
      <c r="BY693" s="6">
        <v>0</v>
      </c>
      <c r="BZ693" s="6">
        <v>0</v>
      </c>
      <c r="CA693" s="6">
        <v>0</v>
      </c>
      <c r="CB693" s="6">
        <v>0</v>
      </c>
      <c r="CC693" s="6">
        <f>IF(Table3[[#This Row],[Type]]="EM",IF((Table3[[#This Row],[Diameter]]/2)-Table3[[#This Row],[CornerRadius]]-0.012&gt;0,(Table3[[#This Row],[Diameter]]/2)-Table3[[#This Row],[CornerRadius]]-0.012,0),)</f>
        <v>0</v>
      </c>
      <c r="CE693" s="6" t="str">
        <f>IF(Table3[[#This Row],[ShoulderLength]]="","",IF(Table3[[#This Row],[ShoulderLength]]&lt;Table3[[#This Row],[LOC]],"FIX",""))</f>
        <v/>
      </c>
    </row>
    <row r="694" spans="1:83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v>0</v>
      </c>
      <c r="BN694" s="6">
        <v>0</v>
      </c>
      <c r="BO694" s="6">
        <v>0</v>
      </c>
      <c r="BP694" s="6">
        <v>0</v>
      </c>
      <c r="BQ694" s="6">
        <v>0</v>
      </c>
      <c r="BR694" s="6">
        <v>0</v>
      </c>
      <c r="BS694" s="6">
        <v>0</v>
      </c>
      <c r="BT694" s="6">
        <v>0</v>
      </c>
      <c r="BU694" s="6">
        <v>0</v>
      </c>
      <c r="BV694" s="6">
        <v>0</v>
      </c>
      <c r="BW694" s="6">
        <v>0</v>
      </c>
      <c r="BX694" s="6">
        <v>0</v>
      </c>
      <c r="BY694" s="6">
        <v>0</v>
      </c>
      <c r="BZ694" s="6">
        <v>0</v>
      </c>
      <c r="CA694" s="6">
        <v>0</v>
      </c>
      <c r="CB694" s="6">
        <v>0</v>
      </c>
      <c r="CC694" s="6">
        <f>IF(Table3[[#This Row],[Type]]="EM",IF((Table3[[#This Row],[Diameter]]/2)-Table3[[#This Row],[CornerRadius]]-0.012&gt;0,(Table3[[#This Row],[Diameter]]/2)-Table3[[#This Row],[CornerRadius]]-0.012,0),)</f>
        <v>0</v>
      </c>
      <c r="CE694" s="6" t="str">
        <f>IF(Table3[[#This Row],[ShoulderLength]]="","",IF(Table3[[#This Row],[ShoulderLength]]&lt;Table3[[#This Row],[LOC]],"FIX",""))</f>
        <v/>
      </c>
    </row>
    <row r="695" spans="1:83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v>0</v>
      </c>
      <c r="BN695" s="6">
        <v>0</v>
      </c>
      <c r="BO695" s="6">
        <v>0</v>
      </c>
      <c r="BP695" s="6">
        <v>0</v>
      </c>
      <c r="BQ695" s="6">
        <v>0</v>
      </c>
      <c r="BR695" s="6">
        <v>0</v>
      </c>
      <c r="BS695" s="6">
        <v>0</v>
      </c>
      <c r="BT695" s="6">
        <v>0</v>
      </c>
      <c r="BU695" s="6">
        <v>0</v>
      </c>
      <c r="BV695" s="6">
        <v>0</v>
      </c>
      <c r="BW695" s="6">
        <v>0</v>
      </c>
      <c r="BX695" s="6">
        <v>0</v>
      </c>
      <c r="BY695" s="6">
        <v>0</v>
      </c>
      <c r="BZ695" s="6">
        <v>0</v>
      </c>
      <c r="CA695" s="6">
        <v>0</v>
      </c>
      <c r="CB695" s="6">
        <v>0</v>
      </c>
      <c r="CC695" s="6">
        <f>IF(Table3[[#This Row],[Type]]="EM",IF((Table3[[#This Row],[Diameter]]/2)-Table3[[#This Row],[CornerRadius]]-0.012&gt;0,(Table3[[#This Row],[Diameter]]/2)-Table3[[#This Row],[CornerRadius]]-0.012,0),)</f>
        <v>0</v>
      </c>
      <c r="CE695" s="6" t="str">
        <f>IF(Table3[[#This Row],[ShoulderLength]]="","",IF(Table3[[#This Row],[ShoulderLength]]&lt;Table3[[#This Row],[LOC]],"FIX",""))</f>
        <v/>
      </c>
    </row>
    <row r="696" spans="1:83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v>0</v>
      </c>
      <c r="BN696" s="6">
        <v>0</v>
      </c>
      <c r="BO696" s="6">
        <v>0</v>
      </c>
      <c r="BP696" s="6">
        <v>0</v>
      </c>
      <c r="BQ696" s="6">
        <v>0</v>
      </c>
      <c r="BR696" s="6">
        <v>0</v>
      </c>
      <c r="BS696" s="6">
        <v>0</v>
      </c>
      <c r="BT696" s="6">
        <v>0</v>
      </c>
      <c r="BU696" s="6">
        <v>0</v>
      </c>
      <c r="BV696" s="6">
        <v>0</v>
      </c>
      <c r="BW696" s="6">
        <v>0</v>
      </c>
      <c r="BX696" s="6">
        <v>0</v>
      </c>
      <c r="BY696" s="6">
        <v>0</v>
      </c>
      <c r="BZ696" s="6">
        <v>0</v>
      </c>
      <c r="CA696" s="6">
        <v>0</v>
      </c>
      <c r="CB696" s="6">
        <v>0</v>
      </c>
      <c r="CC696" s="6">
        <f>IF(Table3[[#This Row],[Type]]="EM",IF((Table3[[#This Row],[Diameter]]/2)-Table3[[#This Row],[CornerRadius]]-0.012&gt;0,(Table3[[#This Row],[Diameter]]/2)-Table3[[#This Row],[CornerRadius]]-0.012,0),)</f>
        <v>0</v>
      </c>
      <c r="CE696" s="6" t="str">
        <f>IF(Table3[[#This Row],[ShoulderLength]]="","",IF(Table3[[#This Row],[ShoulderLength]]&lt;Table3[[#This Row],[LOC]],"FIX",""))</f>
        <v/>
      </c>
    </row>
    <row r="697" spans="1:83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v>0</v>
      </c>
      <c r="BN697" s="6">
        <v>0</v>
      </c>
      <c r="BO697" s="6">
        <v>0</v>
      </c>
      <c r="BP697" s="6">
        <v>0</v>
      </c>
      <c r="BQ697" s="6">
        <v>0</v>
      </c>
      <c r="BR697" s="6">
        <v>0</v>
      </c>
      <c r="BS697" s="6">
        <v>0</v>
      </c>
      <c r="BT697" s="6">
        <v>0</v>
      </c>
      <c r="BU697" s="6">
        <v>0</v>
      </c>
      <c r="BV697" s="6">
        <v>0</v>
      </c>
      <c r="BW697" s="6">
        <v>0</v>
      </c>
      <c r="BX697" s="6">
        <v>0</v>
      </c>
      <c r="BY697" s="6">
        <v>0</v>
      </c>
      <c r="BZ697" s="6">
        <v>0</v>
      </c>
      <c r="CA697" s="6">
        <v>0</v>
      </c>
      <c r="CB697" s="6">
        <v>0</v>
      </c>
      <c r="CC697" s="6">
        <f>IF(Table3[[#This Row],[Type]]="EM",IF((Table3[[#This Row],[Diameter]]/2)-Table3[[#This Row],[CornerRadius]]-0.012&gt;0,(Table3[[#This Row],[Diameter]]/2)-Table3[[#This Row],[CornerRadius]]-0.012,0),)</f>
        <v>0</v>
      </c>
      <c r="CE697" s="6" t="str">
        <f>IF(Table3[[#This Row],[ShoulderLength]]="","",IF(Table3[[#This Row],[ShoulderLength]]&lt;Table3[[#This Row],[LOC]],"FIX",""))</f>
        <v/>
      </c>
    </row>
    <row r="698" spans="1:83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v>0</v>
      </c>
      <c r="BN698" s="6">
        <v>0</v>
      </c>
      <c r="BO698" s="6">
        <v>0</v>
      </c>
      <c r="BP698" s="6">
        <v>0</v>
      </c>
      <c r="BQ698" s="6">
        <v>0</v>
      </c>
      <c r="BR698" s="6">
        <v>0</v>
      </c>
      <c r="BS698" s="6">
        <v>0</v>
      </c>
      <c r="BT698" s="6">
        <v>0</v>
      </c>
      <c r="BU698" s="6">
        <v>0</v>
      </c>
      <c r="BV698" s="6">
        <v>0</v>
      </c>
      <c r="BW698" s="6">
        <v>0</v>
      </c>
      <c r="BX698" s="6">
        <v>0</v>
      </c>
      <c r="BY698" s="6">
        <v>0</v>
      </c>
      <c r="BZ698" s="6">
        <v>0</v>
      </c>
      <c r="CA698" s="6">
        <v>0</v>
      </c>
      <c r="CB698" s="6">
        <v>0</v>
      </c>
      <c r="CC698" s="6">
        <f>IF(Table3[[#This Row],[Type]]="EM",IF((Table3[[#This Row],[Diameter]]/2)-Table3[[#This Row],[CornerRadius]]-0.012&gt;0,(Table3[[#This Row],[Diameter]]/2)-Table3[[#This Row],[CornerRadius]]-0.012,0),)</f>
        <v>0</v>
      </c>
      <c r="CE698" s="6" t="str">
        <f>IF(Table3[[#This Row],[ShoulderLength]]="","",IF(Table3[[#This Row],[ShoulderLength]]&lt;Table3[[#This Row],[LOC]],"FIX",""))</f>
        <v/>
      </c>
    </row>
    <row r="699" spans="1:83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v>0</v>
      </c>
      <c r="BN699" s="6">
        <v>0</v>
      </c>
      <c r="BO699" s="6">
        <v>0</v>
      </c>
      <c r="BP699" s="6">
        <v>0</v>
      </c>
      <c r="BQ699" s="6">
        <v>0</v>
      </c>
      <c r="BR699" s="6">
        <v>0</v>
      </c>
      <c r="BS699" s="6">
        <v>0</v>
      </c>
      <c r="BT699" s="6">
        <v>0</v>
      </c>
      <c r="BU699" s="6">
        <v>0</v>
      </c>
      <c r="BV699" s="6">
        <v>0</v>
      </c>
      <c r="BW699" s="6">
        <v>0</v>
      </c>
      <c r="BX699" s="6">
        <v>0</v>
      </c>
      <c r="BY699" s="6">
        <v>0</v>
      </c>
      <c r="BZ699" s="6">
        <v>0</v>
      </c>
      <c r="CA699" s="6">
        <v>0</v>
      </c>
      <c r="CB699" s="6">
        <v>0</v>
      </c>
      <c r="CC699" s="6">
        <f>IF(Table3[[#This Row],[Type]]="EM",IF((Table3[[#This Row],[Diameter]]/2)-Table3[[#This Row],[CornerRadius]]-0.012&gt;0,(Table3[[#This Row],[Diameter]]/2)-Table3[[#This Row],[CornerRadius]]-0.012,0),)</f>
        <v>0</v>
      </c>
      <c r="CE699" s="6" t="str">
        <f>IF(Table3[[#This Row],[ShoulderLength]]="","",IF(Table3[[#This Row],[ShoulderLength]]&lt;Table3[[#This Row],[LOC]],"FIX",""))</f>
        <v/>
      </c>
    </row>
    <row r="700" spans="1:83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v>0</v>
      </c>
      <c r="BN700" s="6">
        <v>0</v>
      </c>
      <c r="BO700" s="6">
        <v>0</v>
      </c>
      <c r="BP700" s="6">
        <v>0</v>
      </c>
      <c r="BQ700" s="6">
        <v>0</v>
      </c>
      <c r="BR700" s="6">
        <v>0</v>
      </c>
      <c r="BS700" s="6">
        <v>0</v>
      </c>
      <c r="BT700" s="6">
        <v>0</v>
      </c>
      <c r="BU700" s="6">
        <v>0</v>
      </c>
      <c r="BV700" s="6">
        <v>0</v>
      </c>
      <c r="BW700" s="6">
        <v>0</v>
      </c>
      <c r="BX700" s="6">
        <v>0</v>
      </c>
      <c r="BY700" s="6">
        <v>0</v>
      </c>
      <c r="BZ700" s="6">
        <v>0</v>
      </c>
      <c r="CA700" s="6">
        <v>0</v>
      </c>
      <c r="CB700" s="6">
        <v>0</v>
      </c>
      <c r="CC700" s="6">
        <f>IF(Table3[[#This Row],[Type]]="EM",IF((Table3[[#This Row],[Diameter]]/2)-Table3[[#This Row],[CornerRadius]]-0.012&gt;0,(Table3[[#This Row],[Diameter]]/2)-Table3[[#This Row],[CornerRadius]]-0.012,0),)</f>
        <v>0</v>
      </c>
      <c r="CE700" s="6" t="str">
        <f>IF(Table3[[#This Row],[ShoulderLength]]="","",IF(Table3[[#This Row],[ShoulderLength]]&lt;Table3[[#This Row],[LOC]],"FIX",""))</f>
        <v/>
      </c>
    </row>
    <row r="701" spans="1:83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v>0</v>
      </c>
      <c r="BN701" s="6">
        <v>0</v>
      </c>
      <c r="BO701" s="6">
        <v>0</v>
      </c>
      <c r="BP701" s="6">
        <v>0</v>
      </c>
      <c r="BQ701" s="6">
        <v>0</v>
      </c>
      <c r="BR701" s="6">
        <v>0</v>
      </c>
      <c r="BS701" s="6">
        <v>0</v>
      </c>
      <c r="BT701" s="6">
        <v>0</v>
      </c>
      <c r="BU701" s="6">
        <v>0</v>
      </c>
      <c r="BV701" s="6">
        <v>0</v>
      </c>
      <c r="BW701" s="6">
        <v>0</v>
      </c>
      <c r="BX701" s="6">
        <v>0</v>
      </c>
      <c r="BY701" s="6">
        <v>0</v>
      </c>
      <c r="BZ701" s="6">
        <v>0</v>
      </c>
      <c r="CA701" s="6">
        <v>0</v>
      </c>
      <c r="CB701" s="6">
        <v>0</v>
      </c>
      <c r="CC701" s="6">
        <f>IF(Table3[[#This Row],[Type]]="EM",IF((Table3[[#This Row],[Diameter]]/2)-Table3[[#This Row],[CornerRadius]]-0.012&gt;0,(Table3[[#This Row],[Diameter]]/2)-Table3[[#This Row],[CornerRadius]]-0.012,0),)</f>
        <v>0</v>
      </c>
      <c r="CE701" s="6" t="str">
        <f>IF(Table3[[#This Row],[ShoulderLength]]="","",IF(Table3[[#This Row],[ShoulderLength]]&lt;Table3[[#This Row],[LOC]],"FIX",""))</f>
        <v/>
      </c>
    </row>
    <row r="702" spans="1:83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v>0</v>
      </c>
      <c r="BN702" s="6">
        <v>0</v>
      </c>
      <c r="BO702" s="6">
        <v>0</v>
      </c>
      <c r="BP702" s="6">
        <v>0</v>
      </c>
      <c r="BQ702" s="6">
        <v>0</v>
      </c>
      <c r="BR702" s="6">
        <v>0</v>
      </c>
      <c r="BS702" s="6">
        <v>0</v>
      </c>
      <c r="BT702" s="6">
        <v>0</v>
      </c>
      <c r="BU702" s="6">
        <v>0</v>
      </c>
      <c r="BV702" s="6">
        <v>0</v>
      </c>
      <c r="BW702" s="6">
        <v>0</v>
      </c>
      <c r="BX702" s="6">
        <v>0</v>
      </c>
      <c r="BY702" s="6">
        <v>0</v>
      </c>
      <c r="BZ702" s="6">
        <v>0</v>
      </c>
      <c r="CA702" s="6">
        <v>0</v>
      </c>
      <c r="CB702" s="6">
        <v>0</v>
      </c>
      <c r="CC702" s="6">
        <f>IF(Table3[[#This Row],[Type]]="EM",IF((Table3[[#This Row],[Diameter]]/2)-Table3[[#This Row],[CornerRadius]]-0.012&gt;0,(Table3[[#This Row],[Diameter]]/2)-Table3[[#This Row],[CornerRadius]]-0.012,0),)</f>
        <v>0</v>
      </c>
      <c r="CE702" s="6" t="str">
        <f>IF(Table3[[#This Row],[ShoulderLength]]="","",IF(Table3[[#This Row],[ShoulderLength]]&lt;Table3[[#This Row],[LOC]],"FIX",""))</f>
        <v/>
      </c>
    </row>
    <row r="703" spans="1:83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v>0</v>
      </c>
      <c r="BN703" s="6">
        <v>0</v>
      </c>
      <c r="BO703" s="6">
        <v>0</v>
      </c>
      <c r="BP703" s="6">
        <v>0</v>
      </c>
      <c r="BQ703" s="6">
        <v>0</v>
      </c>
      <c r="BR703" s="6">
        <v>0</v>
      </c>
      <c r="BS703" s="6">
        <v>0</v>
      </c>
      <c r="BT703" s="6">
        <v>0</v>
      </c>
      <c r="BU703" s="6">
        <v>0</v>
      </c>
      <c r="BV703" s="6">
        <v>0</v>
      </c>
      <c r="BW703" s="6">
        <v>0</v>
      </c>
      <c r="BX703" s="6">
        <v>0</v>
      </c>
      <c r="BY703" s="6">
        <v>0</v>
      </c>
      <c r="BZ703" s="6">
        <v>0</v>
      </c>
      <c r="CA703" s="6">
        <v>0</v>
      </c>
      <c r="CB703" s="6">
        <v>0</v>
      </c>
      <c r="CC703" s="6">
        <f>IF(Table3[[#This Row],[Type]]="EM",IF((Table3[[#This Row],[Diameter]]/2)-Table3[[#This Row],[CornerRadius]]-0.012&gt;0,(Table3[[#This Row],[Diameter]]/2)-Table3[[#This Row],[CornerRadius]]-0.012,0),)</f>
        <v>0</v>
      </c>
      <c r="CE703" s="6" t="str">
        <f>IF(Table3[[#This Row],[ShoulderLength]]="","",IF(Table3[[#This Row],[ShoulderLength]]&lt;Table3[[#This Row],[LOC]],"FIX",""))</f>
        <v/>
      </c>
    </row>
    <row r="704" spans="1:83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v>0</v>
      </c>
      <c r="BN704" s="6">
        <v>0</v>
      </c>
      <c r="BO704" s="6">
        <v>0</v>
      </c>
      <c r="BP704" s="6">
        <v>0</v>
      </c>
      <c r="BQ704" s="6">
        <v>0</v>
      </c>
      <c r="BR704" s="6">
        <v>0</v>
      </c>
      <c r="BS704" s="6">
        <v>0</v>
      </c>
      <c r="BT704" s="6">
        <v>0</v>
      </c>
      <c r="BU704" s="6">
        <v>0</v>
      </c>
      <c r="BV704" s="6">
        <v>0</v>
      </c>
      <c r="BW704" s="6">
        <v>0</v>
      </c>
      <c r="BX704" s="6">
        <v>0</v>
      </c>
      <c r="BY704" s="6">
        <v>0</v>
      </c>
      <c r="BZ704" s="6">
        <v>0</v>
      </c>
      <c r="CA704" s="6">
        <v>0</v>
      </c>
      <c r="CB704" s="6">
        <v>0</v>
      </c>
      <c r="CC704" s="6">
        <f>IF(Table3[[#This Row],[Type]]="EM",IF((Table3[[#This Row],[Diameter]]/2)-Table3[[#This Row],[CornerRadius]]-0.012&gt;0,(Table3[[#This Row],[Diameter]]/2)-Table3[[#This Row],[CornerRadius]]-0.012,0),)</f>
        <v>0</v>
      </c>
      <c r="CE704" s="6" t="str">
        <f>IF(Table3[[#This Row],[ShoulderLength]]="","",IF(Table3[[#This Row],[ShoulderLength]]&lt;Table3[[#This Row],[LOC]],"FIX",""))</f>
        <v/>
      </c>
    </row>
    <row r="705" spans="1:83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v>0</v>
      </c>
      <c r="BN705" s="6">
        <v>0</v>
      </c>
      <c r="BO705" s="6">
        <v>0</v>
      </c>
      <c r="BP705" s="6">
        <v>0</v>
      </c>
      <c r="BQ705" s="6">
        <v>0</v>
      </c>
      <c r="BR705" s="6">
        <v>0</v>
      </c>
      <c r="BS705" s="6">
        <v>0</v>
      </c>
      <c r="BT705" s="6">
        <v>0</v>
      </c>
      <c r="BU705" s="6">
        <v>0</v>
      </c>
      <c r="BV705" s="6">
        <v>0</v>
      </c>
      <c r="BW705" s="6">
        <v>0</v>
      </c>
      <c r="BX705" s="6">
        <v>0</v>
      </c>
      <c r="BY705" s="6">
        <v>0</v>
      </c>
      <c r="BZ705" s="6">
        <v>0</v>
      </c>
      <c r="CA705" s="6">
        <v>0</v>
      </c>
      <c r="CB705" s="6">
        <v>0</v>
      </c>
      <c r="CC705" s="6">
        <f>IF(Table3[[#This Row],[Type]]="EM",IF((Table3[[#This Row],[Diameter]]/2)-Table3[[#This Row],[CornerRadius]]-0.012&gt;0,(Table3[[#This Row],[Diameter]]/2)-Table3[[#This Row],[CornerRadius]]-0.012,0),)</f>
        <v>0</v>
      </c>
      <c r="CE705" s="6" t="str">
        <f>IF(Table3[[#This Row],[ShoulderLength]]="","",IF(Table3[[#This Row],[ShoulderLength]]&lt;Table3[[#This Row],[LOC]],"FIX",""))</f>
        <v/>
      </c>
    </row>
    <row r="706" spans="1:83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v>0</v>
      </c>
      <c r="BN706" s="6">
        <v>0</v>
      </c>
      <c r="BO706" s="6">
        <v>0</v>
      </c>
      <c r="BP706" s="6">
        <v>0</v>
      </c>
      <c r="BQ706" s="6">
        <v>0</v>
      </c>
      <c r="BR706" s="6">
        <v>0</v>
      </c>
      <c r="BS706" s="6">
        <v>0</v>
      </c>
      <c r="BT706" s="6">
        <v>0</v>
      </c>
      <c r="BU706" s="6">
        <v>0</v>
      </c>
      <c r="BV706" s="6">
        <v>0</v>
      </c>
      <c r="BW706" s="6">
        <v>0</v>
      </c>
      <c r="BX706" s="6">
        <v>0</v>
      </c>
      <c r="BY706" s="6">
        <v>0</v>
      </c>
      <c r="BZ706" s="6">
        <v>0</v>
      </c>
      <c r="CA706" s="6">
        <v>0</v>
      </c>
      <c r="CB706" s="6">
        <v>0</v>
      </c>
      <c r="CC706" s="6">
        <f>IF(Table3[[#This Row],[Type]]="EM",IF((Table3[[#This Row],[Diameter]]/2)-Table3[[#This Row],[CornerRadius]]-0.012&gt;0,(Table3[[#This Row],[Diameter]]/2)-Table3[[#This Row],[CornerRadius]]-0.012,0),)</f>
        <v>0</v>
      </c>
      <c r="CE706" s="6" t="str">
        <f>IF(Table3[[#This Row],[ShoulderLength]]="","",IF(Table3[[#This Row],[ShoulderLength]]&lt;Table3[[#This Row],[LOC]],"FIX",""))</f>
        <v/>
      </c>
    </row>
    <row r="707" spans="1:83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v>0</v>
      </c>
      <c r="BN707" s="6">
        <v>0</v>
      </c>
      <c r="BO707" s="6">
        <v>0</v>
      </c>
      <c r="BP707" s="6">
        <v>0</v>
      </c>
      <c r="BQ707" s="6">
        <v>0</v>
      </c>
      <c r="BR707" s="6">
        <v>0</v>
      </c>
      <c r="BS707" s="6">
        <v>0</v>
      </c>
      <c r="BT707" s="6">
        <v>0</v>
      </c>
      <c r="BU707" s="6">
        <v>0</v>
      </c>
      <c r="BV707" s="6">
        <v>0</v>
      </c>
      <c r="BW707" s="6">
        <v>0</v>
      </c>
      <c r="BX707" s="6">
        <v>0</v>
      </c>
      <c r="BY707" s="6">
        <v>0</v>
      </c>
      <c r="BZ707" s="6">
        <v>0</v>
      </c>
      <c r="CA707" s="6">
        <v>0</v>
      </c>
      <c r="CB707" s="6">
        <v>0</v>
      </c>
      <c r="CC707" s="6">
        <f>IF(Table3[[#This Row],[Type]]="EM",IF((Table3[[#This Row],[Diameter]]/2)-Table3[[#This Row],[CornerRadius]]-0.012&gt;0,(Table3[[#This Row],[Diameter]]/2)-Table3[[#This Row],[CornerRadius]]-0.012,0),)</f>
        <v>0</v>
      </c>
      <c r="CE707" s="6" t="str">
        <f>IF(Table3[[#This Row],[ShoulderLength]]="","",IF(Table3[[#This Row],[ShoulderLength]]&lt;Table3[[#This Row],[LOC]],"FIX",""))</f>
        <v/>
      </c>
    </row>
    <row r="708" spans="1:83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v>0</v>
      </c>
      <c r="BN708" s="6">
        <v>0</v>
      </c>
      <c r="BO708" s="6">
        <v>0</v>
      </c>
      <c r="BP708" s="6">
        <v>0</v>
      </c>
      <c r="BQ708" s="6">
        <v>0</v>
      </c>
      <c r="BR708" s="6">
        <v>0</v>
      </c>
      <c r="BS708" s="6">
        <v>0</v>
      </c>
      <c r="BT708" s="6">
        <v>0</v>
      </c>
      <c r="BU708" s="6">
        <v>0</v>
      </c>
      <c r="BV708" s="6">
        <v>0</v>
      </c>
      <c r="BW708" s="6">
        <v>0</v>
      </c>
      <c r="BX708" s="6">
        <v>0</v>
      </c>
      <c r="BY708" s="6">
        <v>0</v>
      </c>
      <c r="BZ708" s="6">
        <v>0</v>
      </c>
      <c r="CA708" s="6">
        <v>0</v>
      </c>
      <c r="CB708" s="6">
        <v>0</v>
      </c>
      <c r="CC708" s="6">
        <f>IF(Table3[[#This Row],[Type]]="EM",IF((Table3[[#This Row],[Diameter]]/2)-Table3[[#This Row],[CornerRadius]]-0.012&gt;0,(Table3[[#This Row],[Diameter]]/2)-Table3[[#This Row],[CornerRadius]]-0.012,0),)</f>
        <v>0</v>
      </c>
      <c r="CE708" s="6" t="str">
        <f>IF(Table3[[#This Row],[ShoulderLength]]="","",IF(Table3[[#This Row],[ShoulderLength]]&lt;Table3[[#This Row],[LOC]],"FIX",""))</f>
        <v/>
      </c>
    </row>
    <row r="709" spans="1:83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v>0</v>
      </c>
      <c r="BN709" s="6">
        <v>0</v>
      </c>
      <c r="BO709" s="6">
        <v>0</v>
      </c>
      <c r="BP709" s="6">
        <v>0</v>
      </c>
      <c r="BQ709" s="6">
        <v>0</v>
      </c>
      <c r="BR709" s="6">
        <v>0</v>
      </c>
      <c r="BS709" s="6">
        <v>0</v>
      </c>
      <c r="BT709" s="6">
        <v>0</v>
      </c>
      <c r="BU709" s="6">
        <v>0</v>
      </c>
      <c r="BV709" s="6">
        <v>0</v>
      </c>
      <c r="BW709" s="6">
        <v>0</v>
      </c>
      <c r="BX709" s="6">
        <v>0</v>
      </c>
      <c r="BY709" s="6">
        <v>0</v>
      </c>
      <c r="BZ709" s="6">
        <v>0</v>
      </c>
      <c r="CA709" s="6">
        <v>0</v>
      </c>
      <c r="CB709" s="6">
        <v>0</v>
      </c>
      <c r="CC709" s="6">
        <f>IF(Table3[[#This Row],[Type]]="EM",IF((Table3[[#This Row],[Diameter]]/2)-Table3[[#This Row],[CornerRadius]]-0.012&gt;0,(Table3[[#This Row],[Diameter]]/2)-Table3[[#This Row],[CornerRadius]]-0.012,0),)</f>
        <v>0</v>
      </c>
      <c r="CE709" s="6" t="str">
        <f>IF(Table3[[#This Row],[ShoulderLength]]="","",IF(Table3[[#This Row],[ShoulderLength]]&lt;Table3[[#This Row],[LOC]],"FIX",""))</f>
        <v/>
      </c>
    </row>
    <row r="710" spans="1:83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v>0</v>
      </c>
      <c r="BN710" s="6">
        <v>0</v>
      </c>
      <c r="BO710" s="6">
        <v>0</v>
      </c>
      <c r="BP710" s="6">
        <v>0</v>
      </c>
      <c r="BQ710" s="6">
        <v>0</v>
      </c>
      <c r="BR710" s="6">
        <v>0</v>
      </c>
      <c r="BS710" s="6">
        <v>0</v>
      </c>
      <c r="BT710" s="6">
        <v>0</v>
      </c>
      <c r="BU710" s="6">
        <v>0</v>
      </c>
      <c r="BV710" s="6">
        <v>0</v>
      </c>
      <c r="BW710" s="6">
        <v>0</v>
      </c>
      <c r="BX710" s="6">
        <v>0</v>
      </c>
      <c r="BY710" s="6">
        <v>0</v>
      </c>
      <c r="BZ710" s="6">
        <v>0</v>
      </c>
      <c r="CA710" s="6">
        <v>0</v>
      </c>
      <c r="CB710" s="6">
        <v>0</v>
      </c>
      <c r="CC710" s="6">
        <f>IF(Table3[[#This Row],[Type]]="EM",IF((Table3[[#This Row],[Diameter]]/2)-Table3[[#This Row],[CornerRadius]]-0.012&gt;0,(Table3[[#This Row],[Diameter]]/2)-Table3[[#This Row],[CornerRadius]]-0.012,0),)</f>
        <v>0</v>
      </c>
      <c r="CE710" s="6" t="str">
        <f>IF(Table3[[#This Row],[ShoulderLength]]="","",IF(Table3[[#This Row],[ShoulderLength]]&lt;Table3[[#This Row],[LOC]],"FIX",""))</f>
        <v/>
      </c>
    </row>
    <row r="711" spans="1:83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v>0</v>
      </c>
      <c r="BN711" s="6">
        <v>0</v>
      </c>
      <c r="BO711" s="6">
        <v>0</v>
      </c>
      <c r="BP711" s="6">
        <v>0</v>
      </c>
      <c r="BQ711" s="6">
        <v>0</v>
      </c>
      <c r="BR711" s="6">
        <v>0</v>
      </c>
      <c r="BS711" s="6">
        <v>0</v>
      </c>
      <c r="BT711" s="6">
        <v>0</v>
      </c>
      <c r="BU711" s="6">
        <v>0</v>
      </c>
      <c r="BV711" s="6">
        <v>0</v>
      </c>
      <c r="BW711" s="6">
        <v>0</v>
      </c>
      <c r="BX711" s="6">
        <v>0</v>
      </c>
      <c r="BY711" s="6">
        <v>0</v>
      </c>
      <c r="BZ711" s="6">
        <v>0</v>
      </c>
      <c r="CA711" s="6">
        <v>0</v>
      </c>
      <c r="CB711" s="6">
        <v>0</v>
      </c>
      <c r="CC711" s="6">
        <f>IF(Table3[[#This Row],[Type]]="EM",IF((Table3[[#This Row],[Diameter]]/2)-Table3[[#This Row],[CornerRadius]]-0.012&gt;0,(Table3[[#This Row],[Diameter]]/2)-Table3[[#This Row],[CornerRadius]]-0.012,0),)</f>
        <v>0</v>
      </c>
      <c r="CE711" s="6" t="str">
        <f>IF(Table3[[#This Row],[ShoulderLength]]="","",IF(Table3[[#This Row],[ShoulderLength]]&lt;Table3[[#This Row],[LOC]],"FIX",""))</f>
        <v/>
      </c>
    </row>
    <row r="712" spans="1:83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v>0</v>
      </c>
      <c r="BN712" s="6">
        <v>0</v>
      </c>
      <c r="BO712" s="6">
        <v>0</v>
      </c>
      <c r="BP712" s="6">
        <v>0</v>
      </c>
      <c r="BQ712" s="6">
        <v>0</v>
      </c>
      <c r="BR712" s="6">
        <v>0</v>
      </c>
      <c r="BS712" s="6">
        <v>0</v>
      </c>
      <c r="BT712" s="6">
        <v>0</v>
      </c>
      <c r="BU712" s="6">
        <v>0</v>
      </c>
      <c r="BV712" s="6">
        <v>0</v>
      </c>
      <c r="BW712" s="6">
        <v>0</v>
      </c>
      <c r="BX712" s="6">
        <v>0</v>
      </c>
      <c r="BY712" s="6">
        <v>0</v>
      </c>
      <c r="BZ712" s="6">
        <v>0</v>
      </c>
      <c r="CA712" s="6">
        <v>0</v>
      </c>
      <c r="CB712" s="6">
        <v>0</v>
      </c>
      <c r="CC712" s="6">
        <f>IF(Table3[[#This Row],[Type]]="EM",IF((Table3[[#This Row],[Diameter]]/2)-Table3[[#This Row],[CornerRadius]]-0.012&gt;0,(Table3[[#This Row],[Diameter]]/2)-Table3[[#This Row],[CornerRadius]]-0.012,0),)</f>
        <v>0</v>
      </c>
      <c r="CE712" s="6" t="str">
        <f>IF(Table3[[#This Row],[ShoulderLength]]="","",IF(Table3[[#This Row],[ShoulderLength]]&lt;Table3[[#This Row],[LOC]],"FIX",""))</f>
        <v/>
      </c>
    </row>
    <row r="713" spans="1:83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v>0</v>
      </c>
      <c r="BN713" s="6">
        <v>0</v>
      </c>
      <c r="BO713" s="6">
        <v>0</v>
      </c>
      <c r="BP713" s="6">
        <v>0</v>
      </c>
      <c r="BQ713" s="6">
        <v>0</v>
      </c>
      <c r="BR713" s="6">
        <v>0</v>
      </c>
      <c r="BS713" s="6">
        <v>0</v>
      </c>
      <c r="BT713" s="6">
        <v>0</v>
      </c>
      <c r="BU713" s="6">
        <v>0</v>
      </c>
      <c r="BV713" s="6">
        <v>0</v>
      </c>
      <c r="BW713" s="6">
        <v>0</v>
      </c>
      <c r="BX713" s="6">
        <v>0</v>
      </c>
      <c r="BY713" s="6">
        <v>0</v>
      </c>
      <c r="BZ713" s="6">
        <v>0</v>
      </c>
      <c r="CA713" s="6">
        <v>0</v>
      </c>
      <c r="CB713" s="6">
        <v>0</v>
      </c>
      <c r="CC713" s="6">
        <f>IF(Table3[[#This Row],[Type]]="EM",IF((Table3[[#This Row],[Diameter]]/2)-Table3[[#This Row],[CornerRadius]]-0.012&gt;0,(Table3[[#This Row],[Diameter]]/2)-Table3[[#This Row],[CornerRadius]]-0.012,0),)</f>
        <v>0</v>
      </c>
      <c r="CE713" s="6" t="str">
        <f>IF(Table3[[#This Row],[ShoulderLength]]="","",IF(Table3[[#This Row],[ShoulderLength]]&lt;Table3[[#This Row],[LOC]],"FIX",""))</f>
        <v/>
      </c>
    </row>
    <row r="714" spans="1:83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v>0</v>
      </c>
      <c r="BN714" s="6">
        <v>0</v>
      </c>
      <c r="BO714" s="6">
        <v>0</v>
      </c>
      <c r="BP714" s="6">
        <v>0</v>
      </c>
      <c r="BQ714" s="6">
        <v>0</v>
      </c>
      <c r="BR714" s="6">
        <v>0</v>
      </c>
      <c r="BS714" s="6">
        <v>0</v>
      </c>
      <c r="BT714" s="6">
        <v>0</v>
      </c>
      <c r="BU714" s="6">
        <v>0</v>
      </c>
      <c r="BV714" s="6">
        <v>0</v>
      </c>
      <c r="BW714" s="6">
        <v>0</v>
      </c>
      <c r="BX714" s="6">
        <v>0</v>
      </c>
      <c r="BY714" s="6">
        <v>0</v>
      </c>
      <c r="BZ714" s="6">
        <v>0</v>
      </c>
      <c r="CA714" s="6">
        <v>0</v>
      </c>
      <c r="CB714" s="6">
        <v>0</v>
      </c>
      <c r="CC714" s="6">
        <f>IF(Table3[[#This Row],[Type]]="EM",IF((Table3[[#This Row],[Diameter]]/2)-Table3[[#This Row],[CornerRadius]]-0.012&gt;0,(Table3[[#This Row],[Diameter]]/2)-Table3[[#This Row],[CornerRadius]]-0.012,0),)</f>
        <v>0</v>
      </c>
      <c r="CE714" s="6" t="str">
        <f>IF(Table3[[#This Row],[ShoulderLength]]="","",IF(Table3[[#This Row],[ShoulderLength]]&lt;Table3[[#This Row],[LOC]],"FIX",""))</f>
        <v/>
      </c>
    </row>
    <row r="715" spans="1:83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v>0</v>
      </c>
      <c r="BN715" s="6">
        <v>0</v>
      </c>
      <c r="BO715" s="6">
        <v>0</v>
      </c>
      <c r="BP715" s="6">
        <v>0</v>
      </c>
      <c r="BQ715" s="6">
        <v>0</v>
      </c>
      <c r="BR715" s="6">
        <v>0</v>
      </c>
      <c r="BS715" s="6">
        <v>0</v>
      </c>
      <c r="BT715" s="6">
        <v>0</v>
      </c>
      <c r="BU715" s="6">
        <v>0</v>
      </c>
      <c r="BV715" s="6">
        <v>0</v>
      </c>
      <c r="BW715" s="6">
        <v>0</v>
      </c>
      <c r="BX715" s="6">
        <v>0</v>
      </c>
      <c r="BY715" s="6">
        <v>0</v>
      </c>
      <c r="BZ715" s="6">
        <v>0</v>
      </c>
      <c r="CA715" s="6">
        <v>0</v>
      </c>
      <c r="CB715" s="6">
        <v>0</v>
      </c>
      <c r="CC715" s="6">
        <f>IF(Table3[[#This Row],[Type]]="EM",IF((Table3[[#This Row],[Diameter]]/2)-Table3[[#This Row],[CornerRadius]]-0.012&gt;0,(Table3[[#This Row],[Diameter]]/2)-Table3[[#This Row],[CornerRadius]]-0.012,0),)</f>
        <v>0</v>
      </c>
      <c r="CE715" s="6" t="str">
        <f>IF(Table3[[#This Row],[ShoulderLength]]="","",IF(Table3[[#This Row],[ShoulderLength]]&lt;Table3[[#This Row],[LOC]],"FIX",""))</f>
        <v/>
      </c>
    </row>
    <row r="716" spans="1:83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v>0</v>
      </c>
      <c r="BN716" s="6">
        <v>0</v>
      </c>
      <c r="BO716" s="6">
        <v>0</v>
      </c>
      <c r="BP716" s="6">
        <v>0</v>
      </c>
      <c r="BQ716" s="6">
        <v>0</v>
      </c>
      <c r="BR716" s="6">
        <v>0</v>
      </c>
      <c r="BS716" s="6">
        <v>0</v>
      </c>
      <c r="BT716" s="6">
        <v>0</v>
      </c>
      <c r="BU716" s="6">
        <v>0</v>
      </c>
      <c r="BV716" s="6">
        <v>0</v>
      </c>
      <c r="BW716" s="6">
        <v>0</v>
      </c>
      <c r="BX716" s="6">
        <v>0</v>
      </c>
      <c r="BY716" s="6">
        <v>0</v>
      </c>
      <c r="BZ716" s="6">
        <v>0</v>
      </c>
      <c r="CA716" s="6">
        <v>0</v>
      </c>
      <c r="CB716" s="6">
        <v>0</v>
      </c>
      <c r="CC716" s="6">
        <f>IF(Table3[[#This Row],[Type]]="EM",IF((Table3[[#This Row],[Diameter]]/2)-Table3[[#This Row],[CornerRadius]]-0.012&gt;0,(Table3[[#This Row],[Diameter]]/2)-Table3[[#This Row],[CornerRadius]]-0.012,0),)</f>
        <v>0</v>
      </c>
      <c r="CE716" s="6" t="str">
        <f>IF(Table3[[#This Row],[ShoulderLength]]="","",IF(Table3[[#This Row],[ShoulderLength]]&lt;Table3[[#This Row],[LOC]],"FIX",""))</f>
        <v/>
      </c>
    </row>
    <row r="717" spans="1:83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v>0</v>
      </c>
      <c r="BN717" s="6">
        <v>0</v>
      </c>
      <c r="BO717" s="6">
        <v>0</v>
      </c>
      <c r="BP717" s="6">
        <v>0</v>
      </c>
      <c r="BQ717" s="6">
        <v>0</v>
      </c>
      <c r="BR717" s="6">
        <v>0</v>
      </c>
      <c r="BS717" s="6">
        <v>0</v>
      </c>
      <c r="BT717" s="6">
        <v>0</v>
      </c>
      <c r="BU717" s="6">
        <v>0</v>
      </c>
      <c r="BV717" s="6">
        <v>0</v>
      </c>
      <c r="BW717" s="6">
        <v>0</v>
      </c>
      <c r="BX717" s="6">
        <v>0</v>
      </c>
      <c r="BY717" s="6">
        <v>0</v>
      </c>
      <c r="BZ717" s="6">
        <v>0</v>
      </c>
      <c r="CA717" s="6">
        <v>0</v>
      </c>
      <c r="CB717" s="6">
        <v>0</v>
      </c>
      <c r="CC717" s="6">
        <f>IF(Table3[[#This Row],[Type]]="EM",IF((Table3[[#This Row],[Diameter]]/2)-Table3[[#This Row],[CornerRadius]]-0.012&gt;0,(Table3[[#This Row],[Diameter]]/2)-Table3[[#This Row],[CornerRadius]]-0.012,0),)</f>
        <v>0</v>
      </c>
      <c r="CE717" s="6" t="str">
        <f>IF(Table3[[#This Row],[ShoulderLength]]="","",IF(Table3[[#This Row],[ShoulderLength]]&lt;Table3[[#This Row],[LOC]],"FIX",""))</f>
        <v/>
      </c>
    </row>
    <row r="718" spans="1:83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v>0</v>
      </c>
      <c r="BN718" s="6">
        <v>0</v>
      </c>
      <c r="BO718" s="6">
        <v>0</v>
      </c>
      <c r="BP718" s="6">
        <v>0</v>
      </c>
      <c r="BQ718" s="6">
        <v>0</v>
      </c>
      <c r="BR718" s="6">
        <v>0</v>
      </c>
      <c r="BS718" s="6">
        <v>0</v>
      </c>
      <c r="BT718" s="6">
        <v>0</v>
      </c>
      <c r="BU718" s="6">
        <v>0</v>
      </c>
      <c r="BV718" s="6">
        <v>0</v>
      </c>
      <c r="BW718" s="6">
        <v>0</v>
      </c>
      <c r="BX718" s="6">
        <v>0</v>
      </c>
      <c r="BY718" s="6">
        <v>0</v>
      </c>
      <c r="BZ718" s="6">
        <v>0</v>
      </c>
      <c r="CA718" s="6">
        <v>0</v>
      </c>
      <c r="CB718" s="6">
        <v>0</v>
      </c>
      <c r="CC718" s="6">
        <f>IF(Table3[[#This Row],[Type]]="EM",IF((Table3[[#This Row],[Diameter]]/2)-Table3[[#This Row],[CornerRadius]]-0.012&gt;0,(Table3[[#This Row],[Diameter]]/2)-Table3[[#This Row],[CornerRadius]]-0.012,0),)</f>
        <v>0</v>
      </c>
      <c r="CE718" s="6" t="str">
        <f>IF(Table3[[#This Row],[ShoulderLength]]="","",IF(Table3[[#This Row],[ShoulderLength]]&lt;Table3[[#This Row],[LOC]],"FIX",""))</f>
        <v/>
      </c>
    </row>
    <row r="719" spans="1:83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v>0</v>
      </c>
      <c r="BN719" s="6">
        <v>0</v>
      </c>
      <c r="BO719" s="6">
        <v>0</v>
      </c>
      <c r="BP719" s="6">
        <v>0</v>
      </c>
      <c r="BQ719" s="6">
        <v>0</v>
      </c>
      <c r="BR719" s="6">
        <v>0</v>
      </c>
      <c r="BS719" s="6">
        <v>0</v>
      </c>
      <c r="BT719" s="6">
        <v>0</v>
      </c>
      <c r="BU719" s="6">
        <v>0</v>
      </c>
      <c r="BV719" s="6">
        <v>0</v>
      </c>
      <c r="BW719" s="6">
        <v>0</v>
      </c>
      <c r="BX719" s="6">
        <v>0</v>
      </c>
      <c r="BY719" s="6">
        <v>0</v>
      </c>
      <c r="BZ719" s="6">
        <v>0</v>
      </c>
      <c r="CA719" s="6">
        <v>0</v>
      </c>
      <c r="CB719" s="6">
        <v>0</v>
      </c>
      <c r="CC719" s="6">
        <f>IF(Table3[[#This Row],[Type]]="EM",IF((Table3[[#This Row],[Diameter]]/2)-Table3[[#This Row],[CornerRadius]]-0.012&gt;0,(Table3[[#This Row],[Diameter]]/2)-Table3[[#This Row],[CornerRadius]]-0.012,0),)</f>
        <v>0</v>
      </c>
      <c r="CE719" s="6" t="str">
        <f>IF(Table3[[#This Row],[ShoulderLength]]="","",IF(Table3[[#This Row],[ShoulderLength]]&lt;Table3[[#This Row],[LOC]],"FIX",""))</f>
        <v/>
      </c>
    </row>
    <row r="720" spans="1:83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v>0</v>
      </c>
      <c r="BN720" s="6">
        <v>0</v>
      </c>
      <c r="BO720" s="6">
        <v>0</v>
      </c>
      <c r="BP720" s="6">
        <v>0</v>
      </c>
      <c r="BQ720" s="6">
        <v>0</v>
      </c>
      <c r="BR720" s="6">
        <v>0</v>
      </c>
      <c r="BS720" s="6">
        <v>0</v>
      </c>
      <c r="BT720" s="6">
        <v>0</v>
      </c>
      <c r="BU720" s="6">
        <v>0</v>
      </c>
      <c r="BV720" s="6">
        <v>0</v>
      </c>
      <c r="BW720" s="6">
        <v>0</v>
      </c>
      <c r="BX720" s="6">
        <v>0</v>
      </c>
      <c r="BY720" s="6">
        <v>0</v>
      </c>
      <c r="BZ720" s="6">
        <v>0</v>
      </c>
      <c r="CA720" s="6">
        <v>0</v>
      </c>
      <c r="CB720" s="6">
        <v>0</v>
      </c>
      <c r="CC720" s="6">
        <f>IF(Table3[[#This Row],[Type]]="EM",IF((Table3[[#This Row],[Diameter]]/2)-Table3[[#This Row],[CornerRadius]]-0.012&gt;0,(Table3[[#This Row],[Diameter]]/2)-Table3[[#This Row],[CornerRadius]]-0.012,0),)</f>
        <v>0</v>
      </c>
      <c r="CE720" s="6" t="str">
        <f>IF(Table3[[#This Row],[ShoulderLength]]="","",IF(Table3[[#This Row],[ShoulderLength]]&lt;Table3[[#This Row],[LOC]],"FIX",""))</f>
        <v/>
      </c>
    </row>
    <row r="721" spans="1:83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v>0</v>
      </c>
      <c r="BN721" s="6">
        <v>0</v>
      </c>
      <c r="BO721" s="6">
        <v>0</v>
      </c>
      <c r="BP721" s="6">
        <v>0</v>
      </c>
      <c r="BQ721" s="6">
        <v>0</v>
      </c>
      <c r="BR721" s="6">
        <v>0</v>
      </c>
      <c r="BS721" s="6">
        <v>0</v>
      </c>
      <c r="BT721" s="6">
        <v>0</v>
      </c>
      <c r="BU721" s="6">
        <v>0</v>
      </c>
      <c r="BV721" s="6">
        <v>0</v>
      </c>
      <c r="BW721" s="6">
        <v>0</v>
      </c>
      <c r="BX721" s="6">
        <v>0</v>
      </c>
      <c r="BY721" s="6">
        <v>0</v>
      </c>
      <c r="BZ721" s="6">
        <v>0</v>
      </c>
      <c r="CA721" s="6">
        <v>0</v>
      </c>
      <c r="CB721" s="6">
        <v>0</v>
      </c>
      <c r="CC721" s="6">
        <f>IF(Table3[[#This Row],[Type]]="EM",IF((Table3[[#This Row],[Diameter]]/2)-Table3[[#This Row],[CornerRadius]]-0.012&gt;0,(Table3[[#This Row],[Diameter]]/2)-Table3[[#This Row],[CornerRadius]]-0.012,0),)</f>
        <v>0</v>
      </c>
      <c r="CE721" s="6" t="str">
        <f>IF(Table3[[#This Row],[ShoulderLength]]="","",IF(Table3[[#This Row],[ShoulderLength]]&lt;Table3[[#This Row],[LOC]],"FIX",""))</f>
        <v/>
      </c>
    </row>
    <row r="722" spans="1:83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v>0</v>
      </c>
      <c r="BN722" s="6">
        <v>0</v>
      </c>
      <c r="BO722" s="6">
        <v>0</v>
      </c>
      <c r="BP722" s="6">
        <v>0</v>
      </c>
      <c r="BQ722" s="6">
        <v>0</v>
      </c>
      <c r="BR722" s="6">
        <v>0</v>
      </c>
      <c r="BS722" s="6">
        <v>0</v>
      </c>
      <c r="BT722" s="6">
        <v>0</v>
      </c>
      <c r="BU722" s="6">
        <v>0</v>
      </c>
      <c r="BV722" s="6">
        <v>0</v>
      </c>
      <c r="BW722" s="6">
        <v>0</v>
      </c>
      <c r="BX722" s="6">
        <v>0</v>
      </c>
      <c r="BY722" s="6">
        <v>0</v>
      </c>
      <c r="BZ722" s="6">
        <v>0</v>
      </c>
      <c r="CA722" s="6">
        <v>0</v>
      </c>
      <c r="CB722" s="6">
        <v>0</v>
      </c>
      <c r="CC722" s="6">
        <f>IF(Table3[[#This Row],[Type]]="EM",IF((Table3[[#This Row],[Diameter]]/2)-Table3[[#This Row],[CornerRadius]]-0.012&gt;0,(Table3[[#This Row],[Diameter]]/2)-Table3[[#This Row],[CornerRadius]]-0.012,0),)</f>
        <v>0</v>
      </c>
      <c r="CE722" s="6" t="str">
        <f>IF(Table3[[#This Row],[ShoulderLength]]="","",IF(Table3[[#This Row],[ShoulderLength]]&lt;Table3[[#This Row],[LOC]],"FIX",""))</f>
        <v/>
      </c>
    </row>
    <row r="723" spans="1:83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v>0</v>
      </c>
      <c r="BN723" s="6">
        <v>0</v>
      </c>
      <c r="BO723" s="6">
        <v>0</v>
      </c>
      <c r="BP723" s="6">
        <v>0</v>
      </c>
      <c r="BQ723" s="6">
        <v>0</v>
      </c>
      <c r="BR723" s="6">
        <v>0</v>
      </c>
      <c r="BS723" s="6">
        <v>0</v>
      </c>
      <c r="BT723" s="6">
        <v>0</v>
      </c>
      <c r="BU723" s="6">
        <v>0</v>
      </c>
      <c r="BV723" s="6">
        <v>0</v>
      </c>
      <c r="BW723" s="6">
        <v>0</v>
      </c>
      <c r="BX723" s="6">
        <v>0</v>
      </c>
      <c r="BY723" s="6">
        <v>0</v>
      </c>
      <c r="BZ723" s="6">
        <v>0</v>
      </c>
      <c r="CA723" s="6">
        <v>0</v>
      </c>
      <c r="CB723" s="6">
        <v>0</v>
      </c>
      <c r="CC723" s="6">
        <f>IF(Table3[[#This Row],[Type]]="EM",IF((Table3[[#This Row],[Diameter]]/2)-Table3[[#This Row],[CornerRadius]]-0.012&gt;0,(Table3[[#This Row],[Diameter]]/2)-Table3[[#This Row],[CornerRadius]]-0.012,0),)</f>
        <v>0</v>
      </c>
      <c r="CE723" s="6" t="str">
        <f>IF(Table3[[#This Row],[ShoulderLength]]="","",IF(Table3[[#This Row],[ShoulderLength]]&lt;Table3[[#This Row],[LOC]],"FIX",""))</f>
        <v/>
      </c>
    </row>
    <row r="724" spans="1:83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v>0</v>
      </c>
      <c r="BN724" s="6">
        <v>0</v>
      </c>
      <c r="BO724" s="6">
        <v>0</v>
      </c>
      <c r="BP724" s="6">
        <v>0</v>
      </c>
      <c r="BQ724" s="6">
        <v>0</v>
      </c>
      <c r="BR724" s="6">
        <v>0</v>
      </c>
      <c r="BS724" s="6">
        <v>0</v>
      </c>
      <c r="BT724" s="6">
        <v>0</v>
      </c>
      <c r="BU724" s="6">
        <v>0</v>
      </c>
      <c r="BV724" s="6">
        <v>0</v>
      </c>
      <c r="BW724" s="6">
        <v>0</v>
      </c>
      <c r="BX724" s="6">
        <v>0</v>
      </c>
      <c r="BY724" s="6">
        <v>0</v>
      </c>
      <c r="BZ724" s="6">
        <v>0</v>
      </c>
      <c r="CA724" s="6">
        <v>0</v>
      </c>
      <c r="CB724" s="6">
        <v>0</v>
      </c>
      <c r="CC724" s="6">
        <f>IF(Table3[[#This Row],[Type]]="EM",IF((Table3[[#This Row],[Diameter]]/2)-Table3[[#This Row],[CornerRadius]]-0.012&gt;0,(Table3[[#This Row],[Diameter]]/2)-Table3[[#This Row],[CornerRadius]]-0.012,0),)</f>
        <v>0</v>
      </c>
      <c r="CE724" s="6" t="str">
        <f>IF(Table3[[#This Row],[ShoulderLength]]="","",IF(Table3[[#This Row],[ShoulderLength]]&lt;Table3[[#This Row],[LOC]],"FIX",""))</f>
        <v/>
      </c>
    </row>
    <row r="725" spans="1:83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v>0</v>
      </c>
      <c r="BN725" s="6">
        <v>0</v>
      </c>
      <c r="BO725" s="6">
        <v>0</v>
      </c>
      <c r="BP725" s="6">
        <v>0</v>
      </c>
      <c r="BQ725" s="6">
        <v>0</v>
      </c>
      <c r="BR725" s="6">
        <v>0</v>
      </c>
      <c r="BS725" s="6">
        <v>0</v>
      </c>
      <c r="BT725" s="6">
        <v>0</v>
      </c>
      <c r="BU725" s="6">
        <v>0</v>
      </c>
      <c r="BV725" s="6">
        <v>0</v>
      </c>
      <c r="BW725" s="6">
        <v>0</v>
      </c>
      <c r="BX725" s="6">
        <v>0</v>
      </c>
      <c r="BY725" s="6">
        <v>0</v>
      </c>
      <c r="BZ725" s="6">
        <v>0</v>
      </c>
      <c r="CA725" s="6">
        <v>0</v>
      </c>
      <c r="CB725" s="6">
        <v>0</v>
      </c>
      <c r="CC725" s="6">
        <f>IF(Table3[[#This Row],[Type]]="EM",IF((Table3[[#This Row],[Diameter]]/2)-Table3[[#This Row],[CornerRadius]]-0.012&gt;0,(Table3[[#This Row],[Diameter]]/2)-Table3[[#This Row],[CornerRadius]]-0.012,0),)</f>
        <v>0</v>
      </c>
      <c r="CE725" s="6" t="str">
        <f>IF(Table3[[#This Row],[ShoulderLength]]="","",IF(Table3[[#This Row],[ShoulderLength]]&lt;Table3[[#This Row],[LOC]],"FIX",""))</f>
        <v/>
      </c>
    </row>
    <row r="726" spans="1:83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v>0</v>
      </c>
      <c r="BN726" s="6">
        <v>0</v>
      </c>
      <c r="BO726" s="6">
        <v>0</v>
      </c>
      <c r="BP726" s="6">
        <v>0</v>
      </c>
      <c r="BQ726" s="6">
        <v>0</v>
      </c>
      <c r="BR726" s="6">
        <v>0</v>
      </c>
      <c r="BS726" s="6">
        <v>0</v>
      </c>
      <c r="BT726" s="6">
        <v>0</v>
      </c>
      <c r="BU726" s="6">
        <v>0</v>
      </c>
      <c r="BV726" s="6">
        <v>0</v>
      </c>
      <c r="BW726" s="6">
        <v>0</v>
      </c>
      <c r="BX726" s="6">
        <v>0</v>
      </c>
      <c r="BY726" s="6">
        <v>0</v>
      </c>
      <c r="BZ726" s="6">
        <v>0</v>
      </c>
      <c r="CA726" s="6">
        <v>0</v>
      </c>
      <c r="CB726" s="6">
        <v>0</v>
      </c>
      <c r="CC726" s="6">
        <f>IF(Table3[[#This Row],[Type]]="EM",IF((Table3[[#This Row],[Diameter]]/2)-Table3[[#This Row],[CornerRadius]]-0.012&gt;0,(Table3[[#This Row],[Diameter]]/2)-Table3[[#This Row],[CornerRadius]]-0.012,0),)</f>
        <v>0</v>
      </c>
      <c r="CE726" s="6" t="str">
        <f>IF(Table3[[#This Row],[ShoulderLength]]="","",IF(Table3[[#This Row],[ShoulderLength]]&lt;Table3[[#This Row],[LOC]],"FIX",""))</f>
        <v/>
      </c>
    </row>
    <row r="727" spans="1:83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v>0</v>
      </c>
      <c r="BN727" s="6">
        <v>0</v>
      </c>
      <c r="BO727" s="6">
        <v>0</v>
      </c>
      <c r="BP727" s="6">
        <v>0</v>
      </c>
      <c r="BQ727" s="6">
        <v>0</v>
      </c>
      <c r="BR727" s="6">
        <v>0</v>
      </c>
      <c r="BS727" s="6">
        <v>0</v>
      </c>
      <c r="BT727" s="6">
        <v>0</v>
      </c>
      <c r="BU727" s="6">
        <v>0</v>
      </c>
      <c r="BV727" s="6">
        <v>0</v>
      </c>
      <c r="BW727" s="6">
        <v>0</v>
      </c>
      <c r="BX727" s="6">
        <v>0</v>
      </c>
      <c r="BY727" s="6">
        <v>0</v>
      </c>
      <c r="BZ727" s="6">
        <v>0</v>
      </c>
      <c r="CA727" s="6">
        <v>0</v>
      </c>
      <c r="CB727" s="6">
        <v>0</v>
      </c>
      <c r="CC727" s="6">
        <f>IF(Table3[[#This Row],[Type]]="EM",IF((Table3[[#This Row],[Diameter]]/2)-Table3[[#This Row],[CornerRadius]]-0.012&gt;0,(Table3[[#This Row],[Diameter]]/2)-Table3[[#This Row],[CornerRadius]]-0.012,0),)</f>
        <v>0</v>
      </c>
      <c r="CE727" s="6" t="str">
        <f>IF(Table3[[#This Row],[ShoulderLength]]="","",IF(Table3[[#This Row],[ShoulderLength]]&lt;Table3[[#This Row],[LOC]],"FIX",""))</f>
        <v/>
      </c>
    </row>
    <row r="728" spans="1:83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v>0</v>
      </c>
      <c r="BN728" s="6">
        <v>0</v>
      </c>
      <c r="BO728" s="6">
        <v>0</v>
      </c>
      <c r="BP728" s="6">
        <v>0</v>
      </c>
      <c r="BQ728" s="6">
        <v>0</v>
      </c>
      <c r="BR728" s="6">
        <v>0</v>
      </c>
      <c r="BS728" s="6">
        <v>0</v>
      </c>
      <c r="BT728" s="6">
        <v>0</v>
      </c>
      <c r="BU728" s="6">
        <v>0</v>
      </c>
      <c r="BV728" s="6">
        <v>0</v>
      </c>
      <c r="BW728" s="6">
        <v>0</v>
      </c>
      <c r="BX728" s="6">
        <v>0</v>
      </c>
      <c r="BY728" s="6">
        <v>0</v>
      </c>
      <c r="BZ728" s="6">
        <v>0</v>
      </c>
      <c r="CA728" s="6">
        <v>0</v>
      </c>
      <c r="CB728" s="6">
        <v>0</v>
      </c>
      <c r="CC728" s="6">
        <f>IF(Table3[[#This Row],[Type]]="EM",IF((Table3[[#This Row],[Diameter]]/2)-Table3[[#This Row],[CornerRadius]]-0.012&gt;0,(Table3[[#This Row],[Diameter]]/2)-Table3[[#This Row],[CornerRadius]]-0.012,0),)</f>
        <v>0</v>
      </c>
      <c r="CE728" s="6" t="str">
        <f>IF(Table3[[#This Row],[ShoulderLength]]="","",IF(Table3[[#This Row],[ShoulderLength]]&lt;Table3[[#This Row],[LOC]],"FIX",""))</f>
        <v/>
      </c>
    </row>
    <row r="729" spans="1:83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v>0</v>
      </c>
      <c r="BN729" s="6">
        <v>0</v>
      </c>
      <c r="BO729" s="6">
        <v>0</v>
      </c>
      <c r="BP729" s="6">
        <v>0</v>
      </c>
      <c r="BQ729" s="6">
        <v>0</v>
      </c>
      <c r="BR729" s="6">
        <v>0</v>
      </c>
      <c r="BS729" s="6">
        <v>0</v>
      </c>
      <c r="BT729" s="6">
        <v>0</v>
      </c>
      <c r="BU729" s="6">
        <v>0</v>
      </c>
      <c r="BV729" s="6">
        <v>0</v>
      </c>
      <c r="BW729" s="6">
        <v>0</v>
      </c>
      <c r="BX729" s="6">
        <v>0</v>
      </c>
      <c r="BY729" s="6">
        <v>0</v>
      </c>
      <c r="BZ729" s="6">
        <v>0</v>
      </c>
      <c r="CA729" s="6">
        <v>0</v>
      </c>
      <c r="CB729" s="6">
        <v>0</v>
      </c>
      <c r="CC729" s="6">
        <f>IF(Table3[[#This Row],[Type]]="EM",IF((Table3[[#This Row],[Diameter]]/2)-Table3[[#This Row],[CornerRadius]]-0.012&gt;0,(Table3[[#This Row],[Diameter]]/2)-Table3[[#This Row],[CornerRadius]]-0.012,0),)</f>
        <v>0</v>
      </c>
      <c r="CE729" s="6" t="str">
        <f>IF(Table3[[#This Row],[ShoulderLength]]="","",IF(Table3[[#This Row],[ShoulderLength]]&lt;Table3[[#This Row],[LOC]],"FIX",""))</f>
        <v/>
      </c>
    </row>
    <row r="730" spans="1:83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v>0</v>
      </c>
      <c r="BN730" s="6">
        <v>0</v>
      </c>
      <c r="BO730" s="6">
        <v>0</v>
      </c>
      <c r="BP730" s="6">
        <v>0</v>
      </c>
      <c r="BQ730" s="6">
        <v>0</v>
      </c>
      <c r="BR730" s="6">
        <v>0</v>
      </c>
      <c r="BS730" s="6">
        <v>0</v>
      </c>
      <c r="BT730" s="6">
        <v>0</v>
      </c>
      <c r="BU730" s="6">
        <v>0</v>
      </c>
      <c r="BV730" s="6">
        <v>0</v>
      </c>
      <c r="BW730" s="6">
        <v>0</v>
      </c>
      <c r="BX730" s="6">
        <v>0</v>
      </c>
      <c r="BY730" s="6">
        <v>0</v>
      </c>
      <c r="BZ730" s="6">
        <v>0</v>
      </c>
      <c r="CA730" s="6">
        <v>0</v>
      </c>
      <c r="CB730" s="6">
        <v>0</v>
      </c>
      <c r="CC730" s="6">
        <f>IF(Table3[[#This Row],[Type]]="EM",IF((Table3[[#This Row],[Diameter]]/2)-Table3[[#This Row],[CornerRadius]]-0.012&gt;0,(Table3[[#This Row],[Diameter]]/2)-Table3[[#This Row],[CornerRadius]]-0.012,0),)</f>
        <v>0</v>
      </c>
      <c r="CE730" s="6" t="str">
        <f>IF(Table3[[#This Row],[ShoulderLength]]="","",IF(Table3[[#This Row],[ShoulderLength]]&lt;Table3[[#This Row],[LOC]],"FIX",""))</f>
        <v/>
      </c>
    </row>
    <row r="731" spans="1:83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v>0</v>
      </c>
      <c r="BN731" s="6">
        <v>0</v>
      </c>
      <c r="BO731" s="6">
        <v>0</v>
      </c>
      <c r="BP731" s="6">
        <v>0</v>
      </c>
      <c r="BQ731" s="6">
        <v>0</v>
      </c>
      <c r="BR731" s="6">
        <v>0</v>
      </c>
      <c r="BS731" s="6">
        <v>0</v>
      </c>
      <c r="BT731" s="6">
        <v>0</v>
      </c>
      <c r="BU731" s="6">
        <v>0</v>
      </c>
      <c r="BV731" s="6">
        <v>0</v>
      </c>
      <c r="BW731" s="6">
        <v>0</v>
      </c>
      <c r="BX731" s="6">
        <v>0</v>
      </c>
      <c r="BY731" s="6">
        <v>0</v>
      </c>
      <c r="BZ731" s="6">
        <v>0</v>
      </c>
      <c r="CA731" s="6">
        <v>0</v>
      </c>
      <c r="CB731" s="6">
        <v>0</v>
      </c>
      <c r="CC731" s="6">
        <f>IF(Table3[[#This Row],[Type]]="EM",IF((Table3[[#This Row],[Diameter]]/2)-Table3[[#This Row],[CornerRadius]]-0.012&gt;0,(Table3[[#This Row],[Diameter]]/2)-Table3[[#This Row],[CornerRadius]]-0.012,0),)</f>
        <v>0</v>
      </c>
      <c r="CE731" s="6" t="str">
        <f>IF(Table3[[#This Row],[ShoulderLength]]="","",IF(Table3[[#This Row],[ShoulderLength]]&lt;Table3[[#This Row],[LOC]],"FIX",""))</f>
        <v/>
      </c>
    </row>
    <row r="732" spans="1:83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v>0</v>
      </c>
      <c r="BN732" s="6">
        <v>0</v>
      </c>
      <c r="BO732" s="6">
        <v>0</v>
      </c>
      <c r="BP732" s="6">
        <v>0</v>
      </c>
      <c r="BQ732" s="6">
        <v>0</v>
      </c>
      <c r="BR732" s="6">
        <v>0</v>
      </c>
      <c r="BS732" s="6">
        <v>0</v>
      </c>
      <c r="BT732" s="6">
        <v>0</v>
      </c>
      <c r="BU732" s="6">
        <v>0</v>
      </c>
      <c r="BV732" s="6">
        <v>0</v>
      </c>
      <c r="BW732" s="6">
        <v>0</v>
      </c>
      <c r="BX732" s="6">
        <v>0</v>
      </c>
      <c r="BY732" s="6">
        <v>0</v>
      </c>
      <c r="BZ732" s="6">
        <v>0</v>
      </c>
      <c r="CA732" s="6">
        <v>0</v>
      </c>
      <c r="CB732" s="6">
        <v>0</v>
      </c>
      <c r="CC732" s="6">
        <f>IF(Table3[[#This Row],[Type]]="EM",IF((Table3[[#This Row],[Diameter]]/2)-Table3[[#This Row],[CornerRadius]]-0.012&gt;0,(Table3[[#This Row],[Diameter]]/2)-Table3[[#This Row],[CornerRadius]]-0.012,0),)</f>
        <v>0</v>
      </c>
      <c r="CE732" s="6" t="str">
        <f>IF(Table3[[#This Row],[ShoulderLength]]="","",IF(Table3[[#This Row],[ShoulderLength]]&lt;Table3[[#This Row],[LOC]],"FIX",""))</f>
        <v/>
      </c>
    </row>
    <row r="733" spans="1:83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v>0</v>
      </c>
      <c r="BN733" s="6">
        <v>0</v>
      </c>
      <c r="BO733" s="6">
        <v>0</v>
      </c>
      <c r="BP733" s="6">
        <v>0</v>
      </c>
      <c r="BQ733" s="6">
        <v>0</v>
      </c>
      <c r="BR733" s="6">
        <v>0</v>
      </c>
      <c r="BS733" s="6">
        <v>0</v>
      </c>
      <c r="BT733" s="6">
        <v>0</v>
      </c>
      <c r="BU733" s="6">
        <v>0</v>
      </c>
      <c r="BV733" s="6">
        <v>0</v>
      </c>
      <c r="BW733" s="6">
        <v>0</v>
      </c>
      <c r="BX733" s="6">
        <v>0</v>
      </c>
      <c r="BY733" s="6">
        <v>0</v>
      </c>
      <c r="BZ733" s="6">
        <v>0</v>
      </c>
      <c r="CA733" s="6">
        <v>0</v>
      </c>
      <c r="CB733" s="6">
        <v>0</v>
      </c>
      <c r="CC733" s="6">
        <f>IF(Table3[[#This Row],[Type]]="EM",IF((Table3[[#This Row],[Diameter]]/2)-Table3[[#This Row],[CornerRadius]]-0.012&gt;0,(Table3[[#This Row],[Diameter]]/2)-Table3[[#This Row],[CornerRadius]]-0.012,0),)</f>
        <v>0</v>
      </c>
      <c r="CE733" s="6" t="str">
        <f>IF(Table3[[#This Row],[ShoulderLength]]="","",IF(Table3[[#This Row],[ShoulderLength]]&lt;Table3[[#This Row],[LOC]],"FIX",""))</f>
        <v/>
      </c>
    </row>
    <row r="734" spans="1:83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v>0</v>
      </c>
      <c r="BN734" s="6">
        <v>0</v>
      </c>
      <c r="BO734" s="6">
        <v>0</v>
      </c>
      <c r="BP734" s="6">
        <v>0</v>
      </c>
      <c r="BQ734" s="6">
        <v>0</v>
      </c>
      <c r="BR734" s="6">
        <v>0</v>
      </c>
      <c r="BS734" s="6">
        <v>0</v>
      </c>
      <c r="BT734" s="6">
        <v>0</v>
      </c>
      <c r="BU734" s="6">
        <v>0</v>
      </c>
      <c r="BV734" s="6">
        <v>0</v>
      </c>
      <c r="BW734" s="6">
        <v>0</v>
      </c>
      <c r="BX734" s="6">
        <v>0</v>
      </c>
      <c r="BY734" s="6">
        <v>0</v>
      </c>
      <c r="BZ734" s="6">
        <v>0</v>
      </c>
      <c r="CA734" s="6">
        <v>0</v>
      </c>
      <c r="CB734" s="6">
        <v>0</v>
      </c>
      <c r="CC734" s="6">
        <f>IF(Table3[[#This Row],[Type]]="EM",IF((Table3[[#This Row],[Diameter]]/2)-Table3[[#This Row],[CornerRadius]]-0.012&gt;0,(Table3[[#This Row],[Diameter]]/2)-Table3[[#This Row],[CornerRadius]]-0.012,0),)</f>
        <v>0</v>
      </c>
      <c r="CE734" s="6" t="str">
        <f>IF(Table3[[#This Row],[ShoulderLength]]="","",IF(Table3[[#This Row],[ShoulderLength]]&lt;Table3[[#This Row],[LOC]],"FIX",""))</f>
        <v/>
      </c>
    </row>
    <row r="735" spans="1:83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v>0</v>
      </c>
      <c r="BN735" s="6">
        <v>0</v>
      </c>
      <c r="BO735" s="6">
        <v>0</v>
      </c>
      <c r="BP735" s="6">
        <v>0</v>
      </c>
      <c r="BQ735" s="6">
        <v>0</v>
      </c>
      <c r="BR735" s="6">
        <v>0</v>
      </c>
      <c r="BS735" s="6">
        <v>0</v>
      </c>
      <c r="BT735" s="6">
        <v>0</v>
      </c>
      <c r="BU735" s="6">
        <v>0</v>
      </c>
      <c r="BV735" s="6">
        <v>0</v>
      </c>
      <c r="BW735" s="6">
        <v>0</v>
      </c>
      <c r="BX735" s="6">
        <v>0</v>
      </c>
      <c r="BY735" s="6">
        <v>0</v>
      </c>
      <c r="BZ735" s="6">
        <v>0</v>
      </c>
      <c r="CA735" s="6">
        <v>0</v>
      </c>
      <c r="CB735" s="6">
        <v>0</v>
      </c>
      <c r="CC735" s="6">
        <f>IF(Table3[[#This Row],[Type]]="EM",IF((Table3[[#This Row],[Diameter]]/2)-Table3[[#This Row],[CornerRadius]]-0.012&gt;0,(Table3[[#This Row],[Diameter]]/2)-Table3[[#This Row],[CornerRadius]]-0.012,0),)</f>
        <v>0</v>
      </c>
      <c r="CE735" s="6" t="str">
        <f>IF(Table3[[#This Row],[ShoulderLength]]="","",IF(Table3[[#This Row],[ShoulderLength]]&lt;Table3[[#This Row],[LOC]],"FIX",""))</f>
        <v/>
      </c>
    </row>
    <row r="736" spans="1:83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v>0</v>
      </c>
      <c r="BN736" s="6">
        <v>0</v>
      </c>
      <c r="BO736" s="6">
        <v>0</v>
      </c>
      <c r="BP736" s="6">
        <v>0</v>
      </c>
      <c r="BQ736" s="6">
        <v>0</v>
      </c>
      <c r="BR736" s="6">
        <v>0</v>
      </c>
      <c r="BS736" s="6">
        <v>0</v>
      </c>
      <c r="BT736" s="6">
        <v>0</v>
      </c>
      <c r="BU736" s="6">
        <v>0</v>
      </c>
      <c r="BV736" s="6">
        <v>0</v>
      </c>
      <c r="BW736" s="6">
        <v>0</v>
      </c>
      <c r="BX736" s="6">
        <v>0</v>
      </c>
      <c r="BY736" s="6">
        <v>0</v>
      </c>
      <c r="BZ736" s="6">
        <v>0</v>
      </c>
      <c r="CA736" s="6">
        <v>0</v>
      </c>
      <c r="CB736" s="6">
        <v>0</v>
      </c>
      <c r="CC736" s="6">
        <f>IF(Table3[[#This Row],[Type]]="EM",IF((Table3[[#This Row],[Diameter]]/2)-Table3[[#This Row],[CornerRadius]]-0.012&gt;0,(Table3[[#This Row],[Diameter]]/2)-Table3[[#This Row],[CornerRadius]]-0.012,0),)</f>
        <v>0</v>
      </c>
      <c r="CE736" s="6" t="str">
        <f>IF(Table3[[#This Row],[ShoulderLength]]="","",IF(Table3[[#This Row],[ShoulderLength]]&lt;Table3[[#This Row],[LOC]],"FIX",""))</f>
        <v/>
      </c>
    </row>
    <row r="737" spans="1:83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v>0</v>
      </c>
      <c r="BN737" s="6">
        <v>0</v>
      </c>
      <c r="BO737" s="6">
        <v>0</v>
      </c>
      <c r="BP737" s="6">
        <v>0</v>
      </c>
      <c r="BQ737" s="6">
        <v>0</v>
      </c>
      <c r="BR737" s="6">
        <v>0</v>
      </c>
      <c r="BS737" s="6">
        <v>0</v>
      </c>
      <c r="BT737" s="6">
        <v>0</v>
      </c>
      <c r="BU737" s="6">
        <v>0</v>
      </c>
      <c r="BV737" s="6">
        <v>0</v>
      </c>
      <c r="BW737" s="6">
        <v>0</v>
      </c>
      <c r="BX737" s="6">
        <v>0</v>
      </c>
      <c r="BY737" s="6">
        <v>0</v>
      </c>
      <c r="BZ737" s="6">
        <v>0</v>
      </c>
      <c r="CA737" s="6">
        <v>0</v>
      </c>
      <c r="CB737" s="6">
        <v>0</v>
      </c>
      <c r="CC737" s="6">
        <f>IF(Table3[[#This Row],[Type]]="EM",IF((Table3[[#This Row],[Diameter]]/2)-Table3[[#This Row],[CornerRadius]]-0.012&gt;0,(Table3[[#This Row],[Diameter]]/2)-Table3[[#This Row],[CornerRadius]]-0.012,0),)</f>
        <v>0</v>
      </c>
      <c r="CE737" s="6" t="str">
        <f>IF(Table3[[#This Row],[ShoulderLength]]="","",IF(Table3[[#This Row],[ShoulderLength]]&lt;Table3[[#This Row],[LOC]],"FIX",""))</f>
        <v/>
      </c>
    </row>
    <row r="738" spans="1:83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v>0</v>
      </c>
      <c r="BN738" s="6">
        <v>0</v>
      </c>
      <c r="BO738" s="6">
        <v>0</v>
      </c>
      <c r="BP738" s="6">
        <v>0</v>
      </c>
      <c r="BQ738" s="6">
        <v>0</v>
      </c>
      <c r="BR738" s="6">
        <v>0</v>
      </c>
      <c r="BS738" s="6">
        <v>0</v>
      </c>
      <c r="BT738" s="6">
        <v>0</v>
      </c>
      <c r="BU738" s="6">
        <v>0</v>
      </c>
      <c r="BV738" s="6">
        <v>0</v>
      </c>
      <c r="BW738" s="6">
        <v>0</v>
      </c>
      <c r="BX738" s="6">
        <v>0</v>
      </c>
      <c r="BY738" s="6">
        <v>0</v>
      </c>
      <c r="BZ738" s="6">
        <v>0</v>
      </c>
      <c r="CA738" s="6">
        <v>0</v>
      </c>
      <c r="CB738" s="6">
        <v>0</v>
      </c>
      <c r="CC738" s="6">
        <f>IF(Table3[[#This Row],[Type]]="EM",IF((Table3[[#This Row],[Diameter]]/2)-Table3[[#This Row],[CornerRadius]]-0.012&gt;0,(Table3[[#This Row],[Diameter]]/2)-Table3[[#This Row],[CornerRadius]]-0.012,0),)</f>
        <v>0</v>
      </c>
      <c r="CE738" s="6" t="str">
        <f>IF(Table3[[#This Row],[ShoulderLength]]="","",IF(Table3[[#This Row],[ShoulderLength]]&lt;Table3[[#This Row],[LOC]],"FIX",""))</f>
        <v/>
      </c>
    </row>
    <row r="739" spans="1:83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v>0</v>
      </c>
      <c r="BN739" s="6">
        <v>0</v>
      </c>
      <c r="BO739" s="6">
        <v>0</v>
      </c>
      <c r="BP739" s="6">
        <v>0</v>
      </c>
      <c r="BQ739" s="6">
        <v>0</v>
      </c>
      <c r="BR739" s="6">
        <v>0</v>
      </c>
      <c r="BS739" s="6">
        <v>0</v>
      </c>
      <c r="BT739" s="6">
        <v>0</v>
      </c>
      <c r="BU739" s="6">
        <v>0</v>
      </c>
      <c r="BV739" s="6">
        <v>0</v>
      </c>
      <c r="BW739" s="6">
        <v>0</v>
      </c>
      <c r="BX739" s="6">
        <v>0</v>
      </c>
      <c r="BY739" s="6">
        <v>0</v>
      </c>
      <c r="BZ739" s="6">
        <v>0</v>
      </c>
      <c r="CA739" s="6">
        <v>0</v>
      </c>
      <c r="CB739" s="6">
        <v>0</v>
      </c>
      <c r="CC739" s="6">
        <f>IF(Table3[[#This Row],[Type]]="EM",IF((Table3[[#This Row],[Diameter]]/2)-Table3[[#This Row],[CornerRadius]]-0.012&gt;0,(Table3[[#This Row],[Diameter]]/2)-Table3[[#This Row],[CornerRadius]]-0.012,0),)</f>
        <v>0</v>
      </c>
      <c r="CE739" s="6" t="str">
        <f>IF(Table3[[#This Row],[ShoulderLength]]="","",IF(Table3[[#This Row],[ShoulderLength]]&lt;Table3[[#This Row],[LOC]],"FIX",""))</f>
        <v/>
      </c>
    </row>
    <row r="740" spans="1:83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v>0</v>
      </c>
      <c r="BN740" s="6">
        <v>0</v>
      </c>
      <c r="BO740" s="6">
        <v>0</v>
      </c>
      <c r="BP740" s="6">
        <v>0</v>
      </c>
      <c r="BQ740" s="6">
        <v>0</v>
      </c>
      <c r="BR740" s="6">
        <v>0</v>
      </c>
      <c r="BS740" s="6">
        <v>0</v>
      </c>
      <c r="BT740" s="6">
        <v>0</v>
      </c>
      <c r="BU740" s="6">
        <v>0</v>
      </c>
      <c r="BV740" s="6">
        <v>0</v>
      </c>
      <c r="BW740" s="6">
        <v>0</v>
      </c>
      <c r="BX740" s="6">
        <v>0</v>
      </c>
      <c r="BY740" s="6">
        <v>0</v>
      </c>
      <c r="BZ740" s="6">
        <v>0</v>
      </c>
      <c r="CA740" s="6">
        <v>0</v>
      </c>
      <c r="CB740" s="6">
        <v>0</v>
      </c>
      <c r="CC740" s="6">
        <f>IF(Table3[[#This Row],[Type]]="EM",IF((Table3[[#This Row],[Diameter]]/2)-Table3[[#This Row],[CornerRadius]]-0.012&gt;0,(Table3[[#This Row],[Diameter]]/2)-Table3[[#This Row],[CornerRadius]]-0.012,0),)</f>
        <v>0</v>
      </c>
      <c r="CE740" s="6" t="str">
        <f>IF(Table3[[#This Row],[ShoulderLength]]="","",IF(Table3[[#This Row],[ShoulderLength]]&lt;Table3[[#This Row],[LOC]],"FIX",""))</f>
        <v/>
      </c>
    </row>
    <row r="741" spans="1:83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v>0</v>
      </c>
      <c r="BN741" s="6">
        <v>0</v>
      </c>
      <c r="BO741" s="6">
        <v>0</v>
      </c>
      <c r="BP741" s="6">
        <v>0</v>
      </c>
      <c r="BQ741" s="6">
        <v>0</v>
      </c>
      <c r="BR741" s="6">
        <v>0</v>
      </c>
      <c r="BS741" s="6">
        <v>0</v>
      </c>
      <c r="BT741" s="6">
        <v>0</v>
      </c>
      <c r="BU741" s="6">
        <v>0</v>
      </c>
      <c r="BV741" s="6">
        <v>0</v>
      </c>
      <c r="BW741" s="6">
        <v>0</v>
      </c>
      <c r="BX741" s="6">
        <v>0</v>
      </c>
      <c r="BY741" s="6">
        <v>0</v>
      </c>
      <c r="BZ741" s="6">
        <v>0</v>
      </c>
      <c r="CA741" s="6">
        <v>0</v>
      </c>
      <c r="CB741" s="6">
        <v>0</v>
      </c>
      <c r="CC741" s="6">
        <f>IF(Table3[[#This Row],[Type]]="EM",IF((Table3[[#This Row],[Diameter]]/2)-Table3[[#This Row],[CornerRadius]]-0.012&gt;0,(Table3[[#This Row],[Diameter]]/2)-Table3[[#This Row],[CornerRadius]]-0.012,0),)</f>
        <v>0</v>
      </c>
      <c r="CE741" s="6" t="str">
        <f>IF(Table3[[#This Row],[ShoulderLength]]="","",IF(Table3[[#This Row],[ShoulderLength]]&lt;Table3[[#This Row],[LOC]],"FIX",""))</f>
        <v/>
      </c>
    </row>
    <row r="742" spans="1:83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v>0</v>
      </c>
      <c r="BN742" s="6">
        <v>0</v>
      </c>
      <c r="BO742" s="6">
        <v>0</v>
      </c>
      <c r="BP742" s="6">
        <v>0</v>
      </c>
      <c r="BQ742" s="6">
        <v>0</v>
      </c>
      <c r="BR742" s="6">
        <v>0</v>
      </c>
      <c r="BS742" s="6">
        <v>0</v>
      </c>
      <c r="BT742" s="6">
        <v>0</v>
      </c>
      <c r="BU742" s="6">
        <v>0</v>
      </c>
      <c r="BV742" s="6">
        <v>0</v>
      </c>
      <c r="BW742" s="6">
        <v>0</v>
      </c>
      <c r="BX742" s="6">
        <v>0</v>
      </c>
      <c r="BY742" s="6">
        <v>0</v>
      </c>
      <c r="BZ742" s="6">
        <v>0</v>
      </c>
      <c r="CA742" s="6">
        <v>0</v>
      </c>
      <c r="CB742" s="6">
        <v>0</v>
      </c>
      <c r="CC742" s="6">
        <f>IF(Table3[[#This Row],[Type]]="EM",IF((Table3[[#This Row],[Diameter]]/2)-Table3[[#This Row],[CornerRadius]]-0.012&gt;0,(Table3[[#This Row],[Diameter]]/2)-Table3[[#This Row],[CornerRadius]]-0.012,0),)</f>
        <v>0</v>
      </c>
      <c r="CE742" s="6" t="str">
        <f>IF(Table3[[#This Row],[ShoulderLength]]="","",IF(Table3[[#This Row],[ShoulderLength]]&lt;Table3[[#This Row],[LOC]],"FIX",""))</f>
        <v/>
      </c>
    </row>
    <row r="743" spans="1:83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v>0</v>
      </c>
      <c r="BN743" s="6">
        <v>0</v>
      </c>
      <c r="BO743" s="6">
        <v>0</v>
      </c>
      <c r="BP743" s="6">
        <v>0</v>
      </c>
      <c r="BQ743" s="6">
        <v>0</v>
      </c>
      <c r="BR743" s="6">
        <v>0</v>
      </c>
      <c r="BS743" s="6">
        <v>0</v>
      </c>
      <c r="BT743" s="6">
        <v>0</v>
      </c>
      <c r="BU743" s="6">
        <v>0</v>
      </c>
      <c r="BV743" s="6">
        <v>0</v>
      </c>
      <c r="BW743" s="6">
        <v>0</v>
      </c>
      <c r="BX743" s="6">
        <v>0</v>
      </c>
      <c r="BY743" s="6">
        <v>0</v>
      </c>
      <c r="BZ743" s="6">
        <v>0</v>
      </c>
      <c r="CA743" s="6">
        <v>0</v>
      </c>
      <c r="CB743" s="6">
        <v>0</v>
      </c>
      <c r="CC743" s="6">
        <f>IF(Table3[[#This Row],[Type]]="EM",IF((Table3[[#This Row],[Diameter]]/2)-Table3[[#This Row],[CornerRadius]]-0.012&gt;0,(Table3[[#This Row],[Diameter]]/2)-Table3[[#This Row],[CornerRadius]]-0.012,0),)</f>
        <v>0</v>
      </c>
      <c r="CE743" s="6" t="str">
        <f>IF(Table3[[#This Row],[ShoulderLength]]="","",IF(Table3[[#This Row],[ShoulderLength]]&lt;Table3[[#This Row],[LOC]],"FIX",""))</f>
        <v/>
      </c>
    </row>
    <row r="744" spans="1:83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v>0</v>
      </c>
      <c r="BN744" s="6">
        <v>0</v>
      </c>
      <c r="BO744" s="6">
        <v>0</v>
      </c>
      <c r="BP744" s="6">
        <v>0</v>
      </c>
      <c r="BQ744" s="6">
        <v>0</v>
      </c>
      <c r="BR744" s="6">
        <v>0</v>
      </c>
      <c r="BS744" s="6">
        <v>0</v>
      </c>
      <c r="BT744" s="6">
        <v>0</v>
      </c>
      <c r="BU744" s="6">
        <v>0</v>
      </c>
      <c r="BV744" s="6">
        <v>0</v>
      </c>
      <c r="BW744" s="6">
        <v>0</v>
      </c>
      <c r="BX744" s="6">
        <v>0</v>
      </c>
      <c r="BY744" s="6">
        <v>0</v>
      </c>
      <c r="BZ744" s="6">
        <v>0</v>
      </c>
      <c r="CA744" s="6">
        <v>0</v>
      </c>
      <c r="CB744" s="6">
        <v>0</v>
      </c>
      <c r="CC744" s="6">
        <f>IF(Table3[[#This Row],[Type]]="EM",IF((Table3[[#This Row],[Diameter]]/2)-Table3[[#This Row],[CornerRadius]]-0.012&gt;0,(Table3[[#This Row],[Diameter]]/2)-Table3[[#This Row],[CornerRadius]]-0.012,0),)</f>
        <v>0</v>
      </c>
      <c r="CE744" s="6" t="str">
        <f>IF(Table3[[#This Row],[ShoulderLength]]="","",IF(Table3[[#This Row],[ShoulderLength]]&lt;Table3[[#This Row],[LOC]],"FIX",""))</f>
        <v/>
      </c>
    </row>
    <row r="745" spans="1:83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v>0</v>
      </c>
      <c r="BN745" s="6">
        <v>0</v>
      </c>
      <c r="BO745" s="6">
        <v>0</v>
      </c>
      <c r="BP745" s="6">
        <v>0</v>
      </c>
      <c r="BQ745" s="6">
        <v>0</v>
      </c>
      <c r="BR745" s="6">
        <v>0</v>
      </c>
      <c r="BS745" s="6">
        <v>0</v>
      </c>
      <c r="BT745" s="6">
        <v>0</v>
      </c>
      <c r="BU745" s="6">
        <v>0</v>
      </c>
      <c r="BV745" s="6">
        <v>0</v>
      </c>
      <c r="BW745" s="6">
        <v>0</v>
      </c>
      <c r="BX745" s="6">
        <v>0</v>
      </c>
      <c r="BY745" s="6">
        <v>0</v>
      </c>
      <c r="BZ745" s="6">
        <v>0</v>
      </c>
      <c r="CA745" s="6">
        <v>0</v>
      </c>
      <c r="CB745" s="6">
        <v>0</v>
      </c>
      <c r="CC745" s="6">
        <f>IF(Table3[[#This Row],[Type]]="EM",IF((Table3[[#This Row],[Diameter]]/2)-Table3[[#This Row],[CornerRadius]]-0.012&gt;0,(Table3[[#This Row],[Diameter]]/2)-Table3[[#This Row],[CornerRadius]]-0.012,0),)</f>
        <v>0</v>
      </c>
      <c r="CE745" s="6" t="str">
        <f>IF(Table3[[#This Row],[ShoulderLength]]="","",IF(Table3[[#This Row],[ShoulderLength]]&lt;Table3[[#This Row],[LOC]],"FIX",""))</f>
        <v/>
      </c>
    </row>
    <row r="746" spans="1:83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v>0</v>
      </c>
      <c r="BN746" s="6">
        <v>0</v>
      </c>
      <c r="BO746" s="6">
        <v>0</v>
      </c>
      <c r="BP746" s="6">
        <v>0</v>
      </c>
      <c r="BQ746" s="6">
        <v>0</v>
      </c>
      <c r="BR746" s="6">
        <v>0</v>
      </c>
      <c r="BS746" s="6">
        <v>0</v>
      </c>
      <c r="BT746" s="6">
        <v>0</v>
      </c>
      <c r="BU746" s="6">
        <v>0</v>
      </c>
      <c r="BV746" s="6">
        <v>0</v>
      </c>
      <c r="BW746" s="6">
        <v>0</v>
      </c>
      <c r="BX746" s="6">
        <v>0</v>
      </c>
      <c r="BY746" s="6">
        <v>0</v>
      </c>
      <c r="BZ746" s="6">
        <v>0</v>
      </c>
      <c r="CA746" s="6">
        <v>0</v>
      </c>
      <c r="CB746" s="6">
        <v>0</v>
      </c>
      <c r="CC746" s="6">
        <f>IF(Table3[[#This Row],[Type]]="EM",IF((Table3[[#This Row],[Diameter]]/2)-Table3[[#This Row],[CornerRadius]]-0.012&gt;0,(Table3[[#This Row],[Diameter]]/2)-Table3[[#This Row],[CornerRadius]]-0.012,0),)</f>
        <v>0</v>
      </c>
      <c r="CE746" s="6" t="str">
        <f>IF(Table3[[#This Row],[ShoulderLength]]="","",IF(Table3[[#This Row],[ShoulderLength]]&lt;Table3[[#This Row],[LOC]],"FIX",""))</f>
        <v/>
      </c>
    </row>
    <row r="747" spans="1:83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v>0</v>
      </c>
      <c r="BN747" s="6">
        <v>0</v>
      </c>
      <c r="BO747" s="6">
        <v>0</v>
      </c>
      <c r="BP747" s="6">
        <v>0</v>
      </c>
      <c r="BQ747" s="6">
        <v>0</v>
      </c>
      <c r="BR747" s="6">
        <v>0</v>
      </c>
      <c r="BS747" s="6">
        <v>0</v>
      </c>
      <c r="BT747" s="6">
        <v>0</v>
      </c>
      <c r="BU747" s="6">
        <v>0</v>
      </c>
      <c r="BV747" s="6">
        <v>0</v>
      </c>
      <c r="BW747" s="6">
        <v>0</v>
      </c>
      <c r="BX747" s="6">
        <v>0</v>
      </c>
      <c r="BY747" s="6">
        <v>0</v>
      </c>
      <c r="BZ747" s="6">
        <v>0</v>
      </c>
      <c r="CA747" s="6">
        <v>0</v>
      </c>
      <c r="CB747" s="6">
        <v>0</v>
      </c>
      <c r="CC747" s="6">
        <f>IF(Table3[[#This Row],[Type]]="EM",IF((Table3[[#This Row],[Diameter]]/2)-Table3[[#This Row],[CornerRadius]]-0.012&gt;0,(Table3[[#This Row],[Diameter]]/2)-Table3[[#This Row],[CornerRadius]]-0.012,0),)</f>
        <v>0</v>
      </c>
      <c r="CE747" s="6" t="str">
        <f>IF(Table3[[#This Row],[ShoulderLength]]="","",IF(Table3[[#This Row],[ShoulderLength]]&lt;Table3[[#This Row],[LOC]],"FIX",""))</f>
        <v/>
      </c>
    </row>
    <row r="748" spans="1:83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v>0</v>
      </c>
      <c r="BN748" s="6">
        <v>0</v>
      </c>
      <c r="BO748" s="6">
        <v>0</v>
      </c>
      <c r="BP748" s="6">
        <v>0</v>
      </c>
      <c r="BQ748" s="6">
        <v>0</v>
      </c>
      <c r="BR748" s="6">
        <v>0</v>
      </c>
      <c r="BS748" s="6">
        <v>0</v>
      </c>
      <c r="BT748" s="6">
        <v>0</v>
      </c>
      <c r="BU748" s="6">
        <v>0</v>
      </c>
      <c r="BV748" s="6">
        <v>0</v>
      </c>
      <c r="BW748" s="6">
        <v>0</v>
      </c>
      <c r="BX748" s="6">
        <v>0</v>
      </c>
      <c r="BY748" s="6">
        <v>0</v>
      </c>
      <c r="BZ748" s="6">
        <v>0</v>
      </c>
      <c r="CA748" s="6">
        <v>0</v>
      </c>
      <c r="CB748" s="6">
        <v>0</v>
      </c>
      <c r="CC748" s="6">
        <f>IF(Table3[[#This Row],[Type]]="EM",IF((Table3[[#This Row],[Diameter]]/2)-Table3[[#This Row],[CornerRadius]]-0.012&gt;0,(Table3[[#This Row],[Diameter]]/2)-Table3[[#This Row],[CornerRadius]]-0.012,0),)</f>
        <v>0</v>
      </c>
      <c r="CE748" s="6" t="str">
        <f>IF(Table3[[#This Row],[ShoulderLength]]="","",IF(Table3[[#This Row],[ShoulderLength]]&lt;Table3[[#This Row],[LOC]],"FIX",""))</f>
        <v/>
      </c>
    </row>
    <row r="749" spans="1:83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v>0</v>
      </c>
      <c r="BN749" s="6">
        <v>0</v>
      </c>
      <c r="BO749" s="6">
        <v>0</v>
      </c>
      <c r="BP749" s="6">
        <v>0</v>
      </c>
      <c r="BQ749" s="6">
        <v>0</v>
      </c>
      <c r="BR749" s="6">
        <v>0</v>
      </c>
      <c r="BS749" s="6">
        <v>0</v>
      </c>
      <c r="BT749" s="6">
        <v>0</v>
      </c>
      <c r="BU749" s="6">
        <v>0</v>
      </c>
      <c r="BV749" s="6">
        <v>0</v>
      </c>
      <c r="BW749" s="6">
        <v>0</v>
      </c>
      <c r="BX749" s="6">
        <v>0</v>
      </c>
      <c r="BY749" s="6">
        <v>0</v>
      </c>
      <c r="BZ749" s="6">
        <v>0</v>
      </c>
      <c r="CA749" s="6">
        <v>0</v>
      </c>
      <c r="CB749" s="6">
        <v>0</v>
      </c>
      <c r="CC749" s="6">
        <f>IF(Table3[[#This Row],[Type]]="EM",IF((Table3[[#This Row],[Diameter]]/2)-Table3[[#This Row],[CornerRadius]]-0.012&gt;0,(Table3[[#This Row],[Diameter]]/2)-Table3[[#This Row],[CornerRadius]]-0.012,0),)</f>
        <v>0</v>
      </c>
      <c r="CE749" s="6" t="str">
        <f>IF(Table3[[#This Row],[ShoulderLength]]="","",IF(Table3[[#This Row],[ShoulderLength]]&lt;Table3[[#This Row],[LOC]],"FIX",""))</f>
        <v/>
      </c>
    </row>
    <row r="750" spans="1:83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v>0</v>
      </c>
      <c r="BN750" s="6">
        <v>0</v>
      </c>
      <c r="BO750" s="6">
        <v>0</v>
      </c>
      <c r="BP750" s="6">
        <v>0</v>
      </c>
      <c r="BQ750" s="6">
        <v>0</v>
      </c>
      <c r="BR750" s="6">
        <v>0</v>
      </c>
      <c r="BS750" s="6">
        <v>0</v>
      </c>
      <c r="BT750" s="6">
        <v>0</v>
      </c>
      <c r="BU750" s="6">
        <v>0</v>
      </c>
      <c r="BV750" s="6">
        <v>0</v>
      </c>
      <c r="BW750" s="6">
        <v>0</v>
      </c>
      <c r="BX750" s="6">
        <v>0</v>
      </c>
      <c r="BY750" s="6">
        <v>0</v>
      </c>
      <c r="BZ750" s="6">
        <v>0</v>
      </c>
      <c r="CA750" s="6">
        <v>0</v>
      </c>
      <c r="CB750" s="6">
        <v>0</v>
      </c>
      <c r="CC750" s="6">
        <f>IF(Table3[[#This Row],[Type]]="EM",IF((Table3[[#This Row],[Diameter]]/2)-Table3[[#This Row],[CornerRadius]]-0.012&gt;0,(Table3[[#This Row],[Diameter]]/2)-Table3[[#This Row],[CornerRadius]]-0.012,0),)</f>
        <v>0</v>
      </c>
      <c r="CE750" s="6" t="str">
        <f>IF(Table3[[#This Row],[ShoulderLength]]="","",IF(Table3[[#This Row],[ShoulderLength]]&lt;Table3[[#This Row],[LOC]],"FIX",""))</f>
        <v/>
      </c>
    </row>
    <row r="751" spans="1:83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v>0</v>
      </c>
      <c r="BN751" s="6">
        <v>0</v>
      </c>
      <c r="BO751" s="6">
        <v>0</v>
      </c>
      <c r="BP751" s="6">
        <v>0</v>
      </c>
      <c r="BQ751" s="6">
        <v>0</v>
      </c>
      <c r="BR751" s="6">
        <v>0</v>
      </c>
      <c r="BS751" s="6">
        <v>0</v>
      </c>
      <c r="BT751" s="6">
        <v>0</v>
      </c>
      <c r="BU751" s="6">
        <v>0</v>
      </c>
      <c r="BV751" s="6">
        <v>0</v>
      </c>
      <c r="BW751" s="6">
        <v>0</v>
      </c>
      <c r="BX751" s="6">
        <v>0</v>
      </c>
      <c r="BY751" s="6">
        <v>0</v>
      </c>
      <c r="BZ751" s="6">
        <v>0</v>
      </c>
      <c r="CA751" s="6">
        <v>0</v>
      </c>
      <c r="CB751" s="6">
        <v>0</v>
      </c>
      <c r="CC751" s="6">
        <f>IF(Table3[[#This Row],[Type]]="EM",IF((Table3[[#This Row],[Diameter]]/2)-Table3[[#This Row],[CornerRadius]]-0.012&gt;0,(Table3[[#This Row],[Diameter]]/2)-Table3[[#This Row],[CornerRadius]]-0.012,0),)</f>
        <v>0</v>
      </c>
      <c r="CE751" s="6" t="str">
        <f>IF(Table3[[#This Row],[ShoulderLength]]="","",IF(Table3[[#This Row],[ShoulderLength]]&lt;Table3[[#This Row],[LOC]],"FIX",""))</f>
        <v/>
      </c>
    </row>
    <row r="752" spans="1:83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v>0</v>
      </c>
      <c r="BN752" s="6">
        <v>0</v>
      </c>
      <c r="BO752" s="6">
        <v>0</v>
      </c>
      <c r="BP752" s="6">
        <v>0</v>
      </c>
      <c r="BQ752" s="6">
        <v>0</v>
      </c>
      <c r="BR752" s="6">
        <v>0</v>
      </c>
      <c r="BS752" s="6">
        <v>0</v>
      </c>
      <c r="BT752" s="6">
        <v>0</v>
      </c>
      <c r="BU752" s="6">
        <v>0</v>
      </c>
      <c r="BV752" s="6">
        <v>0</v>
      </c>
      <c r="BW752" s="6">
        <v>0</v>
      </c>
      <c r="BX752" s="6">
        <v>0</v>
      </c>
      <c r="BY752" s="6">
        <v>0</v>
      </c>
      <c r="BZ752" s="6">
        <v>0</v>
      </c>
      <c r="CA752" s="6">
        <v>0</v>
      </c>
      <c r="CB752" s="6">
        <v>0</v>
      </c>
      <c r="CC752" s="6">
        <f>IF(Table3[[#This Row],[Type]]="EM",IF((Table3[[#This Row],[Diameter]]/2)-Table3[[#This Row],[CornerRadius]]-0.012&gt;0,(Table3[[#This Row],[Diameter]]/2)-Table3[[#This Row],[CornerRadius]]-0.012,0),)</f>
        <v>0</v>
      </c>
      <c r="CE752" s="6" t="str">
        <f>IF(Table3[[#This Row],[ShoulderLength]]="","",IF(Table3[[#This Row],[ShoulderLength]]&lt;Table3[[#This Row],[LOC]],"FIX",""))</f>
        <v/>
      </c>
    </row>
    <row r="753" spans="1:83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v>0</v>
      </c>
      <c r="BN753" s="6">
        <v>0</v>
      </c>
      <c r="BO753" s="6">
        <v>0</v>
      </c>
      <c r="BP753" s="6">
        <v>0</v>
      </c>
      <c r="BQ753" s="6">
        <v>0</v>
      </c>
      <c r="BR753" s="6">
        <v>0</v>
      </c>
      <c r="BS753" s="6">
        <v>0</v>
      </c>
      <c r="BT753" s="6">
        <v>0</v>
      </c>
      <c r="BU753" s="6">
        <v>0</v>
      </c>
      <c r="BV753" s="6">
        <v>0</v>
      </c>
      <c r="BW753" s="6">
        <v>0</v>
      </c>
      <c r="BX753" s="6">
        <v>0</v>
      </c>
      <c r="BY753" s="6">
        <v>0</v>
      </c>
      <c r="BZ753" s="6">
        <v>0</v>
      </c>
      <c r="CA753" s="6">
        <v>0</v>
      </c>
      <c r="CB753" s="6">
        <v>0</v>
      </c>
      <c r="CC753" s="6">
        <f>IF(Table3[[#This Row],[Type]]="EM",IF((Table3[[#This Row],[Diameter]]/2)-Table3[[#This Row],[CornerRadius]]-0.012&gt;0,(Table3[[#This Row],[Diameter]]/2)-Table3[[#This Row],[CornerRadius]]-0.012,0),)</f>
        <v>0</v>
      </c>
      <c r="CE753" s="6" t="str">
        <f>IF(Table3[[#This Row],[ShoulderLength]]="","",IF(Table3[[#This Row],[ShoulderLength]]&lt;Table3[[#This Row],[LOC]],"FIX",""))</f>
        <v/>
      </c>
    </row>
    <row r="754" spans="1:83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v>0</v>
      </c>
      <c r="BN754" s="6">
        <v>0</v>
      </c>
      <c r="BO754" s="6">
        <v>0</v>
      </c>
      <c r="BP754" s="6">
        <v>0</v>
      </c>
      <c r="BQ754" s="6">
        <v>0</v>
      </c>
      <c r="BR754" s="6">
        <v>0</v>
      </c>
      <c r="BS754" s="6">
        <v>0</v>
      </c>
      <c r="BT754" s="6">
        <v>0</v>
      </c>
      <c r="BU754" s="6">
        <v>0</v>
      </c>
      <c r="BV754" s="6">
        <v>0</v>
      </c>
      <c r="BW754" s="6">
        <v>0</v>
      </c>
      <c r="BX754" s="6">
        <v>0</v>
      </c>
      <c r="BY754" s="6">
        <v>0</v>
      </c>
      <c r="BZ754" s="6">
        <v>0</v>
      </c>
      <c r="CA754" s="6">
        <v>0</v>
      </c>
      <c r="CB754" s="6">
        <v>0</v>
      </c>
      <c r="CC754" s="6">
        <f>IF(Table3[[#This Row],[Type]]="EM",IF((Table3[[#This Row],[Diameter]]/2)-Table3[[#This Row],[CornerRadius]]-0.012&gt;0,(Table3[[#This Row],[Diameter]]/2)-Table3[[#This Row],[CornerRadius]]-0.012,0),)</f>
        <v>0</v>
      </c>
      <c r="CE754" s="6" t="str">
        <f>IF(Table3[[#This Row],[ShoulderLength]]="","",IF(Table3[[#This Row],[ShoulderLength]]&lt;Table3[[#This Row],[LOC]],"FIX",""))</f>
        <v/>
      </c>
    </row>
    <row r="755" spans="1:83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v>0</v>
      </c>
      <c r="BN755" s="6">
        <v>0</v>
      </c>
      <c r="BO755" s="6">
        <v>0</v>
      </c>
      <c r="BP755" s="6">
        <v>0</v>
      </c>
      <c r="BQ755" s="6">
        <v>0</v>
      </c>
      <c r="BR755" s="6">
        <v>0</v>
      </c>
      <c r="BS755" s="6">
        <v>0</v>
      </c>
      <c r="BT755" s="6">
        <v>0</v>
      </c>
      <c r="BU755" s="6">
        <v>0</v>
      </c>
      <c r="BV755" s="6">
        <v>0</v>
      </c>
      <c r="BW755" s="6">
        <v>0</v>
      </c>
      <c r="BX755" s="6">
        <v>0</v>
      </c>
      <c r="BY755" s="6">
        <v>0</v>
      </c>
      <c r="BZ755" s="6">
        <v>0</v>
      </c>
      <c r="CA755" s="6">
        <v>0</v>
      </c>
      <c r="CB755" s="6">
        <v>0</v>
      </c>
      <c r="CC755" s="6">
        <f>IF(Table3[[#This Row],[Type]]="EM",IF((Table3[[#This Row],[Diameter]]/2)-Table3[[#This Row],[CornerRadius]]-0.012&gt;0,(Table3[[#This Row],[Diameter]]/2)-Table3[[#This Row],[CornerRadius]]-0.012,0),)</f>
        <v>0</v>
      </c>
      <c r="CE755" s="6" t="str">
        <f>IF(Table3[[#This Row],[ShoulderLength]]="","",IF(Table3[[#This Row],[ShoulderLength]]&lt;Table3[[#This Row],[LOC]],"FIX",""))</f>
        <v/>
      </c>
    </row>
    <row r="756" spans="1:83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v>0</v>
      </c>
      <c r="BN756" s="6">
        <v>0</v>
      </c>
      <c r="BO756" s="6">
        <v>0</v>
      </c>
      <c r="BP756" s="6">
        <v>0</v>
      </c>
      <c r="BQ756" s="6">
        <v>0</v>
      </c>
      <c r="BR756" s="6">
        <v>0</v>
      </c>
      <c r="BS756" s="6">
        <v>0</v>
      </c>
      <c r="BT756" s="6">
        <v>0</v>
      </c>
      <c r="BU756" s="6">
        <v>0</v>
      </c>
      <c r="BV756" s="6">
        <v>0</v>
      </c>
      <c r="BW756" s="6">
        <v>0</v>
      </c>
      <c r="BX756" s="6">
        <v>0</v>
      </c>
      <c r="BY756" s="6">
        <v>0</v>
      </c>
      <c r="BZ756" s="6">
        <v>0</v>
      </c>
      <c r="CA756" s="6">
        <v>0</v>
      </c>
      <c r="CB756" s="6">
        <v>0</v>
      </c>
      <c r="CC756" s="6">
        <f>IF(Table3[[#This Row],[Type]]="EM",IF((Table3[[#This Row],[Diameter]]/2)-Table3[[#This Row],[CornerRadius]]-0.012&gt;0,(Table3[[#This Row],[Diameter]]/2)-Table3[[#This Row],[CornerRadius]]-0.012,0),)</f>
        <v>0</v>
      </c>
      <c r="CE756" s="6" t="str">
        <f>IF(Table3[[#This Row],[ShoulderLength]]="","",IF(Table3[[#This Row],[ShoulderLength]]&lt;Table3[[#This Row],[LOC]],"FIX",""))</f>
        <v/>
      </c>
    </row>
    <row r="757" spans="1:83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v>0</v>
      </c>
      <c r="BN757" s="6">
        <v>0</v>
      </c>
      <c r="BO757" s="6">
        <v>0</v>
      </c>
      <c r="BP757" s="6">
        <v>0</v>
      </c>
      <c r="BQ757" s="6">
        <v>0</v>
      </c>
      <c r="BR757" s="6">
        <v>0</v>
      </c>
      <c r="BS757" s="6">
        <v>0</v>
      </c>
      <c r="BT757" s="6">
        <v>0</v>
      </c>
      <c r="BU757" s="6">
        <v>0</v>
      </c>
      <c r="BV757" s="6">
        <v>0</v>
      </c>
      <c r="BW757" s="6">
        <v>0</v>
      </c>
      <c r="BX757" s="6">
        <v>0</v>
      </c>
      <c r="BY757" s="6">
        <v>0</v>
      </c>
      <c r="BZ757" s="6">
        <v>0</v>
      </c>
      <c r="CA757" s="6">
        <v>0</v>
      </c>
      <c r="CB757" s="6">
        <v>0</v>
      </c>
      <c r="CC757" s="6">
        <f>IF(Table3[[#This Row],[Type]]="EM",IF((Table3[[#This Row],[Diameter]]/2)-Table3[[#This Row],[CornerRadius]]-0.012&gt;0,(Table3[[#This Row],[Diameter]]/2)-Table3[[#This Row],[CornerRadius]]-0.012,0),)</f>
        <v>0</v>
      </c>
      <c r="CE757" s="6" t="str">
        <f>IF(Table3[[#This Row],[ShoulderLength]]="","",IF(Table3[[#This Row],[ShoulderLength]]&lt;Table3[[#This Row],[LOC]],"FIX",""))</f>
        <v/>
      </c>
    </row>
    <row r="758" spans="1:83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v>0</v>
      </c>
      <c r="BN758" s="6">
        <v>0</v>
      </c>
      <c r="BO758" s="6">
        <v>0</v>
      </c>
      <c r="BP758" s="6">
        <v>0</v>
      </c>
      <c r="BQ758" s="6">
        <v>0</v>
      </c>
      <c r="BR758" s="6">
        <v>0</v>
      </c>
      <c r="BS758" s="6">
        <v>0</v>
      </c>
      <c r="BT758" s="6">
        <v>0</v>
      </c>
      <c r="BU758" s="6">
        <v>0</v>
      </c>
      <c r="BV758" s="6">
        <v>0</v>
      </c>
      <c r="BW758" s="6">
        <v>0</v>
      </c>
      <c r="BX758" s="6">
        <v>0</v>
      </c>
      <c r="BY758" s="6">
        <v>0</v>
      </c>
      <c r="BZ758" s="6">
        <v>0</v>
      </c>
      <c r="CA758" s="6">
        <v>0</v>
      </c>
      <c r="CB758" s="6">
        <v>0</v>
      </c>
      <c r="CC758" s="6">
        <f>IF(Table3[[#This Row],[Type]]="EM",IF((Table3[[#This Row],[Diameter]]/2)-Table3[[#This Row],[CornerRadius]]-0.012&gt;0,(Table3[[#This Row],[Diameter]]/2)-Table3[[#This Row],[CornerRadius]]-0.012,0),)</f>
        <v>0</v>
      </c>
      <c r="CE758" s="6" t="str">
        <f>IF(Table3[[#This Row],[ShoulderLength]]="","",IF(Table3[[#This Row],[ShoulderLength]]&lt;Table3[[#This Row],[LOC]],"FIX",""))</f>
        <v/>
      </c>
    </row>
    <row r="759" spans="1:83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v>0</v>
      </c>
      <c r="BN759" s="6">
        <v>0</v>
      </c>
      <c r="BO759" s="6">
        <v>0</v>
      </c>
      <c r="BP759" s="6">
        <v>0</v>
      </c>
      <c r="BQ759" s="6">
        <v>0</v>
      </c>
      <c r="BR759" s="6">
        <v>0</v>
      </c>
      <c r="BS759" s="6">
        <v>0</v>
      </c>
      <c r="BT759" s="6">
        <v>0</v>
      </c>
      <c r="BU759" s="6">
        <v>0</v>
      </c>
      <c r="BV759" s="6">
        <v>0</v>
      </c>
      <c r="BW759" s="6">
        <v>0</v>
      </c>
      <c r="BX759" s="6">
        <v>0</v>
      </c>
      <c r="BY759" s="6">
        <v>0</v>
      </c>
      <c r="BZ759" s="6">
        <v>0</v>
      </c>
      <c r="CA759" s="6">
        <v>0</v>
      </c>
      <c r="CB759" s="6">
        <v>0</v>
      </c>
      <c r="CC759" s="6">
        <f>IF(Table3[[#This Row],[Type]]="EM",IF((Table3[[#This Row],[Diameter]]/2)-Table3[[#This Row],[CornerRadius]]-0.012&gt;0,(Table3[[#This Row],[Diameter]]/2)-Table3[[#This Row],[CornerRadius]]-0.012,0),)</f>
        <v>0</v>
      </c>
      <c r="CE759" s="6" t="str">
        <f>IF(Table3[[#This Row],[ShoulderLength]]="","",IF(Table3[[#This Row],[ShoulderLength]]&lt;Table3[[#This Row],[LOC]],"FIX",""))</f>
        <v/>
      </c>
    </row>
    <row r="760" spans="1:83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v>0</v>
      </c>
      <c r="BN760" s="6">
        <v>0</v>
      </c>
      <c r="BO760" s="6">
        <v>0</v>
      </c>
      <c r="BP760" s="6">
        <v>0</v>
      </c>
      <c r="BQ760" s="6">
        <v>0</v>
      </c>
      <c r="BR760" s="6">
        <v>0</v>
      </c>
      <c r="BS760" s="6">
        <v>0</v>
      </c>
      <c r="BT760" s="6">
        <v>0</v>
      </c>
      <c r="BU760" s="6">
        <v>0</v>
      </c>
      <c r="BV760" s="6">
        <v>0</v>
      </c>
      <c r="BW760" s="6">
        <v>0</v>
      </c>
      <c r="BX760" s="6">
        <v>0</v>
      </c>
      <c r="BY760" s="6">
        <v>0</v>
      </c>
      <c r="BZ760" s="6">
        <v>0</v>
      </c>
      <c r="CA760" s="6">
        <v>0</v>
      </c>
      <c r="CB760" s="6">
        <v>0</v>
      </c>
      <c r="CC760" s="6">
        <f>IF(Table3[[#This Row],[Type]]="EM",IF((Table3[[#This Row],[Diameter]]/2)-Table3[[#This Row],[CornerRadius]]-0.012&gt;0,(Table3[[#This Row],[Diameter]]/2)-Table3[[#This Row],[CornerRadius]]-0.012,0),)</f>
        <v>0</v>
      </c>
      <c r="CE760" s="6" t="str">
        <f>IF(Table3[[#This Row],[ShoulderLength]]="","",IF(Table3[[#This Row],[ShoulderLength]]&lt;Table3[[#This Row],[LOC]],"FIX",""))</f>
        <v/>
      </c>
    </row>
    <row r="761" spans="1:83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v>0</v>
      </c>
      <c r="BN761" s="6">
        <v>0</v>
      </c>
      <c r="BO761" s="6">
        <v>0</v>
      </c>
      <c r="BP761" s="6">
        <v>0</v>
      </c>
      <c r="BQ761" s="6">
        <v>0</v>
      </c>
      <c r="BR761" s="6">
        <v>0</v>
      </c>
      <c r="BS761" s="6">
        <v>0</v>
      </c>
      <c r="BT761" s="6">
        <v>0</v>
      </c>
      <c r="BU761" s="6">
        <v>0</v>
      </c>
      <c r="BV761" s="6">
        <v>0</v>
      </c>
      <c r="BW761" s="6">
        <v>0</v>
      </c>
      <c r="BX761" s="6">
        <v>0</v>
      </c>
      <c r="BY761" s="6">
        <v>0</v>
      </c>
      <c r="BZ761" s="6">
        <v>0</v>
      </c>
      <c r="CA761" s="6">
        <v>0</v>
      </c>
      <c r="CB761" s="6">
        <v>0</v>
      </c>
      <c r="CC761" s="6">
        <f>IF(Table3[[#This Row],[Type]]="EM",IF((Table3[[#This Row],[Diameter]]/2)-Table3[[#This Row],[CornerRadius]]-0.012&gt;0,(Table3[[#This Row],[Diameter]]/2)-Table3[[#This Row],[CornerRadius]]-0.012,0),)</f>
        <v>0</v>
      </c>
      <c r="CE761" s="6" t="str">
        <f>IF(Table3[[#This Row],[ShoulderLength]]="","",IF(Table3[[#This Row],[ShoulderLength]]&lt;Table3[[#This Row],[LOC]],"FIX",""))</f>
        <v/>
      </c>
    </row>
    <row r="762" spans="1:83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v>0</v>
      </c>
      <c r="BN762" s="6">
        <v>0</v>
      </c>
      <c r="BO762" s="6">
        <v>0</v>
      </c>
      <c r="BP762" s="6">
        <v>0</v>
      </c>
      <c r="BQ762" s="6">
        <v>0</v>
      </c>
      <c r="BR762" s="6">
        <v>0</v>
      </c>
      <c r="BS762" s="6">
        <v>0</v>
      </c>
      <c r="BT762" s="6">
        <v>0</v>
      </c>
      <c r="BU762" s="6">
        <v>0</v>
      </c>
      <c r="BV762" s="6">
        <v>0</v>
      </c>
      <c r="BW762" s="6">
        <v>0</v>
      </c>
      <c r="BX762" s="6">
        <v>0</v>
      </c>
      <c r="BY762" s="6">
        <v>0</v>
      </c>
      <c r="BZ762" s="6">
        <v>0</v>
      </c>
      <c r="CA762" s="6">
        <v>0</v>
      </c>
      <c r="CB762" s="6">
        <v>0</v>
      </c>
      <c r="CC762" s="6">
        <f>IF(Table3[[#This Row],[Type]]="EM",IF((Table3[[#This Row],[Diameter]]/2)-Table3[[#This Row],[CornerRadius]]-0.012&gt;0,(Table3[[#This Row],[Diameter]]/2)-Table3[[#This Row],[CornerRadius]]-0.012,0),)</f>
        <v>0</v>
      </c>
      <c r="CE762" s="6" t="str">
        <f>IF(Table3[[#This Row],[ShoulderLength]]="","",IF(Table3[[#This Row],[ShoulderLength]]&lt;Table3[[#This Row],[LOC]],"FIX",""))</f>
        <v/>
      </c>
    </row>
    <row r="763" spans="1:83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v>0</v>
      </c>
      <c r="BN763" s="6">
        <v>0</v>
      </c>
      <c r="BO763" s="6">
        <v>0</v>
      </c>
      <c r="BP763" s="6">
        <v>0</v>
      </c>
      <c r="BQ763" s="6">
        <v>0</v>
      </c>
      <c r="BR763" s="6">
        <v>0</v>
      </c>
      <c r="BS763" s="6">
        <v>0</v>
      </c>
      <c r="BT763" s="6">
        <v>0</v>
      </c>
      <c r="BU763" s="6">
        <v>0</v>
      </c>
      <c r="BV763" s="6">
        <v>0</v>
      </c>
      <c r="BW763" s="6">
        <v>0</v>
      </c>
      <c r="BX763" s="6">
        <v>0</v>
      </c>
      <c r="BY763" s="6">
        <v>0</v>
      </c>
      <c r="BZ763" s="6">
        <v>0</v>
      </c>
      <c r="CA763" s="6">
        <v>0</v>
      </c>
      <c r="CB763" s="6">
        <v>0</v>
      </c>
      <c r="CC763" s="6">
        <f>IF(Table3[[#This Row],[Type]]="EM",IF((Table3[[#This Row],[Diameter]]/2)-Table3[[#This Row],[CornerRadius]]-0.012&gt;0,(Table3[[#This Row],[Diameter]]/2)-Table3[[#This Row],[CornerRadius]]-0.012,0),)</f>
        <v>0</v>
      </c>
      <c r="CE763" s="6" t="str">
        <f>IF(Table3[[#This Row],[ShoulderLength]]="","",IF(Table3[[#This Row],[ShoulderLength]]&lt;Table3[[#This Row],[LOC]],"FIX",""))</f>
        <v/>
      </c>
    </row>
    <row r="764" spans="1:83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v>0</v>
      </c>
      <c r="BN764" s="6">
        <v>0</v>
      </c>
      <c r="BO764" s="6">
        <v>0</v>
      </c>
      <c r="BP764" s="6">
        <v>0</v>
      </c>
      <c r="BQ764" s="6">
        <v>0</v>
      </c>
      <c r="BR764" s="6">
        <v>0</v>
      </c>
      <c r="BS764" s="6">
        <v>0</v>
      </c>
      <c r="BT764" s="6">
        <v>0</v>
      </c>
      <c r="BU764" s="6">
        <v>0</v>
      </c>
      <c r="BV764" s="6">
        <v>0</v>
      </c>
      <c r="BW764" s="6">
        <v>0</v>
      </c>
      <c r="BX764" s="6">
        <v>0</v>
      </c>
      <c r="BY764" s="6">
        <v>0</v>
      </c>
      <c r="BZ764" s="6">
        <v>0</v>
      </c>
      <c r="CA764" s="6">
        <v>0</v>
      </c>
      <c r="CB764" s="6">
        <v>0</v>
      </c>
      <c r="CC764" s="6">
        <f>IF(Table3[[#This Row],[Type]]="EM",IF((Table3[[#This Row],[Diameter]]/2)-Table3[[#This Row],[CornerRadius]]-0.012&gt;0,(Table3[[#This Row],[Diameter]]/2)-Table3[[#This Row],[CornerRadius]]-0.012,0),)</f>
        <v>0</v>
      </c>
      <c r="CE764" s="6" t="str">
        <f>IF(Table3[[#This Row],[ShoulderLength]]="","",IF(Table3[[#This Row],[ShoulderLength]]&lt;Table3[[#This Row],[LOC]],"FIX",""))</f>
        <v/>
      </c>
    </row>
    <row r="765" spans="1:83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v>0</v>
      </c>
      <c r="BN765" s="6">
        <v>0</v>
      </c>
      <c r="BO765" s="6">
        <v>0</v>
      </c>
      <c r="BP765" s="6">
        <v>0</v>
      </c>
      <c r="BQ765" s="6">
        <v>0</v>
      </c>
      <c r="BR765" s="6">
        <v>0</v>
      </c>
      <c r="BS765" s="6">
        <v>0</v>
      </c>
      <c r="BT765" s="6">
        <v>0</v>
      </c>
      <c r="BU765" s="6">
        <v>0</v>
      </c>
      <c r="BV765" s="6">
        <v>0</v>
      </c>
      <c r="BW765" s="6">
        <v>0</v>
      </c>
      <c r="BX765" s="6">
        <v>0</v>
      </c>
      <c r="BY765" s="6">
        <v>0</v>
      </c>
      <c r="BZ765" s="6">
        <v>0</v>
      </c>
      <c r="CA765" s="6">
        <v>0</v>
      </c>
      <c r="CB765" s="6">
        <v>0</v>
      </c>
      <c r="CC765" s="6">
        <f>IF(Table3[[#This Row],[Type]]="EM",IF((Table3[[#This Row],[Diameter]]/2)-Table3[[#This Row],[CornerRadius]]-0.012&gt;0,(Table3[[#This Row],[Diameter]]/2)-Table3[[#This Row],[CornerRadius]]-0.012,0),)</f>
        <v>0</v>
      </c>
      <c r="CE765" s="6" t="str">
        <f>IF(Table3[[#This Row],[ShoulderLength]]="","",IF(Table3[[#This Row],[ShoulderLength]]&lt;Table3[[#This Row],[LOC]],"FIX",""))</f>
        <v/>
      </c>
    </row>
    <row r="766" spans="1:83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v>0</v>
      </c>
      <c r="BN766" s="6">
        <v>0</v>
      </c>
      <c r="BO766" s="6">
        <v>0</v>
      </c>
      <c r="BP766" s="6">
        <v>0</v>
      </c>
      <c r="BQ766" s="6">
        <v>0</v>
      </c>
      <c r="BR766" s="6">
        <v>0</v>
      </c>
      <c r="BS766" s="6">
        <v>0</v>
      </c>
      <c r="BT766" s="6">
        <v>0</v>
      </c>
      <c r="BU766" s="6">
        <v>0</v>
      </c>
      <c r="BV766" s="6">
        <v>0</v>
      </c>
      <c r="BW766" s="6">
        <v>0</v>
      </c>
      <c r="BX766" s="6">
        <v>0</v>
      </c>
      <c r="BY766" s="6">
        <v>0</v>
      </c>
      <c r="BZ766" s="6">
        <v>0</v>
      </c>
      <c r="CA766" s="6">
        <v>0</v>
      </c>
      <c r="CB766" s="6">
        <v>0</v>
      </c>
      <c r="CC766" s="6">
        <f>IF(Table3[[#This Row],[Type]]="EM",IF((Table3[[#This Row],[Diameter]]/2)-Table3[[#This Row],[CornerRadius]]-0.012&gt;0,(Table3[[#This Row],[Diameter]]/2)-Table3[[#This Row],[CornerRadius]]-0.012,0),)</f>
        <v>0</v>
      </c>
      <c r="CE766" s="6" t="str">
        <f>IF(Table3[[#This Row],[ShoulderLength]]="","",IF(Table3[[#This Row],[ShoulderLength]]&lt;Table3[[#This Row],[LOC]],"FIX",""))</f>
        <v/>
      </c>
    </row>
    <row r="767" spans="1:83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v>0</v>
      </c>
      <c r="BN767" s="6">
        <v>0</v>
      </c>
      <c r="BO767" s="6">
        <v>0</v>
      </c>
      <c r="BP767" s="6">
        <v>0</v>
      </c>
      <c r="BQ767" s="6">
        <v>0</v>
      </c>
      <c r="BR767" s="6">
        <v>0</v>
      </c>
      <c r="BS767" s="6">
        <v>0</v>
      </c>
      <c r="BT767" s="6">
        <v>0</v>
      </c>
      <c r="BU767" s="6">
        <v>0</v>
      </c>
      <c r="BV767" s="6">
        <v>0</v>
      </c>
      <c r="BW767" s="6">
        <v>0</v>
      </c>
      <c r="BX767" s="6">
        <v>0</v>
      </c>
      <c r="BY767" s="6">
        <v>0</v>
      </c>
      <c r="BZ767" s="6">
        <v>0</v>
      </c>
      <c r="CA767" s="6">
        <v>0</v>
      </c>
      <c r="CB767" s="6">
        <v>0</v>
      </c>
      <c r="CC767" s="6">
        <f>IF(Table3[[#This Row],[Type]]="EM",IF((Table3[[#This Row],[Diameter]]/2)-Table3[[#This Row],[CornerRadius]]-0.012&gt;0,(Table3[[#This Row],[Diameter]]/2)-Table3[[#This Row],[CornerRadius]]-0.012,0),)</f>
        <v>0</v>
      </c>
      <c r="CE767" s="6" t="str">
        <f>IF(Table3[[#This Row],[ShoulderLength]]="","",IF(Table3[[#This Row],[ShoulderLength]]&lt;Table3[[#This Row],[LOC]],"FIX",""))</f>
        <v/>
      </c>
    </row>
    <row r="768" spans="1:83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v>0</v>
      </c>
      <c r="BN768" s="6">
        <v>0</v>
      </c>
      <c r="BO768" s="6">
        <v>0</v>
      </c>
      <c r="BP768" s="6">
        <v>0</v>
      </c>
      <c r="BQ768" s="6">
        <v>0</v>
      </c>
      <c r="BR768" s="6">
        <v>0</v>
      </c>
      <c r="BS768" s="6">
        <v>0</v>
      </c>
      <c r="BT768" s="6">
        <v>0</v>
      </c>
      <c r="BU768" s="6">
        <v>0</v>
      </c>
      <c r="BV768" s="6">
        <v>0</v>
      </c>
      <c r="BW768" s="6">
        <v>0</v>
      </c>
      <c r="BX768" s="6">
        <v>0</v>
      </c>
      <c r="BY768" s="6">
        <v>0</v>
      </c>
      <c r="BZ768" s="6">
        <v>0</v>
      </c>
      <c r="CA768" s="6">
        <v>0</v>
      </c>
      <c r="CB768" s="6">
        <v>0</v>
      </c>
      <c r="CC768" s="6">
        <f>IF(Table3[[#This Row],[Type]]="EM",IF((Table3[[#This Row],[Diameter]]/2)-Table3[[#This Row],[CornerRadius]]-0.012&gt;0,(Table3[[#This Row],[Diameter]]/2)-Table3[[#This Row],[CornerRadius]]-0.012,0),)</f>
        <v>0</v>
      </c>
      <c r="CE768" s="6" t="str">
        <f>IF(Table3[[#This Row],[ShoulderLength]]="","",IF(Table3[[#This Row],[ShoulderLength]]&lt;Table3[[#This Row],[LOC]],"FIX",""))</f>
        <v/>
      </c>
    </row>
    <row r="769" spans="1:83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v>0</v>
      </c>
      <c r="BN769" s="6">
        <v>0</v>
      </c>
      <c r="BO769" s="6">
        <v>0</v>
      </c>
      <c r="BP769" s="6">
        <v>0</v>
      </c>
      <c r="BQ769" s="6">
        <v>0</v>
      </c>
      <c r="BR769" s="6">
        <v>0</v>
      </c>
      <c r="BS769" s="6">
        <v>0</v>
      </c>
      <c r="BT769" s="6">
        <v>0</v>
      </c>
      <c r="BU769" s="6">
        <v>0</v>
      </c>
      <c r="BV769" s="6">
        <v>0</v>
      </c>
      <c r="BW769" s="6">
        <v>0</v>
      </c>
      <c r="BX769" s="6">
        <v>0</v>
      </c>
      <c r="BY769" s="6">
        <v>0</v>
      </c>
      <c r="BZ769" s="6">
        <v>0</v>
      </c>
      <c r="CA769" s="6">
        <v>0</v>
      </c>
      <c r="CB769" s="6">
        <v>0</v>
      </c>
      <c r="CC769" s="6">
        <f>IF(Table3[[#This Row],[Type]]="EM",IF((Table3[[#This Row],[Diameter]]/2)-Table3[[#This Row],[CornerRadius]]-0.012&gt;0,(Table3[[#This Row],[Diameter]]/2)-Table3[[#This Row],[CornerRadius]]-0.012,0),)</f>
        <v>0</v>
      </c>
      <c r="CE769" s="6" t="str">
        <f>IF(Table3[[#This Row],[ShoulderLength]]="","",IF(Table3[[#This Row],[ShoulderLength]]&lt;Table3[[#This Row],[LOC]],"FIX",""))</f>
        <v/>
      </c>
    </row>
    <row r="770" spans="1:83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v>0</v>
      </c>
      <c r="BN770" s="6">
        <v>0</v>
      </c>
      <c r="BO770" s="6">
        <v>0</v>
      </c>
      <c r="BP770" s="6">
        <v>0</v>
      </c>
      <c r="BQ770" s="6">
        <v>0</v>
      </c>
      <c r="BR770" s="6">
        <v>0</v>
      </c>
      <c r="BS770" s="6">
        <v>0</v>
      </c>
      <c r="BT770" s="6">
        <v>0</v>
      </c>
      <c r="BU770" s="6">
        <v>0</v>
      </c>
      <c r="BV770" s="6">
        <v>0</v>
      </c>
      <c r="BW770" s="6">
        <v>0</v>
      </c>
      <c r="BX770" s="6">
        <v>0</v>
      </c>
      <c r="BY770" s="6">
        <v>0</v>
      </c>
      <c r="BZ770" s="6">
        <v>0</v>
      </c>
      <c r="CA770" s="6">
        <v>0</v>
      </c>
      <c r="CB770" s="6">
        <v>0</v>
      </c>
      <c r="CC770" s="6">
        <f>IF(Table3[[#This Row],[Type]]="EM",IF((Table3[[#This Row],[Diameter]]/2)-Table3[[#This Row],[CornerRadius]]-0.012&gt;0,(Table3[[#This Row],[Diameter]]/2)-Table3[[#This Row],[CornerRadius]]-0.012,0),)</f>
        <v>0</v>
      </c>
      <c r="CE770" s="6" t="str">
        <f>IF(Table3[[#This Row],[ShoulderLength]]="","",IF(Table3[[#This Row],[ShoulderLength]]&lt;Table3[[#This Row],[LOC]],"FIX",""))</f>
        <v/>
      </c>
    </row>
    <row r="771" spans="1:83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v>0</v>
      </c>
      <c r="BN771" s="6">
        <v>0</v>
      </c>
      <c r="BO771" s="6">
        <v>0</v>
      </c>
      <c r="BP771" s="6">
        <v>0</v>
      </c>
      <c r="BQ771" s="6">
        <v>0</v>
      </c>
      <c r="BR771" s="6">
        <v>0</v>
      </c>
      <c r="BS771" s="6">
        <v>0</v>
      </c>
      <c r="BT771" s="6">
        <v>0</v>
      </c>
      <c r="BU771" s="6">
        <v>0</v>
      </c>
      <c r="BV771" s="6">
        <v>0</v>
      </c>
      <c r="BW771" s="6">
        <v>0</v>
      </c>
      <c r="BX771" s="6">
        <v>0</v>
      </c>
      <c r="BY771" s="6">
        <v>0</v>
      </c>
      <c r="BZ771" s="6">
        <v>0</v>
      </c>
      <c r="CA771" s="6">
        <v>0</v>
      </c>
      <c r="CB771" s="6">
        <v>0</v>
      </c>
      <c r="CC771" s="6">
        <f>IF(Table3[[#This Row],[Type]]="EM",IF((Table3[[#This Row],[Diameter]]/2)-Table3[[#This Row],[CornerRadius]]-0.012&gt;0,(Table3[[#This Row],[Diameter]]/2)-Table3[[#This Row],[CornerRadius]]-0.012,0),)</f>
        <v>0</v>
      </c>
      <c r="CE771" s="6" t="str">
        <f>IF(Table3[[#This Row],[ShoulderLength]]="","",IF(Table3[[#This Row],[ShoulderLength]]&lt;Table3[[#This Row],[LOC]],"FIX",""))</f>
        <v/>
      </c>
    </row>
    <row r="772" spans="1:83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v>0</v>
      </c>
      <c r="BN772" s="6">
        <v>0</v>
      </c>
      <c r="BO772" s="6">
        <v>0</v>
      </c>
      <c r="BP772" s="6">
        <v>0</v>
      </c>
      <c r="BQ772" s="6">
        <v>0</v>
      </c>
      <c r="BR772" s="6">
        <v>0</v>
      </c>
      <c r="BS772" s="6">
        <v>0</v>
      </c>
      <c r="BT772" s="6">
        <v>0</v>
      </c>
      <c r="BU772" s="6">
        <v>0</v>
      </c>
      <c r="BV772" s="6">
        <v>0</v>
      </c>
      <c r="BW772" s="6">
        <v>0</v>
      </c>
      <c r="BX772" s="6">
        <v>0</v>
      </c>
      <c r="BY772" s="6">
        <v>0</v>
      </c>
      <c r="BZ772" s="6">
        <v>0</v>
      </c>
      <c r="CA772" s="6">
        <v>0</v>
      </c>
      <c r="CB772" s="6">
        <v>0</v>
      </c>
      <c r="CC772" s="6">
        <f>IF(Table3[[#This Row],[Type]]="EM",IF((Table3[[#This Row],[Diameter]]/2)-Table3[[#This Row],[CornerRadius]]-0.012&gt;0,(Table3[[#This Row],[Diameter]]/2)-Table3[[#This Row],[CornerRadius]]-0.012,0),)</f>
        <v>0</v>
      </c>
      <c r="CE772" s="6" t="str">
        <f>IF(Table3[[#This Row],[ShoulderLength]]="","",IF(Table3[[#This Row],[ShoulderLength]]&lt;Table3[[#This Row],[LOC]],"FIX",""))</f>
        <v/>
      </c>
    </row>
    <row r="773" spans="1:83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v>0</v>
      </c>
      <c r="BN773" s="6">
        <v>0</v>
      </c>
      <c r="BO773" s="6">
        <v>0</v>
      </c>
      <c r="BP773" s="6">
        <v>0</v>
      </c>
      <c r="BQ773" s="6">
        <v>0</v>
      </c>
      <c r="BR773" s="6">
        <v>0</v>
      </c>
      <c r="BS773" s="6">
        <v>0</v>
      </c>
      <c r="BT773" s="6">
        <v>0</v>
      </c>
      <c r="BU773" s="6">
        <v>0</v>
      </c>
      <c r="BV773" s="6">
        <v>0</v>
      </c>
      <c r="BW773" s="6">
        <v>0</v>
      </c>
      <c r="BX773" s="6">
        <v>0</v>
      </c>
      <c r="BY773" s="6">
        <v>0</v>
      </c>
      <c r="BZ773" s="6">
        <v>0</v>
      </c>
      <c r="CA773" s="6">
        <v>0</v>
      </c>
      <c r="CB773" s="6">
        <v>0</v>
      </c>
      <c r="CC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83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v>0</v>
      </c>
      <c r="BN774" s="6">
        <v>0</v>
      </c>
      <c r="BO774" s="6">
        <v>0</v>
      </c>
      <c r="BP774" s="6">
        <v>0</v>
      </c>
      <c r="BQ774" s="6">
        <v>0</v>
      </c>
      <c r="BR774" s="6">
        <v>0</v>
      </c>
      <c r="BS774" s="6">
        <v>0</v>
      </c>
      <c r="BT774" s="6">
        <v>0</v>
      </c>
      <c r="BU774" s="6">
        <v>0</v>
      </c>
      <c r="BV774" s="6">
        <v>0</v>
      </c>
      <c r="BW774" s="6">
        <v>0</v>
      </c>
      <c r="BX774" s="6">
        <v>0</v>
      </c>
      <c r="BY774" s="6">
        <v>0</v>
      </c>
      <c r="BZ774" s="6">
        <v>0</v>
      </c>
      <c r="CA774" s="6">
        <v>0</v>
      </c>
      <c r="CB774" s="6">
        <v>0</v>
      </c>
      <c r="CC774" s="6">
        <f>IF(Table3[[#This Row],[Type]]="EM",IF((Table3[[#This Row],[Diameter]]/2)-Table3[[#This Row],[CornerRadius]]-0.012&gt;0,(Table3[[#This Row],[Diameter]]/2)-Table3[[#This Row],[CornerRadius]]-0.012,0),)</f>
        <v>0</v>
      </c>
      <c r="CE774" s="6" t="str">
        <f>IF(Table3[[#This Row],[ShoulderLength]]="","",IF(Table3[[#This Row],[ShoulderLength]]&lt;Table3[[#This Row],[LOC]],"FIX",""))</f>
        <v/>
      </c>
    </row>
    <row r="775" spans="1:83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v>0</v>
      </c>
      <c r="BN775" s="6">
        <v>0</v>
      </c>
      <c r="BO775" s="6">
        <v>0</v>
      </c>
      <c r="BP775" s="6">
        <v>0</v>
      </c>
      <c r="BQ775" s="6">
        <v>0</v>
      </c>
      <c r="BR775" s="6">
        <v>0</v>
      </c>
      <c r="BS775" s="6">
        <v>0</v>
      </c>
      <c r="BT775" s="6">
        <v>0</v>
      </c>
      <c r="BU775" s="6">
        <v>0</v>
      </c>
      <c r="BV775" s="6">
        <v>0</v>
      </c>
      <c r="BW775" s="6">
        <v>0</v>
      </c>
      <c r="BX775" s="6">
        <v>0</v>
      </c>
      <c r="BY775" s="6">
        <v>0</v>
      </c>
      <c r="BZ775" s="6">
        <v>0</v>
      </c>
      <c r="CA775" s="6">
        <v>0</v>
      </c>
      <c r="CB775" s="6">
        <v>0</v>
      </c>
      <c r="CC775" s="6">
        <f>IF(Table3[[#This Row],[Type]]="EM",IF((Table3[[#This Row],[Diameter]]/2)-Table3[[#This Row],[CornerRadius]]-0.012&gt;0,(Table3[[#This Row],[Diameter]]/2)-Table3[[#This Row],[CornerRadius]]-0.012,0),)</f>
        <v>0</v>
      </c>
      <c r="CE775" s="6" t="str">
        <f>IF(Table3[[#This Row],[ShoulderLength]]="","",IF(Table3[[#This Row],[ShoulderLength]]&lt;Table3[[#This Row],[LOC]],"FIX",""))</f>
        <v/>
      </c>
    </row>
    <row r="776" spans="1:83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v>0</v>
      </c>
      <c r="BN776" s="6">
        <v>0</v>
      </c>
      <c r="BO776" s="6">
        <v>0</v>
      </c>
      <c r="BP776" s="6">
        <v>0</v>
      </c>
      <c r="BQ776" s="6">
        <v>0</v>
      </c>
      <c r="BR776" s="6">
        <v>0</v>
      </c>
      <c r="BS776" s="6">
        <v>0</v>
      </c>
      <c r="BT776" s="6">
        <v>0</v>
      </c>
      <c r="BU776" s="6">
        <v>0</v>
      </c>
      <c r="BV776" s="6">
        <v>0</v>
      </c>
      <c r="BW776" s="6">
        <v>0</v>
      </c>
      <c r="BX776" s="6">
        <v>0</v>
      </c>
      <c r="BY776" s="6">
        <v>0</v>
      </c>
      <c r="BZ776" s="6">
        <v>0</v>
      </c>
      <c r="CA776" s="6">
        <v>0</v>
      </c>
      <c r="CB776" s="6">
        <v>0</v>
      </c>
      <c r="CC776" s="6">
        <f>IF(Table3[[#This Row],[Type]]="EM",IF((Table3[[#This Row],[Diameter]]/2)-Table3[[#This Row],[CornerRadius]]-0.012&gt;0,(Table3[[#This Row],[Diameter]]/2)-Table3[[#This Row],[CornerRadius]]-0.012,0),)</f>
        <v>0</v>
      </c>
      <c r="CE776" s="6" t="str">
        <f>IF(Table3[[#This Row],[ShoulderLength]]="","",IF(Table3[[#This Row],[ShoulderLength]]&lt;Table3[[#This Row],[LOC]],"FIX",""))</f>
        <v/>
      </c>
    </row>
    <row r="777" spans="1:83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v>0</v>
      </c>
      <c r="BN777" s="6">
        <v>0</v>
      </c>
      <c r="BO777" s="6">
        <v>0</v>
      </c>
      <c r="BP777" s="6">
        <v>0</v>
      </c>
      <c r="BQ777" s="6">
        <v>0</v>
      </c>
      <c r="BR777" s="6">
        <v>0</v>
      </c>
      <c r="BS777" s="6">
        <v>0</v>
      </c>
      <c r="BT777" s="6">
        <v>0</v>
      </c>
      <c r="BU777" s="6">
        <v>0</v>
      </c>
      <c r="BV777" s="6">
        <v>0</v>
      </c>
      <c r="BW777" s="6">
        <v>0</v>
      </c>
      <c r="BX777" s="6">
        <v>0</v>
      </c>
      <c r="BY777" s="6">
        <v>0</v>
      </c>
      <c r="BZ777" s="6">
        <v>0</v>
      </c>
      <c r="CA777" s="6">
        <v>0</v>
      </c>
      <c r="CB777" s="6">
        <v>0</v>
      </c>
      <c r="CC777" s="6">
        <f>IF(Table3[[#This Row],[Type]]="EM",IF((Table3[[#This Row],[Diameter]]/2)-Table3[[#This Row],[CornerRadius]]-0.012&gt;0,(Table3[[#This Row],[Diameter]]/2)-Table3[[#This Row],[CornerRadius]]-0.012,0),)</f>
        <v>0</v>
      </c>
      <c r="CE777" s="6" t="str">
        <f>IF(Table3[[#This Row],[ShoulderLength]]="","",IF(Table3[[#This Row],[ShoulderLength]]&lt;Table3[[#This Row],[LOC]],"FIX",""))</f>
        <v/>
      </c>
    </row>
    <row r="778" spans="1:83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6">
        <v>0</v>
      </c>
      <c r="BN778" s="6">
        <v>0</v>
      </c>
      <c r="BO778" s="6">
        <v>0</v>
      </c>
      <c r="BP778" s="6">
        <v>0</v>
      </c>
      <c r="BQ778" s="6">
        <v>0</v>
      </c>
      <c r="BR778" s="6">
        <v>0</v>
      </c>
      <c r="BS778" s="6">
        <v>0</v>
      </c>
      <c r="BT778" s="6">
        <v>0</v>
      </c>
      <c r="BU778" s="6">
        <v>0</v>
      </c>
      <c r="BV778" s="6">
        <v>0</v>
      </c>
      <c r="BW778" s="6">
        <v>0</v>
      </c>
      <c r="BX778" s="6">
        <v>0</v>
      </c>
      <c r="BY778" s="6">
        <v>0</v>
      </c>
      <c r="BZ778" s="6">
        <v>0</v>
      </c>
      <c r="CA778" s="6">
        <v>0</v>
      </c>
      <c r="CB778" s="6">
        <v>0</v>
      </c>
      <c r="CC778" s="75">
        <f>IF(Table3[[#This Row],[Type]]="EM",IF((Table3[[#This Row],[Diameter]]/2)-Table3[[#This Row],[CornerRadius]]-0.012&gt;0,(Table3[[#This Row],[Diameter]]/2)-Table3[[#This Row],[CornerRadius]]-0.012,0),)</f>
        <v>0</v>
      </c>
      <c r="CE778" s="6" t="str">
        <f>IF(Table3[[#This Row],[ShoulderLength]]="","",IF(Table3[[#This Row],[ShoulderLength]]&lt;Table3[[#This Row],[LOC]],"FIX",""))</f>
        <v/>
      </c>
    </row>
    <row r="779" spans="1:83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6">
        <v>0</v>
      </c>
      <c r="BN779" s="6">
        <v>0</v>
      </c>
      <c r="BO779" s="6">
        <v>0</v>
      </c>
      <c r="BP779" s="6">
        <v>0</v>
      </c>
      <c r="BQ779" s="6">
        <v>0</v>
      </c>
      <c r="BR779" s="6">
        <v>0</v>
      </c>
      <c r="BS779" s="6">
        <v>0</v>
      </c>
      <c r="BT779" s="6">
        <v>0</v>
      </c>
      <c r="BU779" s="6">
        <v>0</v>
      </c>
      <c r="BV779" s="6">
        <v>0</v>
      </c>
      <c r="BW779" s="6">
        <v>0</v>
      </c>
      <c r="BX779" s="6">
        <v>0</v>
      </c>
      <c r="BY779" s="6">
        <v>0</v>
      </c>
      <c r="BZ779" s="6">
        <v>0</v>
      </c>
      <c r="CA779" s="6">
        <v>0</v>
      </c>
      <c r="CB779" s="6">
        <v>0</v>
      </c>
      <c r="CC779" s="75">
        <f>IF(Table3[[#This Row],[Type]]="EM",IF((Table3[[#This Row],[Diameter]]/2)-Table3[[#This Row],[CornerRadius]]-0.012&gt;0,(Table3[[#This Row],[Diameter]]/2)-Table3[[#This Row],[CornerRadius]]-0.012,0),)</f>
        <v>0</v>
      </c>
      <c r="CE779" s="6" t="str">
        <f>IF(Table3[[#This Row],[ShoulderLength]]="","",IF(Table3[[#This Row],[ShoulderLength]]&lt;Table3[[#This Row],[LOC]],"FIX",""))</f>
        <v/>
      </c>
    </row>
    <row r="780" spans="1:83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v>0</v>
      </c>
      <c r="BN780" s="6">
        <v>0</v>
      </c>
      <c r="BO780" s="6">
        <v>0</v>
      </c>
      <c r="BP780" s="6">
        <v>0</v>
      </c>
      <c r="BQ780" s="6">
        <v>0</v>
      </c>
      <c r="BR780" s="6">
        <v>0</v>
      </c>
      <c r="BS780" s="6">
        <v>0</v>
      </c>
      <c r="BT780" s="6">
        <v>0</v>
      </c>
      <c r="BU780" s="6">
        <v>0</v>
      </c>
      <c r="BV780" s="6">
        <v>0</v>
      </c>
      <c r="BW780" s="6">
        <v>0</v>
      </c>
      <c r="BX780" s="6">
        <v>0</v>
      </c>
      <c r="BY780" s="6">
        <v>0</v>
      </c>
      <c r="BZ780" s="6">
        <v>0</v>
      </c>
      <c r="CA780" s="6">
        <v>0</v>
      </c>
      <c r="CB780" s="6">
        <v>0</v>
      </c>
      <c r="CC780" s="6">
        <f>IF(Table3[[#This Row],[Type]]="EM",IF((Table3[[#This Row],[Diameter]]/2)-Table3[[#This Row],[CornerRadius]]-0.012&gt;0,(Table3[[#This Row],[Diameter]]/2)-Table3[[#This Row],[CornerRadius]]-0.012,0),)</f>
        <v>0</v>
      </c>
      <c r="CE780" s="6" t="str">
        <f>IF(Table3[[#This Row],[ShoulderLength]]="","",IF(Table3[[#This Row],[ShoulderLength]]&lt;Table3[[#This Row],[LOC]],"FIX",""))</f>
        <v/>
      </c>
    </row>
    <row r="781" spans="1:83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v>0</v>
      </c>
      <c r="BN781" s="6">
        <v>0</v>
      </c>
      <c r="BO781" s="6">
        <v>0</v>
      </c>
      <c r="BP781" s="6">
        <v>0</v>
      </c>
      <c r="BQ781" s="6">
        <v>0</v>
      </c>
      <c r="BR781" s="6">
        <v>0</v>
      </c>
      <c r="BS781" s="6">
        <v>0</v>
      </c>
      <c r="BT781" s="6">
        <v>0</v>
      </c>
      <c r="BU781" s="6">
        <v>0</v>
      </c>
      <c r="BV781" s="6">
        <v>0</v>
      </c>
      <c r="BW781" s="6">
        <v>0</v>
      </c>
      <c r="BX781" s="6">
        <v>0</v>
      </c>
      <c r="BY781" s="6">
        <v>0</v>
      </c>
      <c r="BZ781" s="6">
        <v>0</v>
      </c>
      <c r="CA781" s="6">
        <v>0</v>
      </c>
      <c r="CB781" s="6">
        <v>0</v>
      </c>
      <c r="CC781" s="6">
        <f>IF(Table3[[#This Row],[Type]]="EM",IF((Table3[[#This Row],[Diameter]]/2)-Table3[[#This Row],[CornerRadius]]-0.012&gt;0,(Table3[[#This Row],[Diameter]]/2)-Table3[[#This Row],[CornerRadius]]-0.012,0),)</f>
        <v>0</v>
      </c>
      <c r="CE781" s="6" t="str">
        <f>IF(Table3[[#This Row],[ShoulderLength]]="","",IF(Table3[[#This Row],[ShoulderLength]]&lt;Table3[[#This Row],[LOC]],"FIX",""))</f>
        <v/>
      </c>
    </row>
    <row r="782" spans="1:83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v>0</v>
      </c>
      <c r="BN782" s="6">
        <v>0</v>
      </c>
      <c r="BO782" s="6">
        <v>0</v>
      </c>
      <c r="BP782" s="6">
        <v>0</v>
      </c>
      <c r="BQ782" s="6">
        <v>0</v>
      </c>
      <c r="BR782" s="6">
        <v>0</v>
      </c>
      <c r="BS782" s="6">
        <v>0</v>
      </c>
      <c r="BT782" s="6">
        <v>0</v>
      </c>
      <c r="BU782" s="6">
        <v>0</v>
      </c>
      <c r="BV782" s="6">
        <v>0</v>
      </c>
      <c r="BW782" s="6">
        <v>0</v>
      </c>
      <c r="BX782" s="6">
        <v>0</v>
      </c>
      <c r="BY782" s="6">
        <v>0</v>
      </c>
      <c r="BZ782" s="6">
        <v>0</v>
      </c>
      <c r="CA782" s="6">
        <v>0</v>
      </c>
      <c r="CB782" s="6">
        <v>0</v>
      </c>
      <c r="CC782" s="6">
        <f>IF(Table3[[#This Row],[Type]]="EM",IF((Table3[[#This Row],[Diameter]]/2)-Table3[[#This Row],[CornerRadius]]-0.012&gt;0,(Table3[[#This Row],[Diameter]]/2)-Table3[[#This Row],[CornerRadius]]-0.012,0),)</f>
        <v>0</v>
      </c>
      <c r="CE782" s="6" t="str">
        <f>IF(Table3[[#This Row],[ShoulderLength]]="","",IF(Table3[[#This Row],[ShoulderLength]]&lt;Table3[[#This Row],[LOC]],"FIX",""))</f>
        <v/>
      </c>
    </row>
    <row r="783" spans="1:83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v>0</v>
      </c>
      <c r="BN783" s="6">
        <v>0</v>
      </c>
      <c r="BO783" s="6">
        <v>0</v>
      </c>
      <c r="BP783" s="6">
        <v>0</v>
      </c>
      <c r="BQ783" s="6">
        <v>0</v>
      </c>
      <c r="BR783" s="6">
        <v>0</v>
      </c>
      <c r="BS783" s="6">
        <v>0</v>
      </c>
      <c r="BT783" s="6">
        <v>0</v>
      </c>
      <c r="BU783" s="6">
        <v>0</v>
      </c>
      <c r="BV783" s="6">
        <v>0</v>
      </c>
      <c r="BW783" s="6">
        <v>0</v>
      </c>
      <c r="BX783" s="6">
        <v>0</v>
      </c>
      <c r="BY783" s="6">
        <v>0</v>
      </c>
      <c r="BZ783" s="6">
        <v>0</v>
      </c>
      <c r="CA783" s="6">
        <v>0</v>
      </c>
      <c r="CB783" s="6">
        <v>0</v>
      </c>
      <c r="CC783" s="6">
        <f>IF(Table3[[#This Row],[Type]]="EM",IF((Table3[[#This Row],[Diameter]]/2)-Table3[[#This Row],[CornerRadius]]-0.012&gt;0,(Table3[[#This Row],[Diameter]]/2)-Table3[[#This Row],[CornerRadius]]-0.012,0),)</f>
        <v>0</v>
      </c>
      <c r="CE783" s="6" t="str">
        <f>IF(Table3[[#This Row],[ShoulderLength]]="","",IF(Table3[[#This Row],[ShoulderLength]]&lt;Table3[[#This Row],[LOC]],"FIX",""))</f>
        <v/>
      </c>
    </row>
    <row r="784" spans="1:83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v>0</v>
      </c>
      <c r="BN784" s="6">
        <v>0</v>
      </c>
      <c r="BO784" s="6">
        <v>0</v>
      </c>
      <c r="BP784" s="6">
        <v>0</v>
      </c>
      <c r="BQ784" s="6">
        <v>0</v>
      </c>
      <c r="BR784" s="6">
        <v>0</v>
      </c>
      <c r="BS784" s="6">
        <v>0</v>
      </c>
      <c r="BT784" s="6">
        <v>0</v>
      </c>
      <c r="BU784" s="6">
        <v>0</v>
      </c>
      <c r="BV784" s="6">
        <v>0</v>
      </c>
      <c r="BW784" s="6">
        <v>0</v>
      </c>
      <c r="BX784" s="6">
        <v>0</v>
      </c>
      <c r="BY784" s="6">
        <v>0</v>
      </c>
      <c r="BZ784" s="6">
        <v>0</v>
      </c>
      <c r="CA784" s="6">
        <v>0</v>
      </c>
      <c r="CB784" s="6">
        <v>0</v>
      </c>
      <c r="CC784" s="6">
        <f>IF(Table3[[#This Row],[Type]]="EM",IF((Table3[[#This Row],[Diameter]]/2)-Table3[[#This Row],[CornerRadius]]-0.012&gt;0,(Table3[[#This Row],[Diameter]]/2)-Table3[[#This Row],[CornerRadius]]-0.012,0),)</f>
        <v>0</v>
      </c>
      <c r="CE784" s="6" t="str">
        <f>IF(Table3[[#This Row],[ShoulderLength]]="","",IF(Table3[[#This Row],[ShoulderLength]]&lt;Table3[[#This Row],[LOC]],"FIX",""))</f>
        <v/>
      </c>
    </row>
    <row r="785" spans="1:83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v>0</v>
      </c>
      <c r="BN785" s="6">
        <v>0</v>
      </c>
      <c r="BO785" s="6">
        <v>0</v>
      </c>
      <c r="BP785" s="6">
        <v>0</v>
      </c>
      <c r="BQ785" s="6">
        <v>0</v>
      </c>
      <c r="BR785" s="6">
        <v>0</v>
      </c>
      <c r="BS785" s="6">
        <v>0</v>
      </c>
      <c r="BT785" s="6">
        <v>0</v>
      </c>
      <c r="BU785" s="6">
        <v>0</v>
      </c>
      <c r="BV785" s="6">
        <v>0</v>
      </c>
      <c r="BW785" s="6">
        <v>0</v>
      </c>
      <c r="BX785" s="6">
        <v>0</v>
      </c>
      <c r="BY785" s="6">
        <v>0</v>
      </c>
      <c r="BZ785" s="6">
        <v>0</v>
      </c>
      <c r="CA785" s="6">
        <v>0</v>
      </c>
      <c r="CB785" s="6">
        <v>0</v>
      </c>
      <c r="CC785" s="6">
        <f>IF(Table3[[#This Row],[Type]]="EM",IF((Table3[[#This Row],[Diameter]]/2)-Table3[[#This Row],[CornerRadius]]-0.012&gt;0,(Table3[[#This Row],[Diameter]]/2)-Table3[[#This Row],[CornerRadius]]-0.012,0),)</f>
        <v>0</v>
      </c>
      <c r="CE785" s="6" t="str">
        <f>IF(Table3[[#This Row],[ShoulderLength]]="","",IF(Table3[[#This Row],[ShoulderLength]]&lt;Table3[[#This Row],[LOC]],"FIX",""))</f>
        <v/>
      </c>
    </row>
    <row r="786" spans="1:83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v>0</v>
      </c>
      <c r="BN786" s="6">
        <v>0</v>
      </c>
      <c r="BO786" s="6">
        <v>0</v>
      </c>
      <c r="BP786" s="6">
        <v>0</v>
      </c>
      <c r="BQ786" s="6">
        <v>0</v>
      </c>
      <c r="BR786" s="6">
        <v>0</v>
      </c>
      <c r="BS786" s="6">
        <v>0</v>
      </c>
      <c r="BT786" s="6">
        <v>0</v>
      </c>
      <c r="BU786" s="6">
        <v>0</v>
      </c>
      <c r="BV786" s="6">
        <v>0</v>
      </c>
      <c r="BW786" s="6">
        <v>0</v>
      </c>
      <c r="BX786" s="6">
        <v>0</v>
      </c>
      <c r="BY786" s="6">
        <v>0</v>
      </c>
      <c r="BZ786" s="6">
        <v>0</v>
      </c>
      <c r="CA786" s="6">
        <v>0</v>
      </c>
      <c r="CB786" s="6">
        <v>0</v>
      </c>
      <c r="CC786" s="6">
        <f>IF(Table3[[#This Row],[Type]]="EM",IF((Table3[[#This Row],[Diameter]]/2)-Table3[[#This Row],[CornerRadius]]-0.012&gt;0,(Table3[[#This Row],[Diameter]]/2)-Table3[[#This Row],[CornerRadius]]-0.012,0),)</f>
        <v>0</v>
      </c>
      <c r="CE786" s="6" t="str">
        <f>IF(Table3[[#This Row],[ShoulderLength]]="","",IF(Table3[[#This Row],[ShoulderLength]]&lt;Table3[[#This Row],[LOC]],"FIX",""))</f>
        <v/>
      </c>
    </row>
    <row r="787" spans="1:83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v>0</v>
      </c>
      <c r="BN787" s="6">
        <v>0</v>
      </c>
      <c r="BO787" s="6">
        <v>0</v>
      </c>
      <c r="BP787" s="6">
        <v>0</v>
      </c>
      <c r="BQ787" s="6">
        <v>0</v>
      </c>
      <c r="BR787" s="6">
        <v>0</v>
      </c>
      <c r="BS787" s="6">
        <v>0</v>
      </c>
      <c r="BT787" s="6">
        <v>0</v>
      </c>
      <c r="BU787" s="6">
        <v>0</v>
      </c>
      <c r="BV787" s="6">
        <v>0</v>
      </c>
      <c r="BW787" s="6">
        <v>0</v>
      </c>
      <c r="BX787" s="6">
        <v>0</v>
      </c>
      <c r="BY787" s="6">
        <v>0</v>
      </c>
      <c r="BZ787" s="6">
        <v>0</v>
      </c>
      <c r="CA787" s="6">
        <v>0</v>
      </c>
      <c r="CB787" s="6">
        <v>0</v>
      </c>
      <c r="CC787" s="6">
        <f>IF(Table3[[#This Row],[Type]]="EM",IF((Table3[[#This Row],[Diameter]]/2)-Table3[[#This Row],[CornerRadius]]-0.012&gt;0,(Table3[[#This Row],[Diameter]]/2)-Table3[[#This Row],[CornerRadius]]-0.012,0),)</f>
        <v>0</v>
      </c>
      <c r="CE787" s="6" t="str">
        <f>IF(Table3[[#This Row],[ShoulderLength]]="","",IF(Table3[[#This Row],[ShoulderLength]]&lt;Table3[[#This Row],[LOC]],"FIX",""))</f>
        <v/>
      </c>
    </row>
    <row r="788" spans="1:83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v>0</v>
      </c>
      <c r="BN788" s="6">
        <v>0</v>
      </c>
      <c r="BO788" s="6">
        <v>0</v>
      </c>
      <c r="BP788" s="6">
        <v>0</v>
      </c>
      <c r="BQ788" s="6">
        <v>0</v>
      </c>
      <c r="BR788" s="6">
        <v>0</v>
      </c>
      <c r="BS788" s="6">
        <v>0</v>
      </c>
      <c r="BT788" s="6">
        <v>0</v>
      </c>
      <c r="BU788" s="6">
        <v>0</v>
      </c>
      <c r="BV788" s="6">
        <v>0</v>
      </c>
      <c r="BW788" s="6">
        <v>0</v>
      </c>
      <c r="BX788" s="6">
        <v>0</v>
      </c>
      <c r="BY788" s="6">
        <v>0</v>
      </c>
      <c r="BZ788" s="6">
        <v>0</v>
      </c>
      <c r="CA788" s="6">
        <v>0</v>
      </c>
      <c r="CB788" s="6">
        <v>0</v>
      </c>
      <c r="CC788" s="6">
        <f>IF(Table3[[#This Row],[Type]]="EM",IF((Table3[[#This Row],[Diameter]]/2)-Table3[[#This Row],[CornerRadius]]-0.012&gt;0,(Table3[[#This Row],[Diameter]]/2)-Table3[[#This Row],[CornerRadius]]-0.012,0),)</f>
        <v>0</v>
      </c>
      <c r="CE788" s="6" t="str">
        <f>IF(Table3[[#This Row],[ShoulderLength]]="","",IF(Table3[[#This Row],[ShoulderLength]]&lt;Table3[[#This Row],[LOC]],"FIX",""))</f>
        <v/>
      </c>
    </row>
    <row r="789" spans="1:83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v>0</v>
      </c>
      <c r="BN789" s="6">
        <v>0</v>
      </c>
      <c r="BO789" s="6">
        <v>0</v>
      </c>
      <c r="BP789" s="6">
        <v>0</v>
      </c>
      <c r="BQ789" s="6">
        <v>0</v>
      </c>
      <c r="BR789" s="6">
        <v>0</v>
      </c>
      <c r="BS789" s="6">
        <v>0</v>
      </c>
      <c r="BT789" s="6">
        <v>0</v>
      </c>
      <c r="BU789" s="6">
        <v>0</v>
      </c>
      <c r="BV789" s="6">
        <v>0</v>
      </c>
      <c r="BW789" s="6">
        <v>0</v>
      </c>
      <c r="BX789" s="6">
        <v>0</v>
      </c>
      <c r="BY789" s="6">
        <v>0</v>
      </c>
      <c r="BZ789" s="6">
        <v>0</v>
      </c>
      <c r="CA789" s="6">
        <v>0</v>
      </c>
      <c r="CB789" s="6">
        <v>0</v>
      </c>
      <c r="CC789" s="6">
        <f>IF(Table3[[#This Row],[Type]]="EM",IF((Table3[[#This Row],[Diameter]]/2)-Table3[[#This Row],[CornerRadius]]-0.012&gt;0,(Table3[[#This Row],[Diameter]]/2)-Table3[[#This Row],[CornerRadius]]-0.012,0),)</f>
        <v>0</v>
      </c>
      <c r="CE789" s="6" t="str">
        <f>IF(Table3[[#This Row],[ShoulderLength]]="","",IF(Table3[[#This Row],[ShoulderLength]]&lt;Table3[[#This Row],[LOC]],"FIX",""))</f>
        <v/>
      </c>
    </row>
    <row r="790" spans="1:83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v>0</v>
      </c>
      <c r="BN790" s="6">
        <v>0</v>
      </c>
      <c r="BO790" s="6">
        <v>0</v>
      </c>
      <c r="BP790" s="6">
        <v>0</v>
      </c>
      <c r="BQ790" s="6">
        <v>0</v>
      </c>
      <c r="BR790" s="6">
        <v>0</v>
      </c>
      <c r="BS790" s="6">
        <v>0</v>
      </c>
      <c r="BT790" s="6">
        <v>0</v>
      </c>
      <c r="BU790" s="6">
        <v>0</v>
      </c>
      <c r="BV790" s="6">
        <v>0</v>
      </c>
      <c r="BW790" s="6">
        <v>0</v>
      </c>
      <c r="BX790" s="6">
        <v>0</v>
      </c>
      <c r="BY790" s="6">
        <v>0</v>
      </c>
      <c r="BZ790" s="6">
        <v>0</v>
      </c>
      <c r="CA790" s="6">
        <v>0</v>
      </c>
      <c r="CB790" s="6">
        <v>0</v>
      </c>
      <c r="CC790" s="6">
        <f>IF(Table3[[#This Row],[Type]]="EM",IF((Table3[[#This Row],[Diameter]]/2)-Table3[[#This Row],[CornerRadius]]-0.012&gt;0,(Table3[[#This Row],[Diameter]]/2)-Table3[[#This Row],[CornerRadius]]-0.012,0),)</f>
        <v>0</v>
      </c>
      <c r="CE790" s="6" t="str">
        <f>IF(Table3[[#This Row],[ShoulderLength]]="","",IF(Table3[[#This Row],[ShoulderLength]]&lt;Table3[[#This Row],[LOC]],"FIX",""))</f>
        <v/>
      </c>
    </row>
    <row r="791" spans="1:83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v>0</v>
      </c>
      <c r="BN791" s="6">
        <v>0</v>
      </c>
      <c r="BO791" s="6">
        <v>0</v>
      </c>
      <c r="BP791" s="6">
        <v>0</v>
      </c>
      <c r="BQ791" s="6">
        <v>0</v>
      </c>
      <c r="BR791" s="6">
        <v>0</v>
      </c>
      <c r="BS791" s="6">
        <v>0</v>
      </c>
      <c r="BT791" s="6">
        <v>0</v>
      </c>
      <c r="BU791" s="6">
        <v>0</v>
      </c>
      <c r="BV791" s="6">
        <v>0</v>
      </c>
      <c r="BW791" s="6">
        <v>0</v>
      </c>
      <c r="BX791" s="6">
        <v>0</v>
      </c>
      <c r="BY791" s="6">
        <v>0</v>
      </c>
      <c r="BZ791" s="6">
        <v>0</v>
      </c>
      <c r="CA791" s="6">
        <v>0</v>
      </c>
      <c r="CB791" s="6">
        <v>0</v>
      </c>
      <c r="CC791" s="6">
        <f>IF(Table3[[#This Row],[Type]]="EM",IF((Table3[[#This Row],[Diameter]]/2)-Table3[[#This Row],[CornerRadius]]-0.012&gt;0,(Table3[[#This Row],[Diameter]]/2)-Table3[[#This Row],[CornerRadius]]-0.012,0),)</f>
        <v>0</v>
      </c>
      <c r="CE791" s="6" t="str">
        <f>IF(Table3[[#This Row],[ShoulderLength]]="","",IF(Table3[[#This Row],[ShoulderLength]]&lt;Table3[[#This Row],[LOC]],"FIX",""))</f>
        <v/>
      </c>
    </row>
    <row r="792" spans="1:83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v>0</v>
      </c>
      <c r="BN792" s="6">
        <v>0</v>
      </c>
      <c r="BO792" s="6">
        <v>0</v>
      </c>
      <c r="BP792" s="6">
        <v>0</v>
      </c>
      <c r="BQ792" s="6">
        <v>0</v>
      </c>
      <c r="BR792" s="6">
        <v>0</v>
      </c>
      <c r="BS792" s="6">
        <v>0</v>
      </c>
      <c r="BT792" s="6">
        <v>0</v>
      </c>
      <c r="BU792" s="6">
        <v>0</v>
      </c>
      <c r="BV792" s="6">
        <v>0</v>
      </c>
      <c r="BW792" s="6">
        <v>0</v>
      </c>
      <c r="BX792" s="6">
        <v>0</v>
      </c>
      <c r="BY792" s="6">
        <v>0</v>
      </c>
      <c r="BZ792" s="6">
        <v>0</v>
      </c>
      <c r="CA792" s="6">
        <v>0</v>
      </c>
      <c r="CB792" s="6">
        <v>0</v>
      </c>
      <c r="CC792" s="6">
        <f>IF(Table3[[#This Row],[Type]]="EM",IF((Table3[[#This Row],[Diameter]]/2)-Table3[[#This Row],[CornerRadius]]-0.012&gt;0,(Table3[[#This Row],[Diameter]]/2)-Table3[[#This Row],[CornerRadius]]-0.012,0),)</f>
        <v>0</v>
      </c>
      <c r="CE792" s="6" t="str">
        <f>IF(Table3[[#This Row],[ShoulderLength]]="","",IF(Table3[[#This Row],[ShoulderLength]]&lt;Table3[[#This Row],[LOC]],"FIX",""))</f>
        <v/>
      </c>
    </row>
    <row r="793" spans="1:83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v>0</v>
      </c>
      <c r="BN793" s="6">
        <v>0</v>
      </c>
      <c r="BO793" s="6">
        <v>0</v>
      </c>
      <c r="BP793" s="6">
        <v>0</v>
      </c>
      <c r="BQ793" s="6">
        <v>0</v>
      </c>
      <c r="BR793" s="6">
        <v>0</v>
      </c>
      <c r="BS793" s="6">
        <v>0</v>
      </c>
      <c r="BT793" s="6">
        <v>0</v>
      </c>
      <c r="BU793" s="6">
        <v>0</v>
      </c>
      <c r="BV793" s="6">
        <v>0</v>
      </c>
      <c r="BW793" s="6">
        <v>0</v>
      </c>
      <c r="BX793" s="6">
        <v>0</v>
      </c>
      <c r="BY793" s="6">
        <v>0</v>
      </c>
      <c r="BZ793" s="6">
        <v>0</v>
      </c>
      <c r="CA793" s="6">
        <v>0</v>
      </c>
      <c r="CB793" s="6">
        <v>0</v>
      </c>
      <c r="CC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3" s="6" t="str">
        <f>IF(Table3[[#This Row],[ShoulderLength]]="","",IF(Table3[[#This Row],[ShoulderLength]]&lt;Table3[[#This Row],[LOC]],"FIX",""))</f>
        <v/>
      </c>
    </row>
    <row r="794" spans="1:83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v>0</v>
      </c>
      <c r="BN794" s="6">
        <v>0</v>
      </c>
      <c r="BO794" s="6">
        <v>0</v>
      </c>
      <c r="BP794" s="6">
        <v>0</v>
      </c>
      <c r="BQ794" s="6">
        <v>0</v>
      </c>
      <c r="BR794" s="6">
        <v>0</v>
      </c>
      <c r="BS794" s="6">
        <v>0</v>
      </c>
      <c r="BT794" s="6">
        <v>0</v>
      </c>
      <c r="BU794" s="6">
        <v>0</v>
      </c>
      <c r="BV794" s="6">
        <v>0</v>
      </c>
      <c r="BW794" s="6">
        <v>0</v>
      </c>
      <c r="BX794" s="6">
        <v>0</v>
      </c>
      <c r="BY794" s="6">
        <v>0</v>
      </c>
      <c r="BZ794" s="6">
        <v>0</v>
      </c>
      <c r="CA794" s="6">
        <v>0</v>
      </c>
      <c r="CB794" s="6">
        <v>0</v>
      </c>
      <c r="CC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4" s="6" t="str">
        <f>IF(Table3[[#This Row],[ShoulderLength]]="","",IF(Table3[[#This Row],[ShoulderLength]]&lt;Table3[[#This Row],[LOC]],"FIX",""))</f>
        <v/>
      </c>
    </row>
    <row r="795" spans="1:83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v>0</v>
      </c>
      <c r="BN795" s="6">
        <v>0</v>
      </c>
      <c r="BO795" s="6">
        <v>0</v>
      </c>
      <c r="BP795" s="6">
        <v>0</v>
      </c>
      <c r="BQ795" s="6">
        <v>0</v>
      </c>
      <c r="BR795" s="6">
        <v>0</v>
      </c>
      <c r="BS795" s="6">
        <v>0</v>
      </c>
      <c r="BT795" s="6">
        <v>0</v>
      </c>
      <c r="BU795" s="6">
        <v>0</v>
      </c>
      <c r="BV795" s="6">
        <v>0</v>
      </c>
      <c r="BW795" s="6">
        <v>0</v>
      </c>
      <c r="BX795" s="6">
        <v>0</v>
      </c>
      <c r="BY795" s="6">
        <v>0</v>
      </c>
      <c r="BZ795" s="6">
        <v>0</v>
      </c>
      <c r="CA795" s="6">
        <v>0</v>
      </c>
      <c r="CB795" s="6">
        <v>0</v>
      </c>
      <c r="CC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5" s="6" t="str">
        <f>IF(Table3[[#This Row],[ShoulderLength]]="","",IF(Table3[[#This Row],[ShoulderLength]]&lt;Table3[[#This Row],[LOC]],"FIX",""))</f>
        <v/>
      </c>
    </row>
    <row r="796" spans="1:83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v>0</v>
      </c>
      <c r="BN796" s="6">
        <v>0</v>
      </c>
      <c r="BO796" s="6">
        <v>0</v>
      </c>
      <c r="BP796" s="6">
        <v>0</v>
      </c>
      <c r="BQ796" s="6">
        <v>0</v>
      </c>
      <c r="BR796" s="6">
        <v>0</v>
      </c>
      <c r="BS796" s="6">
        <v>0</v>
      </c>
      <c r="BT796" s="6">
        <v>0</v>
      </c>
      <c r="BU796" s="6">
        <v>0</v>
      </c>
      <c r="BV796" s="6">
        <v>0</v>
      </c>
      <c r="BW796" s="6">
        <v>0</v>
      </c>
      <c r="BX796" s="6">
        <v>0</v>
      </c>
      <c r="BY796" s="6">
        <v>0</v>
      </c>
      <c r="BZ796" s="6">
        <v>0</v>
      </c>
      <c r="CA796" s="6">
        <v>0</v>
      </c>
      <c r="CB796" s="6">
        <v>0</v>
      </c>
      <c r="CC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6" s="6" t="str">
        <f>IF(Table3[[#This Row],[ShoulderLength]]="","",IF(Table3[[#This Row],[ShoulderLength]]&lt;Table3[[#This Row],[LOC]],"FIX",""))</f>
        <v/>
      </c>
    </row>
    <row r="797" spans="1:83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v>0</v>
      </c>
      <c r="BN797" s="6">
        <v>0</v>
      </c>
      <c r="BO797" s="6">
        <v>0</v>
      </c>
      <c r="BP797" s="6">
        <v>0</v>
      </c>
      <c r="BQ797" s="6">
        <v>0</v>
      </c>
      <c r="BR797" s="6">
        <v>0</v>
      </c>
      <c r="BS797" s="6">
        <v>0</v>
      </c>
      <c r="BT797" s="6">
        <v>0</v>
      </c>
      <c r="BU797" s="6">
        <v>0</v>
      </c>
      <c r="BV797" s="6">
        <v>0</v>
      </c>
      <c r="BW797" s="6">
        <v>0</v>
      </c>
      <c r="BX797" s="6">
        <v>0</v>
      </c>
      <c r="BY797" s="6">
        <v>0</v>
      </c>
      <c r="BZ797" s="6">
        <v>0</v>
      </c>
      <c r="CA797" s="6">
        <v>0</v>
      </c>
      <c r="CB797" s="6">
        <v>0</v>
      </c>
      <c r="CC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7" s="6" t="str">
        <f>IF(Table3[[#This Row],[ShoulderLength]]="","",IF(Table3[[#This Row],[ShoulderLength]]&lt;Table3[[#This Row],[LOC]],"FIX",""))</f>
        <v/>
      </c>
    </row>
    <row r="798" spans="1:83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v>0</v>
      </c>
      <c r="BN798" s="6">
        <v>0</v>
      </c>
      <c r="BO798" s="6">
        <v>0</v>
      </c>
      <c r="BP798" s="6">
        <v>0</v>
      </c>
      <c r="BQ798" s="6">
        <v>0</v>
      </c>
      <c r="BR798" s="6">
        <v>0</v>
      </c>
      <c r="BS798" s="6">
        <v>0</v>
      </c>
      <c r="BT798" s="6">
        <v>0</v>
      </c>
      <c r="BU798" s="6">
        <v>0</v>
      </c>
      <c r="BV798" s="6">
        <v>0</v>
      </c>
      <c r="BW798" s="6">
        <v>0</v>
      </c>
      <c r="BX798" s="6">
        <v>0</v>
      </c>
      <c r="BY798" s="6">
        <v>0</v>
      </c>
      <c r="BZ798" s="6">
        <v>0</v>
      </c>
      <c r="CA798" s="6">
        <v>0</v>
      </c>
      <c r="CB798" s="6">
        <v>0</v>
      </c>
      <c r="CC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8" s="6" t="str">
        <f>IF(Table3[[#This Row],[ShoulderLength]]="","",IF(Table3[[#This Row],[ShoulderLength]]&lt;Table3[[#This Row],[LOC]],"FIX",""))</f>
        <v/>
      </c>
    </row>
    <row r="799" spans="1:83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v>0</v>
      </c>
      <c r="BN799" s="6">
        <v>0</v>
      </c>
      <c r="BO799" s="6">
        <v>0</v>
      </c>
      <c r="BP799" s="6">
        <v>0</v>
      </c>
      <c r="BQ799" s="6">
        <v>0</v>
      </c>
      <c r="BR799" s="6">
        <v>0</v>
      </c>
      <c r="BS799" s="6">
        <v>0</v>
      </c>
      <c r="BT799" s="6">
        <v>0</v>
      </c>
      <c r="BU799" s="6">
        <v>0</v>
      </c>
      <c r="BV799" s="6">
        <v>0</v>
      </c>
      <c r="BW799" s="6">
        <v>0</v>
      </c>
      <c r="BX799" s="6">
        <v>0</v>
      </c>
      <c r="BY799" s="6">
        <v>0</v>
      </c>
      <c r="BZ799" s="6">
        <v>0</v>
      </c>
      <c r="CA799" s="6">
        <v>0</v>
      </c>
      <c r="CB799" s="6">
        <v>0</v>
      </c>
      <c r="CC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9" s="6" t="str">
        <f>IF(Table3[[#This Row],[ShoulderLength]]="","",IF(Table3[[#This Row],[ShoulderLength]]&lt;Table3[[#This Row],[LOC]],"FIX",""))</f>
        <v/>
      </c>
    </row>
    <row r="800" spans="1:83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v>0</v>
      </c>
      <c r="BN800" s="6">
        <v>0</v>
      </c>
      <c r="BO800" s="6">
        <v>0</v>
      </c>
      <c r="BP800" s="6">
        <v>0</v>
      </c>
      <c r="BQ800" s="6">
        <v>0</v>
      </c>
      <c r="BR800" s="6">
        <v>0</v>
      </c>
      <c r="BS800" s="6">
        <v>0</v>
      </c>
      <c r="BT800" s="6">
        <v>0</v>
      </c>
      <c r="BU800" s="6">
        <v>0</v>
      </c>
      <c r="BV800" s="6">
        <v>0</v>
      </c>
      <c r="BW800" s="6">
        <v>0</v>
      </c>
      <c r="BX800" s="6">
        <v>0</v>
      </c>
      <c r="BY800" s="6">
        <v>0</v>
      </c>
      <c r="BZ800" s="6">
        <v>0</v>
      </c>
      <c r="CA800" s="6">
        <v>0</v>
      </c>
      <c r="CB800" s="6">
        <v>0</v>
      </c>
      <c r="CC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800" s="6" t="str">
        <f>IF(Table3[[#This Row],[ShoulderLength]]="","",IF(Table3[[#This Row],[ShoulderLength]]&lt;Table3[[#This Row],[LOC]],"FIX",""))</f>
        <v/>
      </c>
    </row>
    <row r="801" spans="1:83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v>0</v>
      </c>
      <c r="BN801" s="6">
        <v>0</v>
      </c>
      <c r="BO801" s="6">
        <v>0</v>
      </c>
      <c r="BP801" s="6">
        <v>0</v>
      </c>
      <c r="BQ801" s="6">
        <v>0</v>
      </c>
      <c r="BR801" s="6">
        <v>0</v>
      </c>
      <c r="BS801" s="6">
        <v>0</v>
      </c>
      <c r="BT801" s="6">
        <v>0</v>
      </c>
      <c r="BU801" s="6">
        <v>0</v>
      </c>
      <c r="BV801" s="6">
        <v>0</v>
      </c>
      <c r="BW801" s="6">
        <v>0</v>
      </c>
      <c r="BX801" s="6">
        <v>0</v>
      </c>
      <c r="BY801" s="6">
        <v>0</v>
      </c>
      <c r="BZ801" s="6">
        <v>0</v>
      </c>
      <c r="CA801" s="6">
        <v>0</v>
      </c>
      <c r="CB801" s="6">
        <v>0</v>
      </c>
      <c r="CC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CE801" s="6" t="str">
        <f>IF(Table3[[#This Row],[ShoulderLength]]="","",IF(Table3[[#This Row],[ShoulderLength]]&lt;Table3[[#This Row],[LOC]],"FIX",""))</f>
        <v/>
      </c>
    </row>
    <row r="802" spans="1:83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v>0</v>
      </c>
      <c r="BN802" s="6">
        <v>0</v>
      </c>
      <c r="BO802" s="6">
        <v>0</v>
      </c>
      <c r="BP802" s="6">
        <v>0</v>
      </c>
      <c r="BQ802" s="6">
        <v>0</v>
      </c>
      <c r="BR802" s="6">
        <v>0</v>
      </c>
      <c r="BS802" s="6">
        <v>0</v>
      </c>
      <c r="BT802" s="6">
        <v>0</v>
      </c>
      <c r="BU802" s="6">
        <v>0</v>
      </c>
      <c r="BV802" s="6">
        <v>0</v>
      </c>
      <c r="BW802" s="6">
        <v>0</v>
      </c>
      <c r="BX802" s="6">
        <v>0</v>
      </c>
      <c r="BY802" s="6">
        <v>0</v>
      </c>
      <c r="BZ802" s="6">
        <v>0</v>
      </c>
      <c r="CA802" s="6">
        <v>0</v>
      </c>
      <c r="CB802" s="6">
        <v>0</v>
      </c>
      <c r="CC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CE802" s="6" t="str">
        <f>IF(Table3[[#This Row],[ShoulderLength]]="","",IF(Table3[[#This Row],[ShoulderLength]]&lt;Table3[[#This Row],[LOC]],"FIX",""))</f>
        <v/>
      </c>
    </row>
    <row r="803" spans="1:83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v>0</v>
      </c>
      <c r="BN803" s="6">
        <v>0</v>
      </c>
      <c r="BO803" s="6">
        <v>0</v>
      </c>
      <c r="BP803" s="6">
        <v>0</v>
      </c>
      <c r="BQ803" s="6">
        <v>0</v>
      </c>
      <c r="BR803" s="6">
        <v>0</v>
      </c>
      <c r="BS803" s="6">
        <v>0</v>
      </c>
      <c r="BT803" s="6">
        <v>0</v>
      </c>
      <c r="BU803" s="6">
        <v>0</v>
      </c>
      <c r="BV803" s="6">
        <v>0</v>
      </c>
      <c r="BW803" s="6">
        <v>0</v>
      </c>
      <c r="BX803" s="6">
        <v>0</v>
      </c>
      <c r="BY803" s="6">
        <v>0</v>
      </c>
      <c r="BZ803" s="6">
        <v>0</v>
      </c>
      <c r="CA803" s="6">
        <v>0</v>
      </c>
      <c r="CB803" s="6">
        <v>0</v>
      </c>
      <c r="CC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CE803" s="6" t="str">
        <f>IF(Table3[[#This Row],[ShoulderLength]]="","",IF(Table3[[#This Row],[ShoulderLength]]&lt;Table3[[#This Row],[LOC]],"FIX",""))</f>
        <v/>
      </c>
    </row>
    <row r="804" spans="1:83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v>0</v>
      </c>
      <c r="BN804" s="6">
        <v>0</v>
      </c>
      <c r="BO804" s="6">
        <v>0</v>
      </c>
      <c r="BP804" s="6">
        <v>0</v>
      </c>
      <c r="BQ804" s="6">
        <v>0</v>
      </c>
      <c r="BR804" s="6">
        <v>0</v>
      </c>
      <c r="BS804" s="6">
        <v>0</v>
      </c>
      <c r="BT804" s="6">
        <v>0</v>
      </c>
      <c r="BU804" s="6">
        <v>0</v>
      </c>
      <c r="BV804" s="6">
        <v>0</v>
      </c>
      <c r="BW804" s="6">
        <v>0</v>
      </c>
      <c r="BX804" s="6">
        <v>0</v>
      </c>
      <c r="BY804" s="6">
        <v>0</v>
      </c>
      <c r="BZ804" s="6">
        <v>0</v>
      </c>
      <c r="CA804" s="6">
        <v>0</v>
      </c>
      <c r="CB804" s="6">
        <v>0</v>
      </c>
      <c r="CC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CE804" s="6" t="str">
        <f>IF(Table3[[#This Row],[ShoulderLength]]="","",IF(Table3[[#This Row],[ShoulderLength]]&lt;Table3[[#This Row],[LOC]],"FIX",""))</f>
        <v/>
      </c>
    </row>
    <row r="805" spans="1:83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v>0</v>
      </c>
      <c r="BN805" s="6">
        <v>0</v>
      </c>
      <c r="BO805" s="6">
        <v>0</v>
      </c>
      <c r="BP805" s="6">
        <v>0</v>
      </c>
      <c r="BQ805" s="6">
        <v>0</v>
      </c>
      <c r="BR805" s="6">
        <v>0</v>
      </c>
      <c r="BS805" s="6">
        <v>0</v>
      </c>
      <c r="BT805" s="6">
        <v>0</v>
      </c>
      <c r="BU805" s="6">
        <v>0</v>
      </c>
      <c r="BV805" s="6">
        <v>0</v>
      </c>
      <c r="BW805" s="6">
        <v>0</v>
      </c>
      <c r="BX805" s="6">
        <v>0</v>
      </c>
      <c r="BY805" s="6">
        <v>0</v>
      </c>
      <c r="BZ805" s="6">
        <v>0</v>
      </c>
      <c r="CA805" s="6">
        <v>0</v>
      </c>
      <c r="CB805" s="6">
        <v>0</v>
      </c>
      <c r="CC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CE805" s="6" t="str">
        <f>IF(Table3[[#This Row],[ShoulderLength]]="","",IF(Table3[[#This Row],[ShoulderLength]]&lt;Table3[[#This Row],[LOC]],"FIX",""))</f>
        <v/>
      </c>
    </row>
    <row r="806" spans="1:83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v>0</v>
      </c>
      <c r="BN806" s="6">
        <v>0</v>
      </c>
      <c r="BO806" s="6">
        <v>0</v>
      </c>
      <c r="BP806" s="6">
        <v>0</v>
      </c>
      <c r="BQ806" s="6">
        <v>0</v>
      </c>
      <c r="BR806" s="6">
        <v>0</v>
      </c>
      <c r="BS806" s="6">
        <v>0</v>
      </c>
      <c r="BT806" s="6">
        <v>0</v>
      </c>
      <c r="BU806" s="6">
        <v>0</v>
      </c>
      <c r="BV806" s="6">
        <v>0</v>
      </c>
      <c r="BW806" s="6">
        <v>0</v>
      </c>
      <c r="BX806" s="6">
        <v>0</v>
      </c>
      <c r="BY806" s="6">
        <v>0</v>
      </c>
      <c r="BZ806" s="6">
        <v>0</v>
      </c>
      <c r="CA806" s="6">
        <v>0</v>
      </c>
      <c r="CB806" s="6">
        <v>0</v>
      </c>
      <c r="CC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6" s="6" t="str">
        <f>IF(Table3[[#This Row],[ShoulderLength]]="","",IF(Table3[[#This Row],[ShoulderLength]]&lt;Table3[[#This Row],[LOC]],"FIX",""))</f>
        <v/>
      </c>
    </row>
    <row r="807" spans="1:83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v>0</v>
      </c>
      <c r="BN807" s="6">
        <v>0</v>
      </c>
      <c r="BO807" s="6">
        <v>0</v>
      </c>
      <c r="BP807" s="6">
        <v>0</v>
      </c>
      <c r="BQ807" s="6">
        <v>0</v>
      </c>
      <c r="BR807" s="6">
        <v>0</v>
      </c>
      <c r="BS807" s="6">
        <v>0</v>
      </c>
      <c r="BT807" s="6">
        <v>0</v>
      </c>
      <c r="BU807" s="6">
        <v>0</v>
      </c>
      <c r="BV807" s="6">
        <v>0</v>
      </c>
      <c r="BW807" s="6">
        <v>0</v>
      </c>
      <c r="BX807" s="6">
        <v>0</v>
      </c>
      <c r="BY807" s="6">
        <v>0</v>
      </c>
      <c r="BZ807" s="6">
        <v>0</v>
      </c>
      <c r="CA807" s="6">
        <v>0</v>
      </c>
      <c r="CB807" s="6">
        <v>0</v>
      </c>
      <c r="CC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7" s="6" t="str">
        <f>IF(Table3[[#This Row],[ShoulderLength]]="","",IF(Table3[[#This Row],[ShoulderLength]]&lt;Table3[[#This Row],[LOC]],"FIX",""))</f>
        <v/>
      </c>
    </row>
    <row r="808" spans="1:83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v>0</v>
      </c>
      <c r="BN808" s="6">
        <v>0</v>
      </c>
      <c r="BO808" s="6">
        <v>0</v>
      </c>
      <c r="BP808" s="6">
        <v>0</v>
      </c>
      <c r="BQ808" s="6">
        <v>0</v>
      </c>
      <c r="BR808" s="6">
        <v>0</v>
      </c>
      <c r="BS808" s="6">
        <v>0</v>
      </c>
      <c r="BT808" s="6">
        <v>0</v>
      </c>
      <c r="BU808" s="6">
        <v>0</v>
      </c>
      <c r="BV808" s="6">
        <v>0</v>
      </c>
      <c r="BW808" s="6">
        <v>0</v>
      </c>
      <c r="BX808" s="6">
        <v>0</v>
      </c>
      <c r="BY808" s="6">
        <v>0</v>
      </c>
      <c r="BZ808" s="6">
        <v>0</v>
      </c>
      <c r="CA808" s="6">
        <v>0</v>
      </c>
      <c r="CB808" s="6">
        <v>0</v>
      </c>
      <c r="CC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8" s="6" t="str">
        <f>IF(Table3[[#This Row],[ShoulderLength]]="","",IF(Table3[[#This Row],[ShoulderLength]]&lt;Table3[[#This Row],[LOC]],"FIX",""))</f>
        <v/>
      </c>
    </row>
    <row r="809" spans="1:83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v>0</v>
      </c>
      <c r="BN809" s="6">
        <v>0</v>
      </c>
      <c r="BO809" s="6">
        <v>0</v>
      </c>
      <c r="BP809" s="6">
        <v>0</v>
      </c>
      <c r="BQ809" s="6">
        <v>0</v>
      </c>
      <c r="BR809" s="6">
        <v>0</v>
      </c>
      <c r="BS809" s="6">
        <v>0</v>
      </c>
      <c r="BT809" s="6">
        <v>0</v>
      </c>
      <c r="BU809" s="6">
        <v>0</v>
      </c>
      <c r="BV809" s="6">
        <v>0</v>
      </c>
      <c r="BW809" s="6">
        <v>0</v>
      </c>
      <c r="BX809" s="6">
        <v>0</v>
      </c>
      <c r="BY809" s="6">
        <v>0</v>
      </c>
      <c r="BZ809" s="6">
        <v>0</v>
      </c>
      <c r="CA809" s="6">
        <v>0</v>
      </c>
      <c r="CB809" s="6">
        <v>0</v>
      </c>
      <c r="CC809" s="6">
        <f>IF(Table3[[#This Row],[Type]]="EM",IF((Table3[[#This Row],[Diameter]]/2)-Table3[[#This Row],[CornerRadius]]-0.012&gt;0,(Table3[[#This Row],[Diameter]]/2)-Table3[[#This Row],[CornerRadius]]-0.012,0),)</f>
        <v>1.15E-2</v>
      </c>
      <c r="CE809" s="6" t="str">
        <f>IF(Table3[[#This Row],[ShoulderLength]]="","",IF(Table3[[#This Row],[ShoulderLength]]&lt;Table3[[#This Row],[LOC]],"FIX",""))</f>
        <v/>
      </c>
    </row>
    <row r="810" spans="1:83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v>0</v>
      </c>
      <c r="BN810" s="6">
        <v>0</v>
      </c>
      <c r="BO810" s="6">
        <v>0</v>
      </c>
      <c r="BP810" s="6">
        <v>0</v>
      </c>
      <c r="BQ810" s="6">
        <v>0</v>
      </c>
      <c r="BR810" s="6">
        <v>0</v>
      </c>
      <c r="BS810" s="6">
        <v>0</v>
      </c>
      <c r="BT810" s="6">
        <v>0</v>
      </c>
      <c r="BU810" s="6">
        <v>0</v>
      </c>
      <c r="BV810" s="6">
        <v>0</v>
      </c>
      <c r="BW810" s="6">
        <v>0</v>
      </c>
      <c r="BX810" s="6">
        <v>0</v>
      </c>
      <c r="BY810" s="6">
        <v>0</v>
      </c>
      <c r="BZ810" s="6">
        <v>0</v>
      </c>
      <c r="CA810" s="6">
        <v>0</v>
      </c>
      <c r="CB810" s="6">
        <v>0</v>
      </c>
      <c r="CC810" s="6">
        <f>IF(Table3[[#This Row],[Type]]="EM",IF((Table3[[#This Row],[Diameter]]/2)-Table3[[#This Row],[CornerRadius]]-0.012&gt;0,(Table3[[#This Row],[Diameter]]/2)-Table3[[#This Row],[CornerRadius]]-0.012,0),)</f>
        <v>1.15E-2</v>
      </c>
      <c r="CE810" s="6" t="str">
        <f>IF(Table3[[#This Row],[ShoulderLength]]="","",IF(Table3[[#This Row],[ShoulderLength]]&lt;Table3[[#This Row],[LOC]],"FIX",""))</f>
        <v/>
      </c>
    </row>
    <row r="811" spans="1:83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v>0</v>
      </c>
      <c r="BN811" s="6">
        <v>0</v>
      </c>
      <c r="BO811" s="6">
        <v>0</v>
      </c>
      <c r="BP811" s="6">
        <v>0</v>
      </c>
      <c r="BQ811" s="6">
        <v>0</v>
      </c>
      <c r="BR811" s="6">
        <v>0</v>
      </c>
      <c r="BS811" s="6">
        <v>0</v>
      </c>
      <c r="BT811" s="6">
        <v>0</v>
      </c>
      <c r="BU811" s="6">
        <v>0</v>
      </c>
      <c r="BV811" s="6">
        <v>0</v>
      </c>
      <c r="BW811" s="6">
        <v>0</v>
      </c>
      <c r="BX811" s="6">
        <v>0</v>
      </c>
      <c r="BY811" s="6">
        <v>0</v>
      </c>
      <c r="BZ811" s="6">
        <v>0</v>
      </c>
      <c r="CA811" s="6">
        <v>0</v>
      </c>
      <c r="CB811" s="6">
        <v>0</v>
      </c>
      <c r="CC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CE811" s="6" t="str">
        <f>IF(Table3[[#This Row],[ShoulderLength]]="","",IF(Table3[[#This Row],[ShoulderLength]]&lt;Table3[[#This Row],[LOC]],"FIX",""))</f>
        <v/>
      </c>
    </row>
    <row r="812" spans="1:83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v>0</v>
      </c>
      <c r="BN812" s="6">
        <v>0</v>
      </c>
      <c r="BO812" s="6">
        <v>0</v>
      </c>
      <c r="BP812" s="6">
        <v>0</v>
      </c>
      <c r="BQ812" s="6">
        <v>0</v>
      </c>
      <c r="BR812" s="6">
        <v>0</v>
      </c>
      <c r="BS812" s="6">
        <v>0</v>
      </c>
      <c r="BT812" s="6">
        <v>0</v>
      </c>
      <c r="BU812" s="6">
        <v>0</v>
      </c>
      <c r="BV812" s="6">
        <v>0</v>
      </c>
      <c r="BW812" s="6">
        <v>0</v>
      </c>
      <c r="BX812" s="6">
        <v>0</v>
      </c>
      <c r="BY812" s="6">
        <v>0</v>
      </c>
      <c r="BZ812" s="6">
        <v>0</v>
      </c>
      <c r="CA812" s="6">
        <v>0</v>
      </c>
      <c r="CB812" s="6">
        <v>0</v>
      </c>
      <c r="CC812" s="6">
        <f>IF(Table3[[#This Row],[Type]]="EM",IF((Table3[[#This Row],[Diameter]]/2)-Table3[[#This Row],[CornerRadius]]-0.012&gt;0,(Table3[[#This Row],[Diameter]]/2)-Table3[[#This Row],[CornerRadius]]-0.012,0),)</f>
        <v>1.925E-2</v>
      </c>
      <c r="CE812" s="6" t="str">
        <f>IF(Table3[[#This Row],[ShoulderLength]]="","",IF(Table3[[#This Row],[ShoulderLength]]&lt;Table3[[#This Row],[LOC]],"FIX",""))</f>
        <v/>
      </c>
    </row>
    <row r="813" spans="1:83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v>0</v>
      </c>
      <c r="BN813" s="6">
        <v>0</v>
      </c>
      <c r="BO813" s="6">
        <v>0</v>
      </c>
      <c r="BP813" s="6">
        <v>0</v>
      </c>
      <c r="BQ813" s="6">
        <v>0</v>
      </c>
      <c r="BR813" s="6">
        <v>0</v>
      </c>
      <c r="BS813" s="6">
        <v>0</v>
      </c>
      <c r="BT813" s="6">
        <v>0</v>
      </c>
      <c r="BU813" s="6">
        <v>0</v>
      </c>
      <c r="BV813" s="6">
        <v>0</v>
      </c>
      <c r="BW813" s="6">
        <v>0</v>
      </c>
      <c r="BX813" s="6">
        <v>0</v>
      </c>
      <c r="BY813" s="6">
        <v>0</v>
      </c>
      <c r="BZ813" s="6">
        <v>0</v>
      </c>
      <c r="CA813" s="6">
        <v>0</v>
      </c>
      <c r="CB813" s="6">
        <v>0</v>
      </c>
      <c r="CC813" s="6">
        <f>IF(Table3[[#This Row],[Type]]="EM",IF((Table3[[#This Row],[Diameter]]/2)-Table3[[#This Row],[CornerRadius]]-0.012&gt;0,(Table3[[#This Row],[Diameter]]/2)-Table3[[#This Row],[CornerRadius]]-0.012,0),)</f>
        <v>1.925E-2</v>
      </c>
      <c r="CE813" s="6" t="str">
        <f>IF(Table3[[#This Row],[ShoulderLength]]="","",IF(Table3[[#This Row],[ShoulderLength]]&lt;Table3[[#This Row],[LOC]],"FIX",""))</f>
        <v/>
      </c>
    </row>
    <row r="814" spans="1:83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v>0</v>
      </c>
      <c r="BN814" s="6">
        <v>0</v>
      </c>
      <c r="BO814" s="6">
        <v>0</v>
      </c>
      <c r="BP814" s="6">
        <v>0</v>
      </c>
      <c r="BQ814" s="6">
        <v>0</v>
      </c>
      <c r="BR814" s="6">
        <v>0</v>
      </c>
      <c r="BS814" s="6">
        <v>0</v>
      </c>
      <c r="BT814" s="6">
        <v>0</v>
      </c>
      <c r="BU814" s="6">
        <v>0</v>
      </c>
      <c r="BV814" s="6">
        <v>0</v>
      </c>
      <c r="BW814" s="6">
        <v>0</v>
      </c>
      <c r="BX814" s="6">
        <v>0</v>
      </c>
      <c r="BY814" s="6">
        <v>0</v>
      </c>
      <c r="BZ814" s="6">
        <v>0</v>
      </c>
      <c r="CA814" s="6">
        <v>0</v>
      </c>
      <c r="CB814" s="6">
        <v>0</v>
      </c>
      <c r="CC814" s="6">
        <f>IF(Table3[[#This Row],[Type]]="EM",IF((Table3[[#This Row],[Diameter]]/2)-Table3[[#This Row],[CornerRadius]]-0.012&gt;0,(Table3[[#This Row],[Diameter]]/2)-Table3[[#This Row],[CornerRadius]]-0.012,0),)</f>
        <v>1.925E-2</v>
      </c>
      <c r="CE814" s="6" t="str">
        <f>IF(Table3[[#This Row],[ShoulderLength]]="","",IF(Table3[[#This Row],[ShoulderLength]]&lt;Table3[[#This Row],[LOC]],"FIX",""))</f>
        <v/>
      </c>
    </row>
    <row r="815" spans="1:83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v>0</v>
      </c>
      <c r="BN815" s="6">
        <v>0</v>
      </c>
      <c r="BO815" s="6">
        <v>0</v>
      </c>
      <c r="BP815" s="6">
        <v>0</v>
      </c>
      <c r="BQ815" s="6">
        <v>0</v>
      </c>
      <c r="BR815" s="6">
        <v>0</v>
      </c>
      <c r="BS815" s="6">
        <v>0</v>
      </c>
      <c r="BT815" s="6">
        <v>0</v>
      </c>
      <c r="BU815" s="6">
        <v>0</v>
      </c>
      <c r="BV815" s="6">
        <v>0</v>
      </c>
      <c r="BW815" s="6">
        <v>0</v>
      </c>
      <c r="BX815" s="6">
        <v>0</v>
      </c>
      <c r="BY815" s="6">
        <v>0</v>
      </c>
      <c r="BZ815" s="6">
        <v>0</v>
      </c>
      <c r="CA815" s="6">
        <v>0</v>
      </c>
      <c r="CB815" s="6">
        <v>0</v>
      </c>
      <c r="CC815" s="6">
        <f>IF(Table3[[#This Row],[Type]]="EM",IF((Table3[[#This Row],[Diameter]]/2)-Table3[[#This Row],[CornerRadius]]-0.012&gt;0,(Table3[[#This Row],[Diameter]]/2)-Table3[[#This Row],[CornerRadius]]-0.012,0),)</f>
        <v>1.925E-2</v>
      </c>
      <c r="CE815" s="6" t="str">
        <f>IF(Table3[[#This Row],[ShoulderLength]]="","",IF(Table3[[#This Row],[ShoulderLength]]&lt;Table3[[#This Row],[LOC]],"FIX",""))</f>
        <v/>
      </c>
    </row>
    <row r="816" spans="1:83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v>0</v>
      </c>
      <c r="BN816" s="6">
        <v>0</v>
      </c>
      <c r="BO816" s="6">
        <v>0</v>
      </c>
      <c r="BP816" s="6">
        <v>0</v>
      </c>
      <c r="BQ816" s="6">
        <v>0</v>
      </c>
      <c r="BR816" s="6">
        <v>0</v>
      </c>
      <c r="BS816" s="6">
        <v>0</v>
      </c>
      <c r="BT816" s="6">
        <v>0</v>
      </c>
      <c r="BU816" s="6">
        <v>0</v>
      </c>
      <c r="BV816" s="6">
        <v>0</v>
      </c>
      <c r="BW816" s="6">
        <v>0</v>
      </c>
      <c r="BX816" s="6">
        <v>0</v>
      </c>
      <c r="BY816" s="6">
        <v>0</v>
      </c>
      <c r="BZ816" s="6">
        <v>0</v>
      </c>
      <c r="CA816" s="6">
        <v>0</v>
      </c>
      <c r="CB816" s="6">
        <v>0</v>
      </c>
      <c r="CC816" s="6">
        <f>IF(Table3[[#This Row],[Type]]="EM",IF((Table3[[#This Row],[Diameter]]/2)-Table3[[#This Row],[CornerRadius]]-0.012&gt;0,(Table3[[#This Row],[Diameter]]/2)-Table3[[#This Row],[CornerRadius]]-0.012,0),)</f>
        <v>1.925E-2</v>
      </c>
      <c r="CE816" s="6" t="str">
        <f>IF(Table3[[#This Row],[ShoulderLength]]="","",IF(Table3[[#This Row],[ShoulderLength]]&lt;Table3[[#This Row],[LOC]],"FIX",""))</f>
        <v/>
      </c>
    </row>
    <row r="817" spans="1:83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v>0</v>
      </c>
      <c r="BN817" s="6">
        <v>0</v>
      </c>
      <c r="BO817" s="6">
        <v>0</v>
      </c>
      <c r="BP817" s="6">
        <v>0</v>
      </c>
      <c r="BQ817" s="6">
        <v>0</v>
      </c>
      <c r="BR817" s="6">
        <v>0</v>
      </c>
      <c r="BS817" s="6">
        <v>0</v>
      </c>
      <c r="BT817" s="6">
        <v>0</v>
      </c>
      <c r="BU817" s="6">
        <v>0</v>
      </c>
      <c r="BV817" s="6">
        <v>0</v>
      </c>
      <c r="BW817" s="6">
        <v>0</v>
      </c>
      <c r="BX817" s="6">
        <v>0</v>
      </c>
      <c r="BY817" s="6">
        <v>0</v>
      </c>
      <c r="BZ817" s="6">
        <v>0</v>
      </c>
      <c r="CA817" s="6">
        <v>0</v>
      </c>
      <c r="CB817" s="6">
        <v>0</v>
      </c>
      <c r="CC817" s="6">
        <f>IF(Table3[[#This Row],[Type]]="EM",IF((Table3[[#This Row],[Diameter]]/2)-Table3[[#This Row],[CornerRadius]]-0.012&gt;0,(Table3[[#This Row],[Diameter]]/2)-Table3[[#This Row],[CornerRadius]]-0.012,0),)</f>
        <v>1.925E-2</v>
      </c>
      <c r="CE817" s="6" t="str">
        <f>IF(Table3[[#This Row],[ShoulderLength]]="","",IF(Table3[[#This Row],[ShoulderLength]]&lt;Table3[[#This Row],[LOC]],"FIX",""))</f>
        <v/>
      </c>
    </row>
    <row r="818" spans="1:83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v>0</v>
      </c>
      <c r="BN818" s="6">
        <v>0</v>
      </c>
      <c r="BO818" s="6">
        <v>0</v>
      </c>
      <c r="BP818" s="6">
        <v>0</v>
      </c>
      <c r="BQ818" s="6">
        <v>0</v>
      </c>
      <c r="BR818" s="6">
        <v>0</v>
      </c>
      <c r="BS818" s="6">
        <v>0</v>
      </c>
      <c r="BT818" s="6">
        <v>0</v>
      </c>
      <c r="BU818" s="6">
        <v>0</v>
      </c>
      <c r="BV818" s="6">
        <v>0</v>
      </c>
      <c r="BW818" s="6">
        <v>0</v>
      </c>
      <c r="BX818" s="6">
        <v>0</v>
      </c>
      <c r="BY818" s="6">
        <v>0</v>
      </c>
      <c r="BZ818" s="6">
        <v>0</v>
      </c>
      <c r="CA818" s="6">
        <v>0</v>
      </c>
      <c r="CB818" s="6">
        <v>0</v>
      </c>
      <c r="CC818" s="6">
        <f>IF(Table3[[#This Row],[Type]]="EM",IF((Table3[[#This Row],[Diameter]]/2)-Table3[[#This Row],[CornerRadius]]-0.012&gt;0,(Table3[[#This Row],[Diameter]]/2)-Table3[[#This Row],[CornerRadius]]-0.012,0),)</f>
        <v>1.925E-2</v>
      </c>
      <c r="CE818" s="6" t="str">
        <f>IF(Table3[[#This Row],[ShoulderLength]]="","",IF(Table3[[#This Row],[ShoulderLength]]&lt;Table3[[#This Row],[LOC]],"FIX",""))</f>
        <v/>
      </c>
    </row>
    <row r="819" spans="1:83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v>0</v>
      </c>
      <c r="BN819" s="6">
        <v>0</v>
      </c>
      <c r="BO819" s="6">
        <v>0</v>
      </c>
      <c r="BP819" s="6">
        <v>0</v>
      </c>
      <c r="BQ819" s="6">
        <v>0</v>
      </c>
      <c r="BR819" s="6">
        <v>0</v>
      </c>
      <c r="BS819" s="6">
        <v>0</v>
      </c>
      <c r="BT819" s="6">
        <v>0</v>
      </c>
      <c r="BU819" s="6">
        <v>0</v>
      </c>
      <c r="BV819" s="6">
        <v>0</v>
      </c>
      <c r="BW819" s="6">
        <v>0</v>
      </c>
      <c r="BX819" s="6">
        <v>0</v>
      </c>
      <c r="BY819" s="6">
        <v>0</v>
      </c>
      <c r="BZ819" s="6">
        <v>0</v>
      </c>
      <c r="CA819" s="6">
        <v>0</v>
      </c>
      <c r="CB819" s="6">
        <v>0</v>
      </c>
      <c r="CC819" s="6">
        <f>IF(Table3[[#This Row],[Type]]="EM",IF((Table3[[#This Row],[Diameter]]/2)-Table3[[#This Row],[CornerRadius]]-0.012&gt;0,(Table3[[#This Row],[Diameter]]/2)-Table3[[#This Row],[CornerRadius]]-0.012,0),)</f>
        <v>1.925E-2</v>
      </c>
      <c r="CE819" s="6" t="str">
        <f>IF(Table3[[#This Row],[ShoulderLength]]="","",IF(Table3[[#This Row],[ShoulderLength]]&lt;Table3[[#This Row],[LOC]],"FIX",""))</f>
        <v/>
      </c>
    </row>
    <row r="820" spans="1:83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v>0</v>
      </c>
      <c r="BN820" s="6">
        <v>0</v>
      </c>
      <c r="BO820" s="6">
        <v>0</v>
      </c>
      <c r="BP820" s="6">
        <v>0</v>
      </c>
      <c r="BQ820" s="6">
        <v>0</v>
      </c>
      <c r="BR820" s="6">
        <v>0</v>
      </c>
      <c r="BS820" s="6">
        <v>0</v>
      </c>
      <c r="BT820" s="6">
        <v>0</v>
      </c>
      <c r="BU820" s="6">
        <v>0</v>
      </c>
      <c r="BV820" s="6">
        <v>0</v>
      </c>
      <c r="BW820" s="6">
        <v>0</v>
      </c>
      <c r="BX820" s="6">
        <v>0</v>
      </c>
      <c r="BY820" s="6">
        <v>0</v>
      </c>
      <c r="BZ820" s="6">
        <v>0</v>
      </c>
      <c r="CA820" s="6">
        <v>0</v>
      </c>
      <c r="CB820" s="6">
        <v>0</v>
      </c>
      <c r="CC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CE820" s="6" t="str">
        <f>IF(Table3[[#This Row],[ShoulderLength]]="","",IF(Table3[[#This Row],[ShoulderLength]]&lt;Table3[[#This Row],[LOC]],"FIX",""))</f>
        <v/>
      </c>
    </row>
    <row r="821" spans="1:83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v>0</v>
      </c>
      <c r="BN821" s="6">
        <v>0</v>
      </c>
      <c r="BO821" s="6">
        <v>0</v>
      </c>
      <c r="BP821" s="6">
        <v>0</v>
      </c>
      <c r="BQ821" s="6">
        <v>0</v>
      </c>
      <c r="BR821" s="6">
        <v>0</v>
      </c>
      <c r="BS821" s="6">
        <v>0</v>
      </c>
      <c r="BT821" s="6">
        <v>0</v>
      </c>
      <c r="BU821" s="6">
        <v>0</v>
      </c>
      <c r="BV821" s="6">
        <v>0</v>
      </c>
      <c r="BW821" s="6">
        <v>0</v>
      </c>
      <c r="BX821" s="6">
        <v>0</v>
      </c>
      <c r="BY821" s="6">
        <v>0</v>
      </c>
      <c r="BZ821" s="6">
        <v>0</v>
      </c>
      <c r="CA821" s="6">
        <v>0</v>
      </c>
      <c r="CB821" s="6">
        <v>0</v>
      </c>
      <c r="CC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CE821" s="6" t="str">
        <f>IF(Table3[[#This Row],[ShoulderLength]]="","",IF(Table3[[#This Row],[ShoulderLength]]&lt;Table3[[#This Row],[LOC]],"FIX",""))</f>
        <v/>
      </c>
    </row>
    <row r="822" spans="1:83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v>0</v>
      </c>
      <c r="BN822" s="6">
        <v>0</v>
      </c>
      <c r="BO822" s="6">
        <v>0</v>
      </c>
      <c r="BP822" s="6">
        <v>0</v>
      </c>
      <c r="BQ822" s="6">
        <v>0</v>
      </c>
      <c r="BR822" s="6">
        <v>0</v>
      </c>
      <c r="BS822" s="6">
        <v>0</v>
      </c>
      <c r="BT822" s="6">
        <v>0</v>
      </c>
      <c r="BU822" s="6">
        <v>0</v>
      </c>
      <c r="BV822" s="6">
        <v>0</v>
      </c>
      <c r="BW822" s="6">
        <v>0</v>
      </c>
      <c r="BX822" s="6">
        <v>0</v>
      </c>
      <c r="BY822" s="6">
        <v>0</v>
      </c>
      <c r="BZ822" s="6">
        <v>0</v>
      </c>
      <c r="CA822" s="6">
        <v>0</v>
      </c>
      <c r="CB822" s="6">
        <v>0</v>
      </c>
      <c r="CC822" s="6">
        <f>IF(Table3[[#This Row],[Type]]="EM",IF((Table3[[#This Row],[Diameter]]/2)-Table3[[#This Row],[CornerRadius]]-0.012&gt;0,(Table3[[#This Row],[Diameter]]/2)-Table3[[#This Row],[CornerRadius]]-0.012,0),)</f>
        <v>2.7E-2</v>
      </c>
      <c r="CE822" s="6" t="str">
        <f>IF(Table3[[#This Row],[ShoulderLength]]="","",IF(Table3[[#This Row],[ShoulderLength]]&lt;Table3[[#This Row],[LOC]],"FIX",""))</f>
        <v/>
      </c>
    </row>
    <row r="823" spans="1:83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v>0</v>
      </c>
      <c r="BN823" s="6">
        <v>0</v>
      </c>
      <c r="BO823" s="6">
        <v>0</v>
      </c>
      <c r="BP823" s="6">
        <v>0</v>
      </c>
      <c r="BQ823" s="6">
        <v>0</v>
      </c>
      <c r="BR823" s="6">
        <v>0</v>
      </c>
      <c r="BS823" s="6">
        <v>0</v>
      </c>
      <c r="BT823" s="6">
        <v>0</v>
      </c>
      <c r="BU823" s="6">
        <v>0</v>
      </c>
      <c r="BV823" s="6">
        <v>0</v>
      </c>
      <c r="BW823" s="6">
        <v>0</v>
      </c>
      <c r="BX823" s="6">
        <v>0</v>
      </c>
      <c r="BY823" s="6">
        <v>0</v>
      </c>
      <c r="BZ823" s="6">
        <v>0</v>
      </c>
      <c r="CA823" s="6">
        <v>0</v>
      </c>
      <c r="CB823" s="6">
        <v>0</v>
      </c>
      <c r="CC823" s="6">
        <f>IF(Table3[[#This Row],[Type]]="EM",IF((Table3[[#This Row],[Diameter]]/2)-Table3[[#This Row],[CornerRadius]]-0.012&gt;0,(Table3[[#This Row],[Diameter]]/2)-Table3[[#This Row],[CornerRadius]]-0.012,0),)</f>
        <v>2.7E-2</v>
      </c>
      <c r="CE823" s="6" t="str">
        <f>IF(Table3[[#This Row],[ShoulderLength]]="","",IF(Table3[[#This Row],[ShoulderLength]]&lt;Table3[[#This Row],[LOC]],"FIX",""))</f>
        <v/>
      </c>
    </row>
    <row r="824" spans="1:83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v>0</v>
      </c>
      <c r="BN824" s="6">
        <v>0</v>
      </c>
      <c r="BO824" s="6">
        <v>0</v>
      </c>
      <c r="BP824" s="6">
        <v>0</v>
      </c>
      <c r="BQ824" s="6">
        <v>0</v>
      </c>
      <c r="BR824" s="6">
        <v>0</v>
      </c>
      <c r="BS824" s="6">
        <v>0</v>
      </c>
      <c r="BT824" s="6">
        <v>0</v>
      </c>
      <c r="BU824" s="6">
        <v>0</v>
      </c>
      <c r="BV824" s="6">
        <v>0</v>
      </c>
      <c r="BW824" s="6">
        <v>0</v>
      </c>
      <c r="BX824" s="6">
        <v>0</v>
      </c>
      <c r="BY824" s="6">
        <v>0</v>
      </c>
      <c r="BZ824" s="6">
        <v>0</v>
      </c>
      <c r="CA824" s="6">
        <v>0</v>
      </c>
      <c r="CB824" s="6">
        <v>0</v>
      </c>
      <c r="CC824" s="6">
        <f>IF(Table3[[#This Row],[Type]]="EM",IF((Table3[[#This Row],[Diameter]]/2)-Table3[[#This Row],[CornerRadius]]-0.012&gt;0,(Table3[[#This Row],[Diameter]]/2)-Table3[[#This Row],[CornerRadius]]-0.012,0),)</f>
        <v>2.7E-2</v>
      </c>
      <c r="CE824" s="6" t="str">
        <f>IF(Table3[[#This Row],[ShoulderLength]]="","",IF(Table3[[#This Row],[ShoulderLength]]&lt;Table3[[#This Row],[LOC]],"FIX",""))</f>
        <v/>
      </c>
    </row>
    <row r="825" spans="1:83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v>0</v>
      </c>
      <c r="BN825" s="6">
        <v>0</v>
      </c>
      <c r="BO825" s="6">
        <v>0</v>
      </c>
      <c r="BP825" s="6">
        <v>0</v>
      </c>
      <c r="BQ825" s="6">
        <v>0</v>
      </c>
      <c r="BR825" s="6">
        <v>0</v>
      </c>
      <c r="BS825" s="6">
        <v>0</v>
      </c>
      <c r="BT825" s="6">
        <v>0</v>
      </c>
      <c r="BU825" s="6">
        <v>0</v>
      </c>
      <c r="BV825" s="6">
        <v>0</v>
      </c>
      <c r="BW825" s="6">
        <v>0</v>
      </c>
      <c r="BX825" s="6">
        <v>0</v>
      </c>
      <c r="BY825" s="6">
        <v>0</v>
      </c>
      <c r="BZ825" s="6">
        <v>0</v>
      </c>
      <c r="CA825" s="6">
        <v>0</v>
      </c>
      <c r="CB825" s="6">
        <v>0</v>
      </c>
      <c r="CC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5" s="6" t="str">
        <f>IF(Table3[[#This Row],[ShoulderLength]]="","",IF(Table3[[#This Row],[ShoulderLength]]&lt;Table3[[#This Row],[LOC]],"FIX",""))</f>
        <v/>
      </c>
    </row>
    <row r="826" spans="1:83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v>0</v>
      </c>
      <c r="BN826" s="6">
        <v>0</v>
      </c>
      <c r="BO826" s="6">
        <v>0</v>
      </c>
      <c r="BP826" s="6">
        <v>0</v>
      </c>
      <c r="BQ826" s="6">
        <v>0</v>
      </c>
      <c r="BR826" s="6">
        <v>0</v>
      </c>
      <c r="BS826" s="6">
        <v>0</v>
      </c>
      <c r="BT826" s="6">
        <v>0</v>
      </c>
      <c r="BU826" s="6">
        <v>0</v>
      </c>
      <c r="BV826" s="6">
        <v>0</v>
      </c>
      <c r="BW826" s="6">
        <v>0</v>
      </c>
      <c r="BX826" s="6">
        <v>0</v>
      </c>
      <c r="BY826" s="6">
        <v>0</v>
      </c>
      <c r="BZ826" s="6">
        <v>0</v>
      </c>
      <c r="CA826" s="6">
        <v>0</v>
      </c>
      <c r="CB826" s="6">
        <v>0</v>
      </c>
      <c r="CC826" s="6">
        <f>IF(Table3[[#This Row],[Type]]="EM",IF((Table3[[#This Row],[Diameter]]/2)-Table3[[#This Row],[CornerRadius]]-0.012&gt;0,(Table3[[#This Row],[Diameter]]/2)-Table3[[#This Row],[CornerRadius]]-0.012,0),)</f>
        <v>0</v>
      </c>
      <c r="CE826" s="6" t="str">
        <f>IF(Table3[[#This Row],[ShoulderLength]]="","",IF(Table3[[#This Row],[ShoulderLength]]&lt;Table3[[#This Row],[LOC]],"FIX",""))</f>
        <v/>
      </c>
    </row>
    <row r="827" spans="1:83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v>0</v>
      </c>
      <c r="BN827" s="6">
        <v>0</v>
      </c>
      <c r="BO827" s="6">
        <v>0</v>
      </c>
      <c r="BP827" s="6">
        <v>0</v>
      </c>
      <c r="BQ827" s="6">
        <v>0</v>
      </c>
      <c r="BR827" s="6">
        <v>0</v>
      </c>
      <c r="BS827" s="6">
        <v>0</v>
      </c>
      <c r="BT827" s="6">
        <v>0</v>
      </c>
      <c r="BU827" s="6">
        <v>0</v>
      </c>
      <c r="BV827" s="6">
        <v>0</v>
      </c>
      <c r="BW827" s="6">
        <v>0</v>
      </c>
      <c r="BX827" s="6">
        <v>0</v>
      </c>
      <c r="BY827" s="6">
        <v>0</v>
      </c>
      <c r="BZ827" s="6">
        <v>0</v>
      </c>
      <c r="CA827" s="6">
        <v>0</v>
      </c>
      <c r="CB827" s="6">
        <v>0</v>
      </c>
      <c r="CC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7" s="6" t="str">
        <f>IF(Table3[[#This Row],[ShoulderLength]]="","",IF(Table3[[#This Row],[ShoulderLength]]&lt;Table3[[#This Row],[LOC]],"FIX",""))</f>
        <v/>
      </c>
    </row>
    <row r="828" spans="1:83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v>0</v>
      </c>
      <c r="BN828" s="6">
        <v>0</v>
      </c>
      <c r="BO828" s="6">
        <v>0</v>
      </c>
      <c r="BP828" s="6">
        <v>0</v>
      </c>
      <c r="BQ828" s="6">
        <v>0</v>
      </c>
      <c r="BR828" s="6">
        <v>0</v>
      </c>
      <c r="BS828" s="6">
        <v>0</v>
      </c>
      <c r="BT828" s="6">
        <v>0</v>
      </c>
      <c r="BU828" s="6">
        <v>0</v>
      </c>
      <c r="BV828" s="6">
        <v>0</v>
      </c>
      <c r="BW828" s="6">
        <v>0</v>
      </c>
      <c r="BX828" s="6">
        <v>0</v>
      </c>
      <c r="BY828" s="6">
        <v>0</v>
      </c>
      <c r="BZ828" s="6">
        <v>0</v>
      </c>
      <c r="CA828" s="6">
        <v>0</v>
      </c>
      <c r="CB828" s="6">
        <v>0</v>
      </c>
      <c r="CC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8" s="6" t="str">
        <f>IF(Table3[[#This Row],[ShoulderLength]]="","",IF(Table3[[#This Row],[ShoulderLength]]&lt;Table3[[#This Row],[LOC]],"FIX",""))</f>
        <v/>
      </c>
    </row>
    <row r="829" spans="1:83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v>0</v>
      </c>
      <c r="BN829" s="6">
        <v>0</v>
      </c>
      <c r="BO829" s="6">
        <v>0</v>
      </c>
      <c r="BP829" s="6">
        <v>0</v>
      </c>
      <c r="BQ829" s="6">
        <v>0</v>
      </c>
      <c r="BR829" s="6">
        <v>0</v>
      </c>
      <c r="BS829" s="6">
        <v>0</v>
      </c>
      <c r="BT829" s="6">
        <v>0</v>
      </c>
      <c r="BU829" s="6">
        <v>0</v>
      </c>
      <c r="BV829" s="6">
        <v>0</v>
      </c>
      <c r="BW829" s="6">
        <v>0</v>
      </c>
      <c r="BX829" s="6">
        <v>0</v>
      </c>
      <c r="BY829" s="6">
        <v>0</v>
      </c>
      <c r="BZ829" s="6">
        <v>0</v>
      </c>
      <c r="CA829" s="6">
        <v>0</v>
      </c>
      <c r="CB829" s="6">
        <v>0</v>
      </c>
      <c r="CC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9" s="6" t="str">
        <f>IF(Table3[[#This Row],[ShoulderLength]]="","",IF(Table3[[#This Row],[ShoulderLength]]&lt;Table3[[#This Row],[LOC]],"FIX",""))</f>
        <v/>
      </c>
    </row>
    <row r="830" spans="1:83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v>0</v>
      </c>
      <c r="BN830" s="6">
        <v>0</v>
      </c>
      <c r="BO830" s="6">
        <v>0</v>
      </c>
      <c r="BP830" s="6">
        <v>0</v>
      </c>
      <c r="BQ830" s="6">
        <v>0</v>
      </c>
      <c r="BR830" s="6">
        <v>0</v>
      </c>
      <c r="BS830" s="6">
        <v>0</v>
      </c>
      <c r="BT830" s="6">
        <v>0</v>
      </c>
      <c r="BU830" s="6">
        <v>0</v>
      </c>
      <c r="BV830" s="6">
        <v>0</v>
      </c>
      <c r="BW830" s="6">
        <v>0</v>
      </c>
      <c r="BX830" s="6">
        <v>0</v>
      </c>
      <c r="BY830" s="6">
        <v>0</v>
      </c>
      <c r="BZ830" s="6">
        <v>0</v>
      </c>
      <c r="CA830" s="6">
        <v>0</v>
      </c>
      <c r="CB830" s="6">
        <v>0</v>
      </c>
      <c r="CC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30" s="6" t="str">
        <f>IF(Table3[[#This Row],[ShoulderLength]]="","",IF(Table3[[#This Row],[ShoulderLength]]&lt;Table3[[#This Row],[LOC]],"FIX",""))</f>
        <v/>
      </c>
    </row>
    <row r="831" spans="1:83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v>0</v>
      </c>
      <c r="BN831" s="6">
        <v>0</v>
      </c>
      <c r="BO831" s="6">
        <v>0</v>
      </c>
      <c r="BP831" s="6">
        <v>0</v>
      </c>
      <c r="BQ831" s="6">
        <v>0</v>
      </c>
      <c r="BR831" s="6">
        <v>0</v>
      </c>
      <c r="BS831" s="6">
        <v>0</v>
      </c>
      <c r="BT831" s="6">
        <v>0</v>
      </c>
      <c r="BU831" s="6">
        <v>0</v>
      </c>
      <c r="BV831" s="6">
        <v>0</v>
      </c>
      <c r="BW831" s="6">
        <v>0</v>
      </c>
      <c r="BX831" s="6">
        <v>0</v>
      </c>
      <c r="BY831" s="6">
        <v>0</v>
      </c>
      <c r="BZ831" s="6">
        <v>0</v>
      </c>
      <c r="CA831" s="6">
        <v>0</v>
      </c>
      <c r="CB831" s="6">
        <v>0</v>
      </c>
      <c r="CC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1" s="6" t="str">
        <f>IF(Table3[[#This Row],[ShoulderLength]]="","",IF(Table3[[#This Row],[ShoulderLength]]&lt;Table3[[#This Row],[LOC]],"FIX",""))</f>
        <v/>
      </c>
    </row>
    <row r="832" spans="1:83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v>0</v>
      </c>
      <c r="BN832" s="6">
        <v>0</v>
      </c>
      <c r="BO832" s="6">
        <v>0</v>
      </c>
      <c r="BP832" s="6">
        <v>0</v>
      </c>
      <c r="BQ832" s="6">
        <v>0</v>
      </c>
      <c r="BR832" s="6">
        <v>0</v>
      </c>
      <c r="BS832" s="6">
        <v>0</v>
      </c>
      <c r="BT832" s="6">
        <v>0</v>
      </c>
      <c r="BU832" s="6">
        <v>0</v>
      </c>
      <c r="BV832" s="6">
        <v>0</v>
      </c>
      <c r="BW832" s="6">
        <v>0</v>
      </c>
      <c r="BX832" s="6">
        <v>0</v>
      </c>
      <c r="BY832" s="6">
        <v>0</v>
      </c>
      <c r="BZ832" s="6">
        <v>0</v>
      </c>
      <c r="CA832" s="6">
        <v>0</v>
      </c>
      <c r="CB832" s="6">
        <v>0</v>
      </c>
      <c r="CC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2" s="6" t="str">
        <f>IF(Table3[[#This Row],[ShoulderLength]]="","",IF(Table3[[#This Row],[ShoulderLength]]&lt;Table3[[#This Row],[LOC]],"FIX",""))</f>
        <v/>
      </c>
    </row>
    <row r="833" spans="1:83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v>0</v>
      </c>
      <c r="BN833" s="6">
        <v>0</v>
      </c>
      <c r="BO833" s="6">
        <v>0</v>
      </c>
      <c r="BP833" s="6">
        <v>0</v>
      </c>
      <c r="BQ833" s="6">
        <v>0</v>
      </c>
      <c r="BR833" s="6">
        <v>0</v>
      </c>
      <c r="BS833" s="6">
        <v>0</v>
      </c>
      <c r="BT833" s="6">
        <v>0</v>
      </c>
      <c r="BU833" s="6">
        <v>0</v>
      </c>
      <c r="BV833" s="6">
        <v>0</v>
      </c>
      <c r="BW833" s="6">
        <v>0</v>
      </c>
      <c r="BX833" s="6">
        <v>0</v>
      </c>
      <c r="BY833" s="6">
        <v>0</v>
      </c>
      <c r="BZ833" s="6">
        <v>0</v>
      </c>
      <c r="CA833" s="6">
        <v>0</v>
      </c>
      <c r="CB833" s="6">
        <v>0</v>
      </c>
      <c r="CC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3" s="6" t="str">
        <f>IF(Table3[[#This Row],[ShoulderLength]]="","",IF(Table3[[#This Row],[ShoulderLength]]&lt;Table3[[#This Row],[LOC]],"FIX",""))</f>
        <v/>
      </c>
    </row>
    <row r="834" spans="1:83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v>0</v>
      </c>
      <c r="BN834" s="6">
        <v>0</v>
      </c>
      <c r="BO834" s="6">
        <v>0</v>
      </c>
      <c r="BP834" s="6">
        <v>0</v>
      </c>
      <c r="BQ834" s="6">
        <v>0</v>
      </c>
      <c r="BR834" s="6">
        <v>0</v>
      </c>
      <c r="BS834" s="6">
        <v>0</v>
      </c>
      <c r="BT834" s="6">
        <v>0</v>
      </c>
      <c r="BU834" s="6">
        <v>0</v>
      </c>
      <c r="BV834" s="6">
        <v>0</v>
      </c>
      <c r="BW834" s="6">
        <v>0</v>
      </c>
      <c r="BX834" s="6">
        <v>0</v>
      </c>
      <c r="BY834" s="6">
        <v>0</v>
      </c>
      <c r="BZ834" s="6">
        <v>0</v>
      </c>
      <c r="CA834" s="6">
        <v>0</v>
      </c>
      <c r="CB834" s="6">
        <v>0</v>
      </c>
      <c r="CC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4" s="6" t="str">
        <f>IF(Table3[[#This Row],[ShoulderLength]]="","",IF(Table3[[#This Row],[ShoulderLength]]&lt;Table3[[#This Row],[LOC]],"FIX",""))</f>
        <v/>
      </c>
    </row>
    <row r="835" spans="1:83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v>0</v>
      </c>
      <c r="BN835" s="6">
        <v>0</v>
      </c>
      <c r="BO835" s="6">
        <v>0</v>
      </c>
      <c r="BP835" s="6">
        <v>0</v>
      </c>
      <c r="BQ835" s="6">
        <v>0</v>
      </c>
      <c r="BR835" s="6">
        <v>0</v>
      </c>
      <c r="BS835" s="6">
        <v>0</v>
      </c>
      <c r="BT835" s="6">
        <v>0</v>
      </c>
      <c r="BU835" s="6">
        <v>0</v>
      </c>
      <c r="BV835" s="6">
        <v>0</v>
      </c>
      <c r="BW835" s="6">
        <v>0</v>
      </c>
      <c r="BX835" s="6">
        <v>0</v>
      </c>
      <c r="BY835" s="6">
        <v>0</v>
      </c>
      <c r="BZ835" s="6">
        <v>0</v>
      </c>
      <c r="CA835" s="6">
        <v>0</v>
      </c>
      <c r="CB835" s="6">
        <v>0</v>
      </c>
      <c r="CC835" s="6">
        <f>IF(Table3[[#This Row],[Type]]="EM",IF((Table3[[#This Row],[Diameter]]/2)-Table3[[#This Row],[CornerRadius]]-0.012&gt;0,(Table3[[#This Row],[Diameter]]/2)-Table3[[#This Row],[CornerRadius]]-0.012,0),)</f>
        <v>3.49E-2</v>
      </c>
      <c r="CE835" s="6" t="str">
        <f>IF(Table3[[#This Row],[ShoulderLength]]="","",IF(Table3[[#This Row],[ShoulderLength]]&lt;Table3[[#This Row],[LOC]],"FIX",""))</f>
        <v/>
      </c>
    </row>
    <row r="836" spans="1:83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v>0</v>
      </c>
      <c r="BN836" s="6">
        <v>0</v>
      </c>
      <c r="BO836" s="6">
        <v>0</v>
      </c>
      <c r="BP836" s="6">
        <v>0</v>
      </c>
      <c r="BQ836" s="6">
        <v>0</v>
      </c>
      <c r="BR836" s="6">
        <v>0</v>
      </c>
      <c r="BS836" s="6">
        <v>0</v>
      </c>
      <c r="BT836" s="6">
        <v>0</v>
      </c>
      <c r="BU836" s="6">
        <v>0</v>
      </c>
      <c r="BV836" s="6">
        <v>0</v>
      </c>
      <c r="BW836" s="6">
        <v>0</v>
      </c>
      <c r="BX836" s="6">
        <v>0</v>
      </c>
      <c r="BY836" s="6">
        <v>0</v>
      </c>
      <c r="BZ836" s="6">
        <v>0</v>
      </c>
      <c r="CA836" s="6">
        <v>0</v>
      </c>
      <c r="CB836" s="6">
        <v>0</v>
      </c>
      <c r="CC836" s="6">
        <f>IF(Table3[[#This Row],[Type]]="EM",IF((Table3[[#This Row],[Diameter]]/2)-Table3[[#This Row],[CornerRadius]]-0.012&gt;0,(Table3[[#This Row],[Diameter]]/2)-Table3[[#This Row],[CornerRadius]]-0.012,0),)</f>
        <v>3.49E-2</v>
      </c>
      <c r="CE836" s="6" t="str">
        <f>IF(Table3[[#This Row],[ShoulderLength]]="","",IF(Table3[[#This Row],[ShoulderLength]]&lt;Table3[[#This Row],[LOC]],"FIX",""))</f>
        <v/>
      </c>
    </row>
    <row r="837" spans="1:83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v>0</v>
      </c>
      <c r="BN837" s="6">
        <v>0</v>
      </c>
      <c r="BO837" s="6">
        <v>0</v>
      </c>
      <c r="BP837" s="6">
        <v>0</v>
      </c>
      <c r="BQ837" s="6">
        <v>0</v>
      </c>
      <c r="BR837" s="6">
        <v>0</v>
      </c>
      <c r="BS837" s="6">
        <v>0</v>
      </c>
      <c r="BT837" s="6">
        <v>0</v>
      </c>
      <c r="BU837" s="6">
        <v>0</v>
      </c>
      <c r="BV837" s="6">
        <v>0</v>
      </c>
      <c r="BW837" s="6">
        <v>0</v>
      </c>
      <c r="BX837" s="6">
        <v>0</v>
      </c>
      <c r="BY837" s="6">
        <v>0</v>
      </c>
      <c r="BZ837" s="6">
        <v>0</v>
      </c>
      <c r="CA837" s="6">
        <v>0</v>
      </c>
      <c r="CB837" s="6">
        <v>0</v>
      </c>
      <c r="CC837" s="6">
        <f>IF(Table3[[#This Row],[Type]]="EM",IF((Table3[[#This Row],[Diameter]]/2)-Table3[[#This Row],[CornerRadius]]-0.012&gt;0,(Table3[[#This Row],[Diameter]]/2)-Table3[[#This Row],[CornerRadius]]-0.012,0),)</f>
        <v>3.49E-2</v>
      </c>
      <c r="CE837" s="6" t="str">
        <f>IF(Table3[[#This Row],[ShoulderLength]]="","",IF(Table3[[#This Row],[ShoulderLength]]&lt;Table3[[#This Row],[LOC]],"FIX",""))</f>
        <v/>
      </c>
    </row>
    <row r="838" spans="1:83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v>0</v>
      </c>
      <c r="BN838" s="6">
        <v>0</v>
      </c>
      <c r="BO838" s="6">
        <v>0</v>
      </c>
      <c r="BP838" s="6">
        <v>0</v>
      </c>
      <c r="BQ838" s="6">
        <v>0</v>
      </c>
      <c r="BR838" s="6">
        <v>0</v>
      </c>
      <c r="BS838" s="6">
        <v>0</v>
      </c>
      <c r="BT838" s="6">
        <v>0</v>
      </c>
      <c r="BU838" s="6">
        <v>0</v>
      </c>
      <c r="BV838" s="6">
        <v>0</v>
      </c>
      <c r="BW838" s="6">
        <v>0</v>
      </c>
      <c r="BX838" s="6">
        <v>0</v>
      </c>
      <c r="BY838" s="6">
        <v>0</v>
      </c>
      <c r="BZ838" s="6">
        <v>0</v>
      </c>
      <c r="CA838" s="6">
        <v>0</v>
      </c>
      <c r="CB838" s="6">
        <v>0</v>
      </c>
      <c r="CC838" s="6">
        <f>IF(Table3[[#This Row],[Type]]="EM",IF((Table3[[#This Row],[Diameter]]/2)-Table3[[#This Row],[CornerRadius]]-0.012&gt;0,(Table3[[#This Row],[Diameter]]/2)-Table3[[#This Row],[CornerRadius]]-0.012,0),)</f>
        <v>3.49E-2</v>
      </c>
      <c r="CE838" s="6" t="str">
        <f>IF(Table3[[#This Row],[ShoulderLength]]="","",IF(Table3[[#This Row],[ShoulderLength]]&lt;Table3[[#This Row],[LOC]],"FIX",""))</f>
        <v/>
      </c>
    </row>
    <row r="839" spans="1:83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v>0</v>
      </c>
      <c r="BN839" s="6">
        <v>0</v>
      </c>
      <c r="BO839" s="6">
        <v>0</v>
      </c>
      <c r="BP839" s="6">
        <v>0</v>
      </c>
      <c r="BQ839" s="6">
        <v>0</v>
      </c>
      <c r="BR839" s="6">
        <v>0</v>
      </c>
      <c r="BS839" s="6">
        <v>0</v>
      </c>
      <c r="BT839" s="6">
        <v>0</v>
      </c>
      <c r="BU839" s="6">
        <v>0</v>
      </c>
      <c r="BV839" s="6">
        <v>0</v>
      </c>
      <c r="BW839" s="6">
        <v>0</v>
      </c>
      <c r="BX839" s="6">
        <v>0</v>
      </c>
      <c r="BY839" s="6">
        <v>0</v>
      </c>
      <c r="BZ839" s="6">
        <v>0</v>
      </c>
      <c r="CA839" s="6">
        <v>0</v>
      </c>
      <c r="CB839" s="6">
        <v>0</v>
      </c>
      <c r="CC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39" s="6" t="str">
        <f>IF(Table3[[#This Row],[ShoulderLength]]="","",IF(Table3[[#This Row],[ShoulderLength]]&lt;Table3[[#This Row],[LOC]],"FIX",""))</f>
        <v/>
      </c>
    </row>
    <row r="840" spans="1:83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v>0</v>
      </c>
      <c r="BN840" s="6">
        <v>0</v>
      </c>
      <c r="BO840" s="6">
        <v>0</v>
      </c>
      <c r="BP840" s="6">
        <v>0</v>
      </c>
      <c r="BQ840" s="6">
        <v>0</v>
      </c>
      <c r="BR840" s="6">
        <v>0</v>
      </c>
      <c r="BS840" s="6">
        <v>0</v>
      </c>
      <c r="BT840" s="6">
        <v>0</v>
      </c>
      <c r="BU840" s="6">
        <v>0</v>
      </c>
      <c r="BV840" s="6">
        <v>0</v>
      </c>
      <c r="BW840" s="6">
        <v>0</v>
      </c>
      <c r="BX840" s="6">
        <v>0</v>
      </c>
      <c r="BY840" s="6">
        <v>0</v>
      </c>
      <c r="BZ840" s="6">
        <v>0</v>
      </c>
      <c r="CA840" s="6">
        <v>0</v>
      </c>
      <c r="CB840" s="6">
        <v>0</v>
      </c>
      <c r="CC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40" s="6" t="str">
        <f>IF(Table3[[#This Row],[ShoulderLength]]="","",IF(Table3[[#This Row],[ShoulderLength]]&lt;Table3[[#This Row],[LOC]],"FIX",""))</f>
        <v/>
      </c>
    </row>
    <row r="841" spans="1:83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v>0</v>
      </c>
      <c r="BN841" s="6">
        <v>0</v>
      </c>
      <c r="BO841" s="6">
        <v>0</v>
      </c>
      <c r="BP841" s="6">
        <v>0</v>
      </c>
      <c r="BQ841" s="6">
        <v>0</v>
      </c>
      <c r="BR841" s="6">
        <v>0</v>
      </c>
      <c r="BS841" s="6">
        <v>0</v>
      </c>
      <c r="BT841" s="6">
        <v>0</v>
      </c>
      <c r="BU841" s="6">
        <v>0</v>
      </c>
      <c r="BV841" s="6">
        <v>0</v>
      </c>
      <c r="BW841" s="6">
        <v>0</v>
      </c>
      <c r="BX841" s="6">
        <v>0</v>
      </c>
      <c r="BY841" s="6">
        <v>0</v>
      </c>
      <c r="BZ841" s="6">
        <v>0</v>
      </c>
      <c r="CA841" s="6">
        <v>0</v>
      </c>
      <c r="CB841" s="6">
        <v>0</v>
      </c>
      <c r="CC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41" s="6" t="str">
        <f>IF(Table3[[#This Row],[ShoulderLength]]="","",IF(Table3[[#This Row],[ShoulderLength]]&lt;Table3[[#This Row],[LOC]],"FIX",""))</f>
        <v/>
      </c>
    </row>
    <row r="842" spans="1:83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v>0</v>
      </c>
      <c r="BN842" s="6">
        <v>0</v>
      </c>
      <c r="BO842" s="6">
        <v>0</v>
      </c>
      <c r="BP842" s="6">
        <v>0</v>
      </c>
      <c r="BQ842" s="6">
        <v>0</v>
      </c>
      <c r="BR842" s="6">
        <v>0</v>
      </c>
      <c r="BS842" s="6">
        <v>0</v>
      </c>
      <c r="BT842" s="6">
        <v>0</v>
      </c>
      <c r="BU842" s="6">
        <v>0</v>
      </c>
      <c r="BV842" s="6">
        <v>0</v>
      </c>
      <c r="BW842" s="6">
        <v>0</v>
      </c>
      <c r="BX842" s="6">
        <v>0</v>
      </c>
      <c r="BY842" s="6">
        <v>0</v>
      </c>
      <c r="BZ842" s="6">
        <v>0</v>
      </c>
      <c r="CA842" s="6">
        <v>0</v>
      </c>
      <c r="CB842" s="6">
        <v>0</v>
      </c>
      <c r="CC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CE842" s="6" t="str">
        <f>IF(Table3[[#This Row],[ShoulderLength]]="","",IF(Table3[[#This Row],[ShoulderLength]]&lt;Table3[[#This Row],[LOC]],"FIX",""))</f>
        <v/>
      </c>
    </row>
    <row r="843" spans="1:83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v>0</v>
      </c>
      <c r="BN843" s="6">
        <v>0</v>
      </c>
      <c r="BO843" s="6">
        <v>0</v>
      </c>
      <c r="BP843" s="6">
        <v>0</v>
      </c>
      <c r="BQ843" s="6">
        <v>0</v>
      </c>
      <c r="BR843" s="6">
        <v>0</v>
      </c>
      <c r="BS843" s="6">
        <v>0</v>
      </c>
      <c r="BT843" s="6">
        <v>0</v>
      </c>
      <c r="BU843" s="6">
        <v>0</v>
      </c>
      <c r="BV843" s="6">
        <v>0</v>
      </c>
      <c r="BW843" s="6">
        <v>0</v>
      </c>
      <c r="BX843" s="6">
        <v>0</v>
      </c>
      <c r="BY843" s="6">
        <v>0</v>
      </c>
      <c r="BZ843" s="6">
        <v>0</v>
      </c>
      <c r="CA843" s="6">
        <v>0</v>
      </c>
      <c r="CB843" s="6">
        <v>0</v>
      </c>
      <c r="CC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3" s="6" t="str">
        <f>IF(Table3[[#This Row],[ShoulderLength]]="","",IF(Table3[[#This Row],[ShoulderLength]]&lt;Table3[[#This Row],[LOC]],"FIX",""))</f>
        <v/>
      </c>
    </row>
    <row r="844" spans="1:83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v>0</v>
      </c>
      <c r="BN844" s="6">
        <v>0</v>
      </c>
      <c r="BO844" s="6">
        <v>0</v>
      </c>
      <c r="BP844" s="6">
        <v>0</v>
      </c>
      <c r="BQ844" s="6">
        <v>0</v>
      </c>
      <c r="BR844" s="6">
        <v>0</v>
      </c>
      <c r="BS844" s="6">
        <v>0</v>
      </c>
      <c r="BT844" s="6">
        <v>0</v>
      </c>
      <c r="BU844" s="6">
        <v>0</v>
      </c>
      <c r="BV844" s="6">
        <v>0</v>
      </c>
      <c r="BW844" s="6">
        <v>0</v>
      </c>
      <c r="BX844" s="6">
        <v>0</v>
      </c>
      <c r="BY844" s="6">
        <v>0</v>
      </c>
      <c r="BZ844" s="6">
        <v>0</v>
      </c>
      <c r="CA844" s="6">
        <v>0</v>
      </c>
      <c r="CB844" s="6">
        <v>0</v>
      </c>
      <c r="CC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4" s="6" t="str">
        <f>IF(Table3[[#This Row],[ShoulderLength]]="","",IF(Table3[[#This Row],[ShoulderLength]]&lt;Table3[[#This Row],[LOC]],"FIX",""))</f>
        <v/>
      </c>
    </row>
    <row r="845" spans="1:83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v>0</v>
      </c>
      <c r="BN845" s="6">
        <v>0</v>
      </c>
      <c r="BO845" s="6">
        <v>0</v>
      </c>
      <c r="BP845" s="6">
        <v>0</v>
      </c>
      <c r="BQ845" s="6">
        <v>0</v>
      </c>
      <c r="BR845" s="6">
        <v>0</v>
      </c>
      <c r="BS845" s="6">
        <v>0</v>
      </c>
      <c r="BT845" s="6">
        <v>0</v>
      </c>
      <c r="BU845" s="6">
        <v>0</v>
      </c>
      <c r="BV845" s="6">
        <v>0</v>
      </c>
      <c r="BW845" s="6">
        <v>0</v>
      </c>
      <c r="BX845" s="6">
        <v>0</v>
      </c>
      <c r="BY845" s="6">
        <v>0</v>
      </c>
      <c r="BZ845" s="6">
        <v>0</v>
      </c>
      <c r="CA845" s="6">
        <v>0</v>
      </c>
      <c r="CB845" s="6">
        <v>0</v>
      </c>
      <c r="CC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5" s="6" t="str">
        <f>IF(Table3[[#This Row],[ShoulderLength]]="","",IF(Table3[[#This Row],[ShoulderLength]]&lt;Table3[[#This Row],[LOC]],"FIX",""))</f>
        <v/>
      </c>
    </row>
    <row r="846" spans="1:83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v>0</v>
      </c>
      <c r="BN846" s="6">
        <v>0</v>
      </c>
      <c r="BO846" s="6">
        <v>0</v>
      </c>
      <c r="BP846" s="6">
        <v>0</v>
      </c>
      <c r="BQ846" s="6">
        <v>0</v>
      </c>
      <c r="BR846" s="6">
        <v>0</v>
      </c>
      <c r="BS846" s="6">
        <v>0</v>
      </c>
      <c r="BT846" s="6">
        <v>0</v>
      </c>
      <c r="BU846" s="6">
        <v>0</v>
      </c>
      <c r="BV846" s="6">
        <v>0</v>
      </c>
      <c r="BW846" s="6">
        <v>0</v>
      </c>
      <c r="BX846" s="6">
        <v>0</v>
      </c>
      <c r="BY846" s="6">
        <v>0</v>
      </c>
      <c r="BZ846" s="6">
        <v>0</v>
      </c>
      <c r="CA846" s="6">
        <v>0</v>
      </c>
      <c r="CB846" s="6">
        <v>0</v>
      </c>
      <c r="CC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6" s="6" t="str">
        <f>IF(Table3[[#This Row],[ShoulderLength]]="","",IF(Table3[[#This Row],[ShoulderLength]]&lt;Table3[[#This Row],[LOC]],"FIX",""))</f>
        <v/>
      </c>
    </row>
    <row r="847" spans="1:83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v>0</v>
      </c>
      <c r="BN847" s="6">
        <v>0</v>
      </c>
      <c r="BO847" s="6">
        <v>0</v>
      </c>
      <c r="BP847" s="6">
        <v>0</v>
      </c>
      <c r="BQ847" s="6">
        <v>0</v>
      </c>
      <c r="BR847" s="6">
        <v>0</v>
      </c>
      <c r="BS847" s="6">
        <v>0</v>
      </c>
      <c r="BT847" s="6">
        <v>0</v>
      </c>
      <c r="BU847" s="6">
        <v>0</v>
      </c>
      <c r="BV847" s="6">
        <v>0</v>
      </c>
      <c r="BW847" s="6">
        <v>0</v>
      </c>
      <c r="BX847" s="6">
        <v>0</v>
      </c>
      <c r="BY847" s="6">
        <v>0</v>
      </c>
      <c r="BZ847" s="6">
        <v>0</v>
      </c>
      <c r="CA847" s="6">
        <v>0</v>
      </c>
      <c r="CB847" s="6">
        <v>0</v>
      </c>
      <c r="CC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7" s="6" t="str">
        <f>IF(Table3[[#This Row],[ShoulderLength]]="","",IF(Table3[[#This Row],[ShoulderLength]]&lt;Table3[[#This Row],[LOC]],"FIX",""))</f>
        <v/>
      </c>
    </row>
    <row r="848" spans="1:83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v>0</v>
      </c>
      <c r="BN848" s="6">
        <v>0</v>
      </c>
      <c r="BO848" s="6">
        <v>0</v>
      </c>
      <c r="BP848" s="6">
        <v>0</v>
      </c>
      <c r="BQ848" s="6">
        <v>0</v>
      </c>
      <c r="BR848" s="6">
        <v>0</v>
      </c>
      <c r="BS848" s="6">
        <v>0</v>
      </c>
      <c r="BT848" s="6">
        <v>0</v>
      </c>
      <c r="BU848" s="6">
        <v>0</v>
      </c>
      <c r="BV848" s="6">
        <v>0</v>
      </c>
      <c r="BW848" s="6">
        <v>0</v>
      </c>
      <c r="BX848" s="6">
        <v>0</v>
      </c>
      <c r="BY848" s="6">
        <v>0</v>
      </c>
      <c r="BZ848" s="6">
        <v>0</v>
      </c>
      <c r="CA848" s="6">
        <v>0</v>
      </c>
      <c r="CB848" s="6">
        <v>0</v>
      </c>
      <c r="CC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8" s="6" t="str">
        <f>IF(Table3[[#This Row],[ShoulderLength]]="","",IF(Table3[[#This Row],[ShoulderLength]]&lt;Table3[[#This Row],[LOC]],"FIX",""))</f>
        <v/>
      </c>
    </row>
    <row r="849" spans="1:83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v>0</v>
      </c>
      <c r="BN849" s="6">
        <v>0</v>
      </c>
      <c r="BO849" s="6">
        <v>0</v>
      </c>
      <c r="BP849" s="6">
        <v>0</v>
      </c>
      <c r="BQ849" s="6">
        <v>0</v>
      </c>
      <c r="BR849" s="6">
        <v>0</v>
      </c>
      <c r="BS849" s="6">
        <v>0</v>
      </c>
      <c r="BT849" s="6">
        <v>0</v>
      </c>
      <c r="BU849" s="6">
        <v>0</v>
      </c>
      <c r="BV849" s="6">
        <v>0</v>
      </c>
      <c r="BW849" s="6">
        <v>0</v>
      </c>
      <c r="BX849" s="6">
        <v>0</v>
      </c>
      <c r="BY849" s="6">
        <v>0</v>
      </c>
      <c r="BZ849" s="6">
        <v>0</v>
      </c>
      <c r="CA849" s="6">
        <v>0</v>
      </c>
      <c r="CB849" s="6">
        <v>0</v>
      </c>
      <c r="CC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9" s="6" t="str">
        <f>IF(Table3[[#This Row],[ShoulderLength]]="","",IF(Table3[[#This Row],[ShoulderLength]]&lt;Table3[[#This Row],[LOC]],"FIX",""))</f>
        <v/>
      </c>
    </row>
    <row r="850" spans="1:83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v>0</v>
      </c>
      <c r="BN850" s="6">
        <v>0</v>
      </c>
      <c r="BO850" s="6">
        <v>0</v>
      </c>
      <c r="BP850" s="6">
        <v>0</v>
      </c>
      <c r="BQ850" s="6">
        <v>0</v>
      </c>
      <c r="BR850" s="6">
        <v>0</v>
      </c>
      <c r="BS850" s="6">
        <v>0</v>
      </c>
      <c r="BT850" s="6">
        <v>0</v>
      </c>
      <c r="BU850" s="6">
        <v>0</v>
      </c>
      <c r="BV850" s="6">
        <v>0</v>
      </c>
      <c r="BW850" s="6">
        <v>0</v>
      </c>
      <c r="BX850" s="6">
        <v>0</v>
      </c>
      <c r="BY850" s="6">
        <v>0</v>
      </c>
      <c r="BZ850" s="6">
        <v>0</v>
      </c>
      <c r="CA850" s="6">
        <v>0</v>
      </c>
      <c r="CB850" s="6">
        <v>0</v>
      </c>
      <c r="CC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0" s="6" t="str">
        <f>IF(Table3[[#This Row],[ShoulderLength]]="","",IF(Table3[[#This Row],[ShoulderLength]]&lt;Table3[[#This Row],[LOC]],"FIX",""))</f>
        <v/>
      </c>
    </row>
    <row r="851" spans="1:83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v>0</v>
      </c>
      <c r="BN851" s="6">
        <v>0</v>
      </c>
      <c r="BO851" s="6">
        <v>0</v>
      </c>
      <c r="BP851" s="6">
        <v>0</v>
      </c>
      <c r="BQ851" s="6">
        <v>0</v>
      </c>
      <c r="BR851" s="6">
        <v>0</v>
      </c>
      <c r="BS851" s="6">
        <v>0</v>
      </c>
      <c r="BT851" s="6">
        <v>0</v>
      </c>
      <c r="BU851" s="6">
        <v>0</v>
      </c>
      <c r="BV851" s="6">
        <v>0</v>
      </c>
      <c r="BW851" s="6">
        <v>0</v>
      </c>
      <c r="BX851" s="6">
        <v>0</v>
      </c>
      <c r="BY851" s="6">
        <v>0</v>
      </c>
      <c r="BZ851" s="6">
        <v>0</v>
      </c>
      <c r="CA851" s="6">
        <v>0</v>
      </c>
      <c r="CB851" s="6">
        <v>0</v>
      </c>
      <c r="CC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1" s="6" t="str">
        <f>IF(Table3[[#This Row],[ShoulderLength]]="","",IF(Table3[[#This Row],[ShoulderLength]]&lt;Table3[[#This Row],[LOC]],"FIX",""))</f>
        <v/>
      </c>
    </row>
    <row r="852" spans="1:83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v>0</v>
      </c>
      <c r="BN852" s="6">
        <v>0</v>
      </c>
      <c r="BO852" s="6">
        <v>0</v>
      </c>
      <c r="BP852" s="6">
        <v>0</v>
      </c>
      <c r="BQ852" s="6">
        <v>0</v>
      </c>
      <c r="BR852" s="6">
        <v>0</v>
      </c>
      <c r="BS852" s="6">
        <v>0</v>
      </c>
      <c r="BT852" s="6">
        <v>0</v>
      </c>
      <c r="BU852" s="6">
        <v>0</v>
      </c>
      <c r="BV852" s="6">
        <v>0</v>
      </c>
      <c r="BW852" s="6">
        <v>0</v>
      </c>
      <c r="BX852" s="6">
        <v>0</v>
      </c>
      <c r="BY852" s="6">
        <v>0</v>
      </c>
      <c r="BZ852" s="6">
        <v>0</v>
      </c>
      <c r="CA852" s="6">
        <v>0</v>
      </c>
      <c r="CB852" s="6">
        <v>0</v>
      </c>
      <c r="CC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2" s="6" t="str">
        <f>IF(Table3[[#This Row],[ShoulderLength]]="","",IF(Table3[[#This Row],[ShoulderLength]]&lt;Table3[[#This Row],[LOC]],"FIX",""))</f>
        <v/>
      </c>
    </row>
    <row r="853" spans="1:83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v>0</v>
      </c>
      <c r="BN853" s="6">
        <v>0</v>
      </c>
      <c r="BO853" s="6">
        <v>0</v>
      </c>
      <c r="BP853" s="6">
        <v>0</v>
      </c>
      <c r="BQ853" s="6">
        <v>0</v>
      </c>
      <c r="BR853" s="6">
        <v>0</v>
      </c>
      <c r="BS853" s="6">
        <v>0</v>
      </c>
      <c r="BT853" s="6">
        <v>0</v>
      </c>
      <c r="BU853" s="6">
        <v>0</v>
      </c>
      <c r="BV853" s="6">
        <v>0</v>
      </c>
      <c r="BW853" s="6">
        <v>0</v>
      </c>
      <c r="BX853" s="6">
        <v>0</v>
      </c>
      <c r="BY853" s="6">
        <v>0</v>
      </c>
      <c r="BZ853" s="6">
        <v>0</v>
      </c>
      <c r="CA853" s="6">
        <v>0</v>
      </c>
      <c r="CB853" s="6">
        <v>0</v>
      </c>
      <c r="CC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3" s="6" t="str">
        <f>IF(Table3[[#This Row],[ShoulderLength]]="","",IF(Table3[[#This Row],[ShoulderLength]]&lt;Table3[[#This Row],[LOC]],"FIX",""))</f>
        <v/>
      </c>
    </row>
    <row r="854" spans="1:83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v>0</v>
      </c>
      <c r="BN854" s="6">
        <v>0</v>
      </c>
      <c r="BO854" s="6">
        <v>0</v>
      </c>
      <c r="BP854" s="6">
        <v>0</v>
      </c>
      <c r="BQ854" s="6">
        <v>0</v>
      </c>
      <c r="BR854" s="6">
        <v>0</v>
      </c>
      <c r="BS854" s="6">
        <v>0</v>
      </c>
      <c r="BT854" s="6">
        <v>0</v>
      </c>
      <c r="BU854" s="6">
        <v>0</v>
      </c>
      <c r="BV854" s="6">
        <v>0</v>
      </c>
      <c r="BW854" s="6">
        <v>0</v>
      </c>
      <c r="BX854" s="6">
        <v>0</v>
      </c>
      <c r="BY854" s="6">
        <v>0</v>
      </c>
      <c r="BZ854" s="6">
        <v>0</v>
      </c>
      <c r="CA854" s="6">
        <v>0</v>
      </c>
      <c r="CB854" s="6">
        <v>0</v>
      </c>
      <c r="CC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4" s="6" t="str">
        <f>IF(Table3[[#This Row],[ShoulderLength]]="","",IF(Table3[[#This Row],[ShoulderLength]]&lt;Table3[[#This Row],[LOC]],"FIX",""))</f>
        <v/>
      </c>
    </row>
    <row r="855" spans="1:83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v>0</v>
      </c>
      <c r="BN855" s="6">
        <v>0</v>
      </c>
      <c r="BO855" s="6">
        <v>0</v>
      </c>
      <c r="BP855" s="6">
        <v>0</v>
      </c>
      <c r="BQ855" s="6">
        <v>0</v>
      </c>
      <c r="BR855" s="6">
        <v>0</v>
      </c>
      <c r="BS855" s="6">
        <v>0</v>
      </c>
      <c r="BT855" s="6">
        <v>0</v>
      </c>
      <c r="BU855" s="6">
        <v>0</v>
      </c>
      <c r="BV855" s="6">
        <v>0</v>
      </c>
      <c r="BW855" s="6">
        <v>0</v>
      </c>
      <c r="BX855" s="6">
        <v>0</v>
      </c>
      <c r="BY855" s="6">
        <v>0</v>
      </c>
      <c r="BZ855" s="6">
        <v>0</v>
      </c>
      <c r="CA855" s="6">
        <v>0</v>
      </c>
      <c r="CB855" s="6">
        <v>0</v>
      </c>
      <c r="CC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5" s="6" t="str">
        <f>IF(Table3[[#This Row],[ShoulderLength]]="","",IF(Table3[[#This Row],[ShoulderLength]]&lt;Table3[[#This Row],[LOC]],"FIX",""))</f>
        <v/>
      </c>
    </row>
    <row r="856" spans="1:83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v>0</v>
      </c>
      <c r="BN856" s="6">
        <v>0</v>
      </c>
      <c r="BO856" s="6">
        <v>0</v>
      </c>
      <c r="BP856" s="6">
        <v>0</v>
      </c>
      <c r="BQ856" s="6">
        <v>0</v>
      </c>
      <c r="BR856" s="6">
        <v>0</v>
      </c>
      <c r="BS856" s="6">
        <v>0</v>
      </c>
      <c r="BT856" s="6">
        <v>0</v>
      </c>
      <c r="BU856" s="6">
        <v>0</v>
      </c>
      <c r="BV856" s="6">
        <v>0</v>
      </c>
      <c r="BW856" s="6">
        <v>0</v>
      </c>
      <c r="BX856" s="6">
        <v>0</v>
      </c>
      <c r="BY856" s="6">
        <v>0</v>
      </c>
      <c r="BZ856" s="6">
        <v>0</v>
      </c>
      <c r="CA856" s="6">
        <v>0</v>
      </c>
      <c r="CB856" s="6">
        <v>0</v>
      </c>
      <c r="CC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6" s="6" t="str">
        <f>IF(Table3[[#This Row],[ShoulderLength]]="","",IF(Table3[[#This Row],[ShoulderLength]]&lt;Table3[[#This Row],[LOC]],"FIX",""))</f>
        <v/>
      </c>
    </row>
    <row r="857" spans="1:83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v>0</v>
      </c>
      <c r="BN857" s="6">
        <v>0</v>
      </c>
      <c r="BO857" s="6">
        <v>0</v>
      </c>
      <c r="BP857" s="6">
        <v>0</v>
      </c>
      <c r="BQ857" s="6">
        <v>0</v>
      </c>
      <c r="BR857" s="6">
        <v>0</v>
      </c>
      <c r="BS857" s="6">
        <v>0</v>
      </c>
      <c r="BT857" s="6">
        <v>0</v>
      </c>
      <c r="BU857" s="6">
        <v>0</v>
      </c>
      <c r="BV857" s="6">
        <v>0</v>
      </c>
      <c r="BW857" s="6">
        <v>0</v>
      </c>
      <c r="BX857" s="6">
        <v>0</v>
      </c>
      <c r="BY857" s="6">
        <v>0</v>
      </c>
      <c r="BZ857" s="6">
        <v>0</v>
      </c>
      <c r="CA857" s="6">
        <v>0</v>
      </c>
      <c r="CB857" s="6">
        <v>0</v>
      </c>
      <c r="CC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CE857" s="6" t="str">
        <f>IF(Table3[[#This Row],[ShoulderLength]]="","",IF(Table3[[#This Row],[ShoulderLength]]&lt;Table3[[#This Row],[LOC]],"FIX",""))</f>
        <v/>
      </c>
    </row>
    <row r="858" spans="1:83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v>0</v>
      </c>
      <c r="BN858" s="6">
        <v>0</v>
      </c>
      <c r="BO858" s="6">
        <v>0</v>
      </c>
      <c r="BP858" s="6">
        <v>0</v>
      </c>
      <c r="BQ858" s="6">
        <v>0</v>
      </c>
      <c r="BR858" s="6">
        <v>0</v>
      </c>
      <c r="BS858" s="6">
        <v>0</v>
      </c>
      <c r="BT858" s="6">
        <v>0</v>
      </c>
      <c r="BU858" s="6">
        <v>0</v>
      </c>
      <c r="BV858" s="6">
        <v>0</v>
      </c>
      <c r="BW858" s="6">
        <v>0</v>
      </c>
      <c r="BX858" s="6">
        <v>0</v>
      </c>
      <c r="BY858" s="6">
        <v>0</v>
      </c>
      <c r="BZ858" s="6">
        <v>0</v>
      </c>
      <c r="CA858" s="6">
        <v>0</v>
      </c>
      <c r="CB858" s="6">
        <v>0</v>
      </c>
      <c r="CC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CE858" s="6" t="str">
        <f>IF(Table3[[#This Row],[ShoulderLength]]="","",IF(Table3[[#This Row],[ShoulderLength]]&lt;Table3[[#This Row],[LOC]],"FIX",""))</f>
        <v/>
      </c>
    </row>
    <row r="859" spans="1:83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v>0</v>
      </c>
      <c r="BN859" s="6">
        <v>0</v>
      </c>
      <c r="BO859" s="6">
        <v>0</v>
      </c>
      <c r="BP859" s="6">
        <v>0</v>
      </c>
      <c r="BQ859" s="6">
        <v>0</v>
      </c>
      <c r="BR859" s="6">
        <v>0</v>
      </c>
      <c r="BS859" s="6">
        <v>0</v>
      </c>
      <c r="BT859" s="6">
        <v>0</v>
      </c>
      <c r="BU859" s="6">
        <v>0</v>
      </c>
      <c r="BV859" s="6">
        <v>0</v>
      </c>
      <c r="BW859" s="6">
        <v>0</v>
      </c>
      <c r="BX859" s="6">
        <v>0</v>
      </c>
      <c r="BY859" s="6">
        <v>0</v>
      </c>
      <c r="BZ859" s="6">
        <v>0</v>
      </c>
      <c r="CA859" s="6">
        <v>0</v>
      </c>
      <c r="CB859" s="6">
        <v>0</v>
      </c>
      <c r="CC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CE859" s="6" t="str">
        <f>IF(Table3[[#This Row],[ShoulderLength]]="","",IF(Table3[[#This Row],[ShoulderLength]]&lt;Table3[[#This Row],[LOC]],"FIX",""))</f>
        <v/>
      </c>
    </row>
    <row r="860" spans="1:83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v>0</v>
      </c>
      <c r="BN860" s="6">
        <v>0</v>
      </c>
      <c r="BO860" s="6">
        <v>0</v>
      </c>
      <c r="BP860" s="6">
        <v>0</v>
      </c>
      <c r="BQ860" s="6">
        <v>0</v>
      </c>
      <c r="BR860" s="6">
        <v>0</v>
      </c>
      <c r="BS860" s="6">
        <v>0</v>
      </c>
      <c r="BT860" s="6">
        <v>0</v>
      </c>
      <c r="BU860" s="6">
        <v>0</v>
      </c>
      <c r="BV860" s="6">
        <v>0</v>
      </c>
      <c r="BW860" s="6">
        <v>0</v>
      </c>
      <c r="BX860" s="6">
        <v>0</v>
      </c>
      <c r="BY860" s="6">
        <v>0</v>
      </c>
      <c r="BZ860" s="6">
        <v>0</v>
      </c>
      <c r="CA860" s="6">
        <v>0</v>
      </c>
      <c r="CB860" s="6">
        <v>0</v>
      </c>
      <c r="CC860" s="6">
        <f>IF(Table3[[#This Row],[Type]]="EM",IF((Table3[[#This Row],[Diameter]]/2)-Table3[[#This Row],[CornerRadius]]-0.012&gt;0,(Table3[[#This Row],[Diameter]]/2)-Table3[[#This Row],[CornerRadius]]-0.012,0),)</f>
        <v>6.615E-2</v>
      </c>
      <c r="CE860" s="6" t="str">
        <f>IF(Table3[[#This Row],[ShoulderLength]]="","",IF(Table3[[#This Row],[ShoulderLength]]&lt;Table3[[#This Row],[LOC]],"FIX",""))</f>
        <v/>
      </c>
    </row>
    <row r="861" spans="1:83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v>0</v>
      </c>
      <c r="BN861" s="6">
        <v>0</v>
      </c>
      <c r="BO861" s="6">
        <v>0</v>
      </c>
      <c r="BP861" s="6">
        <v>0</v>
      </c>
      <c r="BQ861" s="6">
        <v>0</v>
      </c>
      <c r="BR861" s="6">
        <v>0</v>
      </c>
      <c r="BS861" s="6">
        <v>0</v>
      </c>
      <c r="BT861" s="6">
        <v>0</v>
      </c>
      <c r="BU861" s="6">
        <v>0</v>
      </c>
      <c r="BV861" s="6">
        <v>0</v>
      </c>
      <c r="BW861" s="6">
        <v>0</v>
      </c>
      <c r="BX861" s="6">
        <v>0</v>
      </c>
      <c r="BY861" s="6">
        <v>0</v>
      </c>
      <c r="BZ861" s="6">
        <v>0</v>
      </c>
      <c r="CA861" s="6">
        <v>0</v>
      </c>
      <c r="CB861" s="6">
        <v>0</v>
      </c>
      <c r="CC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1" s="6" t="str">
        <f>IF(Table3[[#This Row],[ShoulderLength]]="","",IF(Table3[[#This Row],[ShoulderLength]]&lt;Table3[[#This Row],[LOC]],"FIX",""))</f>
        <v/>
      </c>
    </row>
    <row r="862" spans="1:83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v>0</v>
      </c>
      <c r="BN862" s="6">
        <v>0</v>
      </c>
      <c r="BO862" s="6">
        <v>0</v>
      </c>
      <c r="BP862" s="6">
        <v>0</v>
      </c>
      <c r="BQ862" s="6">
        <v>0</v>
      </c>
      <c r="BR862" s="6">
        <v>0</v>
      </c>
      <c r="BS862" s="6">
        <v>0</v>
      </c>
      <c r="BT862" s="6">
        <v>0</v>
      </c>
      <c r="BU862" s="6">
        <v>0</v>
      </c>
      <c r="BV862" s="6">
        <v>0</v>
      </c>
      <c r="BW862" s="6">
        <v>0</v>
      </c>
      <c r="BX862" s="6">
        <v>0</v>
      </c>
      <c r="BY862" s="6">
        <v>0</v>
      </c>
      <c r="BZ862" s="6">
        <v>0</v>
      </c>
      <c r="CA862" s="6">
        <v>0</v>
      </c>
      <c r="CB862" s="6">
        <v>0</v>
      </c>
      <c r="CC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2" s="6" t="str">
        <f>IF(Table3[[#This Row],[ShoulderLength]]="","",IF(Table3[[#This Row],[ShoulderLength]]&lt;Table3[[#This Row],[LOC]],"FIX",""))</f>
        <v/>
      </c>
    </row>
    <row r="863" spans="1:83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v>0</v>
      </c>
      <c r="BN863" s="6">
        <v>0</v>
      </c>
      <c r="BO863" s="6">
        <v>0</v>
      </c>
      <c r="BP863" s="6">
        <v>0</v>
      </c>
      <c r="BQ863" s="6">
        <v>0</v>
      </c>
      <c r="BR863" s="6">
        <v>0</v>
      </c>
      <c r="BS863" s="6">
        <v>0</v>
      </c>
      <c r="BT863" s="6">
        <v>0</v>
      </c>
      <c r="BU863" s="6">
        <v>0</v>
      </c>
      <c r="BV863" s="6">
        <v>0</v>
      </c>
      <c r="BW863" s="6">
        <v>0</v>
      </c>
      <c r="BX863" s="6">
        <v>0</v>
      </c>
      <c r="BY863" s="6">
        <v>0</v>
      </c>
      <c r="BZ863" s="6">
        <v>0</v>
      </c>
      <c r="CA863" s="6">
        <v>0</v>
      </c>
      <c r="CB863" s="6">
        <v>0</v>
      </c>
      <c r="CC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3" s="6" t="str">
        <f>IF(Table3[[#This Row],[ShoulderLength]]="","",IF(Table3[[#This Row],[ShoulderLength]]&lt;Table3[[#This Row],[LOC]],"FIX",""))</f>
        <v/>
      </c>
    </row>
    <row r="864" spans="1:83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v>0</v>
      </c>
      <c r="BN864" s="6">
        <v>0</v>
      </c>
      <c r="BO864" s="6">
        <v>0</v>
      </c>
      <c r="BP864" s="6">
        <v>0</v>
      </c>
      <c r="BQ864" s="6">
        <v>0</v>
      </c>
      <c r="BR864" s="6">
        <v>0</v>
      </c>
      <c r="BS864" s="6">
        <v>0</v>
      </c>
      <c r="BT864" s="6">
        <v>0</v>
      </c>
      <c r="BU864" s="6">
        <v>0</v>
      </c>
      <c r="BV864" s="6">
        <v>0</v>
      </c>
      <c r="BW864" s="6">
        <v>0</v>
      </c>
      <c r="BX864" s="6">
        <v>0</v>
      </c>
      <c r="BY864" s="6">
        <v>0</v>
      </c>
      <c r="BZ864" s="6">
        <v>0</v>
      </c>
      <c r="CA864" s="6">
        <v>0</v>
      </c>
      <c r="CB864" s="6">
        <v>0</v>
      </c>
      <c r="CC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4" s="6" t="str">
        <f>IF(Table3[[#This Row],[ShoulderLength]]="","",IF(Table3[[#This Row],[ShoulderLength]]&lt;Table3[[#This Row],[LOC]],"FIX",""))</f>
        <v/>
      </c>
    </row>
    <row r="865" spans="1:83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v>0</v>
      </c>
      <c r="BN865" s="6">
        <v>0</v>
      </c>
      <c r="BO865" s="6">
        <v>0</v>
      </c>
      <c r="BP865" s="6">
        <v>0</v>
      </c>
      <c r="BQ865" s="6">
        <v>0</v>
      </c>
      <c r="BR865" s="6">
        <v>0</v>
      </c>
      <c r="BS865" s="6">
        <v>0</v>
      </c>
      <c r="BT865" s="6">
        <v>0</v>
      </c>
      <c r="BU865" s="6">
        <v>0</v>
      </c>
      <c r="BV865" s="6">
        <v>0</v>
      </c>
      <c r="BW865" s="6">
        <v>0</v>
      </c>
      <c r="BX865" s="6">
        <v>0</v>
      </c>
      <c r="BY865" s="6">
        <v>0</v>
      </c>
      <c r="BZ865" s="6">
        <v>0</v>
      </c>
      <c r="CA865" s="6">
        <v>0</v>
      </c>
      <c r="CB865" s="6">
        <v>0</v>
      </c>
      <c r="CC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5" s="6" t="str">
        <f>IF(Table3[[#This Row],[ShoulderLength]]="","",IF(Table3[[#This Row],[ShoulderLength]]&lt;Table3[[#This Row],[LOC]],"FIX",""))</f>
        <v/>
      </c>
    </row>
    <row r="866" spans="1:83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v>0</v>
      </c>
      <c r="BN866" s="6">
        <v>0</v>
      </c>
      <c r="BO866" s="6">
        <v>0</v>
      </c>
      <c r="BP866" s="6">
        <v>0</v>
      </c>
      <c r="BQ866" s="6">
        <v>0</v>
      </c>
      <c r="BR866" s="6">
        <v>0</v>
      </c>
      <c r="BS866" s="6">
        <v>0</v>
      </c>
      <c r="BT866" s="6">
        <v>0</v>
      </c>
      <c r="BU866" s="6">
        <v>0</v>
      </c>
      <c r="BV866" s="6">
        <v>0</v>
      </c>
      <c r="BW866" s="6">
        <v>0</v>
      </c>
      <c r="BX866" s="6">
        <v>0</v>
      </c>
      <c r="BY866" s="6">
        <v>0</v>
      </c>
      <c r="BZ866" s="6">
        <v>0</v>
      </c>
      <c r="CA866" s="6">
        <v>0</v>
      </c>
      <c r="CB866" s="6">
        <v>0</v>
      </c>
      <c r="CC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6" s="6" t="str">
        <f>IF(Table3[[#This Row],[ShoulderLength]]="","",IF(Table3[[#This Row],[ShoulderLength]]&lt;Table3[[#This Row],[LOC]],"FIX",""))</f>
        <v/>
      </c>
    </row>
    <row r="867" spans="1:83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v>0</v>
      </c>
      <c r="BN867" s="6">
        <v>0</v>
      </c>
      <c r="BO867" s="6">
        <v>0</v>
      </c>
      <c r="BP867" s="6">
        <v>0</v>
      </c>
      <c r="BQ867" s="6">
        <v>0</v>
      </c>
      <c r="BR867" s="6">
        <v>0</v>
      </c>
      <c r="BS867" s="6">
        <v>0</v>
      </c>
      <c r="BT867" s="6">
        <v>0</v>
      </c>
      <c r="BU867" s="6">
        <v>0</v>
      </c>
      <c r="BV867" s="6">
        <v>0</v>
      </c>
      <c r="BW867" s="6">
        <v>0</v>
      </c>
      <c r="BX867" s="6">
        <v>0</v>
      </c>
      <c r="BY867" s="6">
        <v>0</v>
      </c>
      <c r="BZ867" s="6">
        <v>0</v>
      </c>
      <c r="CA867" s="6">
        <v>0</v>
      </c>
      <c r="CB867" s="6">
        <v>0</v>
      </c>
      <c r="CC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7" s="6" t="str">
        <f>IF(Table3[[#This Row],[ShoulderLength]]="","",IF(Table3[[#This Row],[ShoulderLength]]&lt;Table3[[#This Row],[LOC]],"FIX",""))</f>
        <v/>
      </c>
    </row>
    <row r="868" spans="1:83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v>0</v>
      </c>
      <c r="BN868" s="6">
        <v>0</v>
      </c>
      <c r="BO868" s="6">
        <v>0</v>
      </c>
      <c r="BP868" s="6">
        <v>0</v>
      </c>
      <c r="BQ868" s="6">
        <v>0</v>
      </c>
      <c r="BR868" s="6">
        <v>0</v>
      </c>
      <c r="BS868" s="6">
        <v>0</v>
      </c>
      <c r="BT868" s="6">
        <v>0</v>
      </c>
      <c r="BU868" s="6">
        <v>0</v>
      </c>
      <c r="BV868" s="6">
        <v>0</v>
      </c>
      <c r="BW868" s="6">
        <v>0</v>
      </c>
      <c r="BX868" s="6">
        <v>0</v>
      </c>
      <c r="BY868" s="6">
        <v>0</v>
      </c>
      <c r="BZ868" s="6">
        <v>0</v>
      </c>
      <c r="CA868" s="6">
        <v>0</v>
      </c>
      <c r="CB868" s="6">
        <v>0</v>
      </c>
      <c r="CC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8" s="6" t="str">
        <f>IF(Table3[[#This Row],[ShoulderLength]]="","",IF(Table3[[#This Row],[ShoulderLength]]&lt;Table3[[#This Row],[LOC]],"FIX",""))</f>
        <v/>
      </c>
    </row>
    <row r="869" spans="1:83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v>0</v>
      </c>
      <c r="BN869" s="6">
        <v>0</v>
      </c>
      <c r="BO869" s="6">
        <v>0</v>
      </c>
      <c r="BP869" s="6">
        <v>0</v>
      </c>
      <c r="BQ869" s="6">
        <v>0</v>
      </c>
      <c r="BR869" s="6">
        <v>0</v>
      </c>
      <c r="BS869" s="6">
        <v>0</v>
      </c>
      <c r="BT869" s="6">
        <v>0</v>
      </c>
      <c r="BU869" s="6">
        <v>0</v>
      </c>
      <c r="BV869" s="6">
        <v>0</v>
      </c>
      <c r="BW869" s="6">
        <v>0</v>
      </c>
      <c r="BX869" s="6">
        <v>0</v>
      </c>
      <c r="BY869" s="6">
        <v>0</v>
      </c>
      <c r="BZ869" s="6">
        <v>0</v>
      </c>
      <c r="CA869" s="6">
        <v>0</v>
      </c>
      <c r="CB869" s="6">
        <v>0</v>
      </c>
      <c r="CC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9" s="6" t="str">
        <f>IF(Table3[[#This Row],[ShoulderLength]]="","",IF(Table3[[#This Row],[ShoulderLength]]&lt;Table3[[#This Row],[LOC]],"FIX",""))</f>
        <v/>
      </c>
    </row>
    <row r="870" spans="1:83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v>0</v>
      </c>
      <c r="BN870" s="6">
        <v>0</v>
      </c>
      <c r="BO870" s="6">
        <v>0</v>
      </c>
      <c r="BP870" s="6">
        <v>0</v>
      </c>
      <c r="BQ870" s="6">
        <v>0</v>
      </c>
      <c r="BR870" s="6">
        <v>0</v>
      </c>
      <c r="BS870" s="6">
        <v>0</v>
      </c>
      <c r="BT870" s="6">
        <v>0</v>
      </c>
      <c r="BU870" s="6">
        <v>0</v>
      </c>
      <c r="BV870" s="6">
        <v>0</v>
      </c>
      <c r="BW870" s="6">
        <v>0</v>
      </c>
      <c r="BX870" s="6">
        <v>0</v>
      </c>
      <c r="BY870" s="6">
        <v>0</v>
      </c>
      <c r="BZ870" s="6">
        <v>0</v>
      </c>
      <c r="CA870" s="6">
        <v>0</v>
      </c>
      <c r="CB870" s="6">
        <v>0</v>
      </c>
      <c r="CC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70" s="6" t="str">
        <f>IF(Table3[[#This Row],[ShoulderLength]]="","",IF(Table3[[#This Row],[ShoulderLength]]&lt;Table3[[#This Row],[LOC]],"FIX",""))</f>
        <v/>
      </c>
    </row>
    <row r="871" spans="1:83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v>0</v>
      </c>
      <c r="BN871" s="6">
        <v>0</v>
      </c>
      <c r="BO871" s="6">
        <v>0</v>
      </c>
      <c r="BP871" s="6">
        <v>0</v>
      </c>
      <c r="BQ871" s="6">
        <v>0</v>
      </c>
      <c r="BR871" s="6">
        <v>0</v>
      </c>
      <c r="BS871" s="6">
        <v>0</v>
      </c>
      <c r="BT871" s="6">
        <v>0</v>
      </c>
      <c r="BU871" s="6">
        <v>0</v>
      </c>
      <c r="BV871" s="6">
        <v>0</v>
      </c>
      <c r="BW871" s="6">
        <v>0</v>
      </c>
      <c r="BX871" s="6">
        <v>0</v>
      </c>
      <c r="BY871" s="6">
        <v>0</v>
      </c>
      <c r="BZ871" s="6">
        <v>0</v>
      </c>
      <c r="CA871" s="6">
        <v>0</v>
      </c>
      <c r="CB871" s="6">
        <v>0</v>
      </c>
      <c r="CC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CE871" s="6" t="str">
        <f>IF(Table3[[#This Row],[ShoulderLength]]="","",IF(Table3[[#This Row],[ShoulderLength]]&lt;Table3[[#This Row],[LOC]],"FIX",""))</f>
        <v/>
      </c>
    </row>
    <row r="872" spans="1:83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v>0</v>
      </c>
      <c r="BN872" s="6">
        <v>0</v>
      </c>
      <c r="BO872" s="6">
        <v>0</v>
      </c>
      <c r="BP872" s="6">
        <v>0</v>
      </c>
      <c r="BQ872" s="6">
        <v>0</v>
      </c>
      <c r="BR872" s="6">
        <v>0</v>
      </c>
      <c r="BS872" s="6">
        <v>0</v>
      </c>
      <c r="BT872" s="6">
        <v>0</v>
      </c>
      <c r="BU872" s="6">
        <v>0</v>
      </c>
      <c r="BV872" s="6">
        <v>0</v>
      </c>
      <c r="BW872" s="6">
        <v>0</v>
      </c>
      <c r="BX872" s="6">
        <v>0</v>
      </c>
      <c r="BY872" s="6">
        <v>0</v>
      </c>
      <c r="BZ872" s="6">
        <v>0</v>
      </c>
      <c r="CA872" s="6">
        <v>0</v>
      </c>
      <c r="CB872" s="6">
        <v>0</v>
      </c>
      <c r="CC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CE872" s="6" t="str">
        <f>IF(Table3[[#This Row],[ShoulderLength]]="","",IF(Table3[[#This Row],[ShoulderLength]]&lt;Table3[[#This Row],[LOC]],"FIX",""))</f>
        <v/>
      </c>
    </row>
    <row r="873" spans="1:83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v>0</v>
      </c>
      <c r="BN873" s="6">
        <v>0</v>
      </c>
      <c r="BO873" s="6">
        <v>0</v>
      </c>
      <c r="BP873" s="6">
        <v>0</v>
      </c>
      <c r="BQ873" s="6">
        <v>0</v>
      </c>
      <c r="BR873" s="6">
        <v>0</v>
      </c>
      <c r="BS873" s="6">
        <v>0</v>
      </c>
      <c r="BT873" s="6">
        <v>0</v>
      </c>
      <c r="BU873" s="6">
        <v>0</v>
      </c>
      <c r="BV873" s="6">
        <v>0</v>
      </c>
      <c r="BW873" s="6">
        <v>0</v>
      </c>
      <c r="BX873" s="6">
        <v>0</v>
      </c>
      <c r="BY873" s="6">
        <v>0</v>
      </c>
      <c r="BZ873" s="6">
        <v>0</v>
      </c>
      <c r="CA873" s="6">
        <v>0</v>
      </c>
      <c r="CB873" s="6">
        <v>0</v>
      </c>
      <c r="CC873" s="6">
        <f>IF(Table3[[#This Row],[Type]]="EM",IF((Table3[[#This Row],[Diameter]]/2)-Table3[[#This Row],[CornerRadius]]-0.012&gt;0,(Table3[[#This Row],[Diameter]]/2)-Table3[[#This Row],[CornerRadius]]-0.012,0),)</f>
        <v>0.1061</v>
      </c>
      <c r="CE873" s="6" t="str">
        <f>IF(Table3[[#This Row],[ShoulderLength]]="","",IF(Table3[[#This Row],[ShoulderLength]]&lt;Table3[[#This Row],[LOC]],"FIX",""))</f>
        <v/>
      </c>
    </row>
    <row r="874" spans="1:83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v>0</v>
      </c>
      <c r="BN874" s="6">
        <v>0</v>
      </c>
      <c r="BO874" s="6">
        <v>0</v>
      </c>
      <c r="BP874" s="6">
        <v>0</v>
      </c>
      <c r="BQ874" s="6">
        <v>0</v>
      </c>
      <c r="BR874" s="6">
        <v>0</v>
      </c>
      <c r="BS874" s="6">
        <v>0</v>
      </c>
      <c r="BT874" s="6">
        <v>0</v>
      </c>
      <c r="BU874" s="6">
        <v>0</v>
      </c>
      <c r="BV874" s="6">
        <v>0</v>
      </c>
      <c r="BW874" s="6">
        <v>0</v>
      </c>
      <c r="BX874" s="6">
        <v>0</v>
      </c>
      <c r="BY874" s="6">
        <v>0</v>
      </c>
      <c r="BZ874" s="6">
        <v>0</v>
      </c>
      <c r="CA874" s="6">
        <v>0</v>
      </c>
      <c r="CB874" s="6">
        <v>0</v>
      </c>
      <c r="CC874" s="6">
        <f>IF(Table3[[#This Row],[Type]]="EM",IF((Table3[[#This Row],[Diameter]]/2)-Table3[[#This Row],[CornerRadius]]-0.012&gt;0,(Table3[[#This Row],[Diameter]]/2)-Table3[[#This Row],[CornerRadius]]-0.012,0),)</f>
        <v>1.15E-2</v>
      </c>
      <c r="CE874" s="6" t="str">
        <f>IF(Table3[[#This Row],[ShoulderLength]]="","",IF(Table3[[#This Row],[ShoulderLength]]&lt;Table3[[#This Row],[LOC]],"FIX",""))</f>
        <v/>
      </c>
    </row>
    <row r="875" spans="1:83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v>0</v>
      </c>
      <c r="BN875" s="6">
        <v>0</v>
      </c>
      <c r="BO875" s="6">
        <v>0</v>
      </c>
      <c r="BP875" s="6">
        <v>0</v>
      </c>
      <c r="BQ875" s="6">
        <v>0</v>
      </c>
      <c r="BR875" s="6">
        <v>0</v>
      </c>
      <c r="BS875" s="6">
        <v>0</v>
      </c>
      <c r="BT875" s="6">
        <v>0</v>
      </c>
      <c r="BU875" s="6">
        <v>0</v>
      </c>
      <c r="BV875" s="6">
        <v>0</v>
      </c>
      <c r="BW875" s="6">
        <v>0</v>
      </c>
      <c r="BX875" s="6">
        <v>0</v>
      </c>
      <c r="BY875" s="6">
        <v>0</v>
      </c>
      <c r="BZ875" s="6">
        <v>0</v>
      </c>
      <c r="CA875" s="6">
        <v>0</v>
      </c>
      <c r="CB875" s="6">
        <v>0</v>
      </c>
      <c r="CC875" s="6">
        <f>IF(Table3[[#This Row],[Type]]="EM",IF((Table3[[#This Row],[Diameter]]/2)-Table3[[#This Row],[CornerRadius]]-0.012&gt;0,(Table3[[#This Row],[Diameter]]/2)-Table3[[#This Row],[CornerRadius]]-0.012,0),)</f>
        <v>1.925E-2</v>
      </c>
      <c r="CE875" s="6" t="str">
        <f>IF(Table3[[#This Row],[ShoulderLength]]="","",IF(Table3[[#This Row],[ShoulderLength]]&lt;Table3[[#This Row],[LOC]],"FIX",""))</f>
        <v/>
      </c>
    </row>
    <row r="876" spans="1:83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v>0</v>
      </c>
      <c r="BN876" s="6">
        <v>0</v>
      </c>
      <c r="BO876" s="6">
        <v>0</v>
      </c>
      <c r="BP876" s="6">
        <v>0</v>
      </c>
      <c r="BQ876" s="6">
        <v>0</v>
      </c>
      <c r="BR876" s="6">
        <v>0</v>
      </c>
      <c r="BS876" s="6">
        <v>0</v>
      </c>
      <c r="BT876" s="6">
        <v>0</v>
      </c>
      <c r="BU876" s="6">
        <v>0</v>
      </c>
      <c r="BV876" s="6">
        <v>0</v>
      </c>
      <c r="BW876" s="6">
        <v>0</v>
      </c>
      <c r="BX876" s="6">
        <v>0</v>
      </c>
      <c r="BY876" s="6">
        <v>0</v>
      </c>
      <c r="BZ876" s="6">
        <v>0</v>
      </c>
      <c r="CA876" s="6">
        <v>0</v>
      </c>
      <c r="CB876" s="6">
        <v>0</v>
      </c>
      <c r="CC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76" s="6" t="str">
        <f>IF(Table3[[#This Row],[ShoulderLength]]="","",IF(Table3[[#This Row],[ShoulderLength]]&lt;Table3[[#This Row],[LOC]],"FIX",""))</f>
        <v/>
      </c>
    </row>
    <row r="877" spans="1:83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v>0</v>
      </c>
      <c r="BN877" s="6">
        <v>0</v>
      </c>
      <c r="BO877" s="6">
        <v>0</v>
      </c>
      <c r="BP877" s="6">
        <v>0</v>
      </c>
      <c r="BQ877" s="6">
        <v>0</v>
      </c>
      <c r="BR877" s="6">
        <v>0</v>
      </c>
      <c r="BS877" s="6">
        <v>0</v>
      </c>
      <c r="BT877" s="6">
        <v>0</v>
      </c>
      <c r="BU877" s="6">
        <v>0</v>
      </c>
      <c r="BV877" s="6">
        <v>0</v>
      </c>
      <c r="BW877" s="6">
        <v>0</v>
      </c>
      <c r="BX877" s="6">
        <v>0</v>
      </c>
      <c r="BY877" s="6">
        <v>0</v>
      </c>
      <c r="BZ877" s="6">
        <v>0</v>
      </c>
      <c r="CA877" s="6">
        <v>0</v>
      </c>
      <c r="CB877" s="6">
        <v>0</v>
      </c>
      <c r="CC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77" s="6" t="str">
        <f>IF(Table3[[#This Row],[ShoulderLength]]="","",IF(Table3[[#This Row],[ShoulderLength]]&lt;Table3[[#This Row],[LOC]],"FIX",""))</f>
        <v/>
      </c>
    </row>
    <row r="878" spans="1:83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v>0</v>
      </c>
      <c r="BN878" s="6">
        <v>0</v>
      </c>
      <c r="BO878" s="6">
        <v>0</v>
      </c>
      <c r="BP878" s="6">
        <v>0</v>
      </c>
      <c r="BQ878" s="6">
        <v>0</v>
      </c>
      <c r="BR878" s="6">
        <v>0</v>
      </c>
      <c r="BS878" s="6">
        <v>0</v>
      </c>
      <c r="BT878" s="6">
        <v>0</v>
      </c>
      <c r="BU878" s="6">
        <v>0</v>
      </c>
      <c r="BV878" s="6">
        <v>0</v>
      </c>
      <c r="BW878" s="6">
        <v>0</v>
      </c>
      <c r="BX878" s="6">
        <v>0</v>
      </c>
      <c r="BY878" s="6">
        <v>0</v>
      </c>
      <c r="BZ878" s="6">
        <v>0</v>
      </c>
      <c r="CA878" s="6">
        <v>0</v>
      </c>
      <c r="CB878" s="6">
        <v>0</v>
      </c>
      <c r="CC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78" s="6" t="str">
        <f>IF(Table3[[#This Row],[ShoulderLength]]="","",IF(Table3[[#This Row],[ShoulderLength]]&lt;Table3[[#This Row],[LOC]],"FIX",""))</f>
        <v/>
      </c>
    </row>
    <row r="879" spans="1:83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v>0</v>
      </c>
      <c r="BN879" s="6">
        <v>0</v>
      </c>
      <c r="BO879" s="6">
        <v>0</v>
      </c>
      <c r="BP879" s="6">
        <v>0</v>
      </c>
      <c r="BQ879" s="6">
        <v>0</v>
      </c>
      <c r="BR879" s="6">
        <v>0</v>
      </c>
      <c r="BS879" s="6">
        <v>0</v>
      </c>
      <c r="BT879" s="6">
        <v>0</v>
      </c>
      <c r="BU879" s="6">
        <v>0</v>
      </c>
      <c r="BV879" s="6">
        <v>0</v>
      </c>
      <c r="BW879" s="6">
        <v>0</v>
      </c>
      <c r="BX879" s="6">
        <v>0</v>
      </c>
      <c r="BY879" s="6">
        <v>0</v>
      </c>
      <c r="BZ879" s="6">
        <v>0</v>
      </c>
      <c r="CA879" s="6">
        <v>0</v>
      </c>
      <c r="CB879" s="6">
        <v>0</v>
      </c>
      <c r="CC879" s="6">
        <f>IF(Table3[[#This Row],[Type]]="EM",IF((Table3[[#This Row],[Diameter]]/2)-Table3[[#This Row],[CornerRadius]]-0.012&gt;0,(Table3[[#This Row],[Diameter]]/2)-Table3[[#This Row],[CornerRadius]]-0.012,0),)</f>
        <v>9.74E-2</v>
      </c>
      <c r="CE879" s="6" t="str">
        <f>IF(Table3[[#This Row],[ShoulderLength]]="","",IF(Table3[[#This Row],[ShoulderLength]]&lt;Table3[[#This Row],[LOC]],"FIX",""))</f>
        <v/>
      </c>
    </row>
    <row r="880" spans="1:83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v>0</v>
      </c>
      <c r="BN880" s="6">
        <v>0</v>
      </c>
      <c r="BO880" s="6">
        <v>0</v>
      </c>
      <c r="BP880" s="6">
        <v>0</v>
      </c>
      <c r="BQ880" s="6">
        <v>0</v>
      </c>
      <c r="BR880" s="6">
        <v>0</v>
      </c>
      <c r="BS880" s="6">
        <v>0</v>
      </c>
      <c r="BT880" s="6">
        <v>0</v>
      </c>
      <c r="BU880" s="6">
        <v>0</v>
      </c>
      <c r="BV880" s="6">
        <v>0</v>
      </c>
      <c r="BW880" s="6">
        <v>0</v>
      </c>
      <c r="BX880" s="6">
        <v>0</v>
      </c>
      <c r="BY880" s="6">
        <v>0</v>
      </c>
      <c r="BZ880" s="6">
        <v>0</v>
      </c>
      <c r="CA880" s="6">
        <v>0</v>
      </c>
      <c r="CB880" s="6">
        <v>0</v>
      </c>
      <c r="CC880" s="6">
        <f>IF(Table3[[#This Row],[Type]]="EM",IF((Table3[[#This Row],[Diameter]]/2)-Table3[[#This Row],[CornerRadius]]-0.012&gt;0,(Table3[[#This Row],[Diameter]]/2)-Table3[[#This Row],[CornerRadius]]-0.012,0),)</f>
        <v>0.113</v>
      </c>
      <c r="CE880" s="6" t="str">
        <f>IF(Table3[[#This Row],[ShoulderLength]]="","",IF(Table3[[#This Row],[ShoulderLength]]&lt;Table3[[#This Row],[LOC]],"FIX",""))</f>
        <v/>
      </c>
    </row>
    <row r="881" spans="1:83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v>0</v>
      </c>
      <c r="BN881" s="6">
        <v>0</v>
      </c>
      <c r="BO881" s="6">
        <v>0</v>
      </c>
      <c r="BP881" s="6">
        <v>0</v>
      </c>
      <c r="BQ881" s="6">
        <v>0</v>
      </c>
      <c r="BR881" s="6">
        <v>0</v>
      </c>
      <c r="BS881" s="6">
        <v>0</v>
      </c>
      <c r="BT881" s="6">
        <v>0</v>
      </c>
      <c r="BU881" s="6">
        <v>0</v>
      </c>
      <c r="BV881" s="6">
        <v>0</v>
      </c>
      <c r="BW881" s="6">
        <v>0</v>
      </c>
      <c r="BX881" s="6">
        <v>0</v>
      </c>
      <c r="BY881" s="6">
        <v>0</v>
      </c>
      <c r="BZ881" s="6">
        <v>0</v>
      </c>
      <c r="CA881" s="6">
        <v>0</v>
      </c>
      <c r="CB881" s="6">
        <v>0</v>
      </c>
      <c r="CC881" s="6">
        <f>IF(Table3[[#This Row],[Type]]="EM",IF((Table3[[#This Row],[Diameter]]/2)-Table3[[#This Row],[CornerRadius]]-0.012&gt;0,(Table3[[#This Row],[Diameter]]/2)-Table3[[#This Row],[CornerRadius]]-0.012,0),)</f>
        <v>0.113</v>
      </c>
      <c r="CE881" s="6" t="str">
        <f>IF(Table3[[#This Row],[ShoulderLength]]="","",IF(Table3[[#This Row],[ShoulderLength]]&lt;Table3[[#This Row],[LOC]],"FIX",""))</f>
        <v/>
      </c>
    </row>
    <row r="882" spans="1:83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v>0</v>
      </c>
      <c r="BN882" s="6">
        <v>0</v>
      </c>
      <c r="BO882" s="6">
        <v>0</v>
      </c>
      <c r="BP882" s="6">
        <v>0</v>
      </c>
      <c r="BQ882" s="6">
        <v>0</v>
      </c>
      <c r="BR882" s="6">
        <v>0</v>
      </c>
      <c r="BS882" s="6">
        <v>0</v>
      </c>
      <c r="BT882" s="6">
        <v>0</v>
      </c>
      <c r="BU882" s="6">
        <v>0</v>
      </c>
      <c r="BV882" s="6">
        <v>0</v>
      </c>
      <c r="BW882" s="6">
        <v>0</v>
      </c>
      <c r="BX882" s="6">
        <v>0</v>
      </c>
      <c r="BY882" s="6">
        <v>0</v>
      </c>
      <c r="BZ882" s="6">
        <v>0</v>
      </c>
      <c r="CA882" s="6">
        <v>0</v>
      </c>
      <c r="CB882" s="6">
        <v>0</v>
      </c>
      <c r="CC882" s="6">
        <f>IF(Table3[[#This Row],[Type]]="EM",IF((Table3[[#This Row],[Diameter]]/2)-Table3[[#This Row],[CornerRadius]]-0.012&gt;0,(Table3[[#This Row],[Diameter]]/2)-Table3[[#This Row],[CornerRadius]]-0.012,0),)</f>
        <v>0.113</v>
      </c>
      <c r="CE882" s="6" t="str">
        <f>IF(Table3[[#This Row],[ShoulderLength]]="","",IF(Table3[[#This Row],[ShoulderLength]]&lt;Table3[[#This Row],[LOC]],"FIX",""))</f>
        <v/>
      </c>
    </row>
    <row r="883" spans="1:83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v>0</v>
      </c>
      <c r="BN883" s="6">
        <v>0</v>
      </c>
      <c r="BO883" s="6">
        <v>0</v>
      </c>
      <c r="BP883" s="6">
        <v>0</v>
      </c>
      <c r="BQ883" s="6">
        <v>0</v>
      </c>
      <c r="BR883" s="6">
        <v>0</v>
      </c>
      <c r="BS883" s="6">
        <v>0</v>
      </c>
      <c r="BT883" s="6">
        <v>0</v>
      </c>
      <c r="BU883" s="6">
        <v>0</v>
      </c>
      <c r="BV883" s="6">
        <v>0</v>
      </c>
      <c r="BW883" s="6">
        <v>0</v>
      </c>
      <c r="BX883" s="6">
        <v>0</v>
      </c>
      <c r="BY883" s="6">
        <v>0</v>
      </c>
      <c r="BZ883" s="6">
        <v>0</v>
      </c>
      <c r="CA883" s="6">
        <v>0</v>
      </c>
      <c r="CB883" s="6">
        <v>0</v>
      </c>
      <c r="CC883" s="6">
        <f>IF(Table3[[#This Row],[Type]]="EM",IF((Table3[[#This Row],[Diameter]]/2)-Table3[[#This Row],[CornerRadius]]-0.012&gt;0,(Table3[[#This Row],[Diameter]]/2)-Table3[[#This Row],[CornerRadius]]-0.012,0),)</f>
        <v>0.113</v>
      </c>
      <c r="CE883" s="6" t="str">
        <f>IF(Table3[[#This Row],[ShoulderLength]]="","",IF(Table3[[#This Row],[ShoulderLength]]&lt;Table3[[#This Row],[LOC]],"FIX",""))</f>
        <v/>
      </c>
    </row>
    <row r="884" spans="1:83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v>0</v>
      </c>
      <c r="BN884" s="6">
        <v>0</v>
      </c>
      <c r="BO884" s="6">
        <v>0</v>
      </c>
      <c r="BP884" s="6">
        <v>0</v>
      </c>
      <c r="BQ884" s="6">
        <v>0</v>
      </c>
      <c r="BR884" s="6">
        <v>0</v>
      </c>
      <c r="BS884" s="6">
        <v>0</v>
      </c>
      <c r="BT884" s="6">
        <v>0</v>
      </c>
      <c r="BU884" s="6">
        <v>0</v>
      </c>
      <c r="BV884" s="6">
        <v>0</v>
      </c>
      <c r="BW884" s="6">
        <v>0</v>
      </c>
      <c r="BX884" s="6">
        <v>0</v>
      </c>
      <c r="BY884" s="6">
        <v>0</v>
      </c>
      <c r="BZ884" s="6">
        <v>0</v>
      </c>
      <c r="CA884" s="6">
        <v>0</v>
      </c>
      <c r="CB884" s="6">
        <v>0</v>
      </c>
      <c r="CC884" s="6">
        <f>IF(Table3[[#This Row],[Type]]="EM",IF((Table3[[#This Row],[Diameter]]/2)-Table3[[#This Row],[CornerRadius]]-0.012&gt;0,(Table3[[#This Row],[Diameter]]/2)-Table3[[#This Row],[CornerRadius]]-0.012,0),)</f>
        <v>0.113</v>
      </c>
      <c r="CE884" s="6" t="str">
        <f>IF(Table3[[#This Row],[ShoulderLength]]="","",IF(Table3[[#This Row],[ShoulderLength]]&lt;Table3[[#This Row],[LOC]],"FIX",""))</f>
        <v/>
      </c>
    </row>
    <row r="885" spans="1:83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v>0</v>
      </c>
      <c r="BN885" s="6">
        <v>0</v>
      </c>
      <c r="BO885" s="6">
        <v>0</v>
      </c>
      <c r="BP885" s="6">
        <v>0</v>
      </c>
      <c r="BQ885" s="6">
        <v>0</v>
      </c>
      <c r="BR885" s="6">
        <v>0</v>
      </c>
      <c r="BS885" s="6">
        <v>0</v>
      </c>
      <c r="BT885" s="6">
        <v>0</v>
      </c>
      <c r="BU885" s="6">
        <v>0</v>
      </c>
      <c r="BV885" s="6">
        <v>0</v>
      </c>
      <c r="BW885" s="6">
        <v>0</v>
      </c>
      <c r="BX885" s="6">
        <v>0</v>
      </c>
      <c r="BY885" s="6">
        <v>0</v>
      </c>
      <c r="BZ885" s="6">
        <v>0</v>
      </c>
      <c r="CA885" s="6">
        <v>0</v>
      </c>
      <c r="CB885" s="6">
        <v>0</v>
      </c>
      <c r="CC885" s="6">
        <f>IF(Table3[[#This Row],[Type]]="EM",IF((Table3[[#This Row],[Diameter]]/2)-Table3[[#This Row],[CornerRadius]]-0.012&gt;0,(Table3[[#This Row],[Diameter]]/2)-Table3[[#This Row],[CornerRadius]]-0.012,0),)</f>
        <v>0.113</v>
      </c>
      <c r="CE885" s="6" t="str">
        <f>IF(Table3[[#This Row],[ShoulderLength]]="","",IF(Table3[[#This Row],[ShoulderLength]]&lt;Table3[[#This Row],[LOC]],"FIX",""))</f>
        <v/>
      </c>
    </row>
    <row r="886" spans="1:83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v>0</v>
      </c>
      <c r="BN886" s="6">
        <v>0</v>
      </c>
      <c r="BO886" s="6">
        <v>0</v>
      </c>
      <c r="BP886" s="6">
        <v>0</v>
      </c>
      <c r="BQ886" s="6">
        <v>0</v>
      </c>
      <c r="BR886" s="6">
        <v>0</v>
      </c>
      <c r="BS886" s="6">
        <v>0</v>
      </c>
      <c r="BT886" s="6">
        <v>0</v>
      </c>
      <c r="BU886" s="6">
        <v>0</v>
      </c>
      <c r="BV886" s="6">
        <v>0</v>
      </c>
      <c r="BW886" s="6">
        <v>0</v>
      </c>
      <c r="BX886" s="6">
        <v>0</v>
      </c>
      <c r="BY886" s="6">
        <v>0</v>
      </c>
      <c r="BZ886" s="6">
        <v>0</v>
      </c>
      <c r="CA886" s="6">
        <v>0</v>
      </c>
      <c r="CB886" s="6">
        <v>0</v>
      </c>
      <c r="CC886" s="6">
        <f>IF(Table3[[#This Row],[Type]]="EM",IF((Table3[[#This Row],[Diameter]]/2)-Table3[[#This Row],[CornerRadius]]-0.012&gt;0,(Table3[[#This Row],[Diameter]]/2)-Table3[[#This Row],[CornerRadius]]-0.012,0),)</f>
        <v>0.113</v>
      </c>
      <c r="CE886" s="6" t="str">
        <f>IF(Table3[[#This Row],[ShoulderLength]]="","",IF(Table3[[#This Row],[ShoulderLength]]&lt;Table3[[#This Row],[LOC]],"FIX",""))</f>
        <v/>
      </c>
    </row>
    <row r="887" spans="1:83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v>0</v>
      </c>
      <c r="BN887" s="6">
        <v>0</v>
      </c>
      <c r="BO887" s="6">
        <v>0</v>
      </c>
      <c r="BP887" s="6">
        <v>0</v>
      </c>
      <c r="BQ887" s="6">
        <v>0</v>
      </c>
      <c r="BR887" s="6">
        <v>0</v>
      </c>
      <c r="BS887" s="6">
        <v>0</v>
      </c>
      <c r="BT887" s="6">
        <v>0</v>
      </c>
      <c r="BU887" s="6">
        <v>0</v>
      </c>
      <c r="BV887" s="6">
        <v>0</v>
      </c>
      <c r="BW887" s="6">
        <v>0</v>
      </c>
      <c r="BX887" s="6">
        <v>0</v>
      </c>
      <c r="BY887" s="6">
        <v>0</v>
      </c>
      <c r="BZ887" s="6">
        <v>0</v>
      </c>
      <c r="CA887" s="6">
        <v>0</v>
      </c>
      <c r="CB887" s="6">
        <v>0</v>
      </c>
      <c r="CC887" s="6">
        <f>IF(Table3[[#This Row],[Type]]="EM",IF((Table3[[#This Row],[Diameter]]/2)-Table3[[#This Row],[CornerRadius]]-0.012&gt;0,(Table3[[#This Row],[Diameter]]/2)-Table3[[#This Row],[CornerRadius]]-0.012,0),)</f>
        <v>0.113</v>
      </c>
      <c r="CE887" s="6" t="str">
        <f>IF(Table3[[#This Row],[ShoulderLength]]="","",IF(Table3[[#This Row],[ShoulderLength]]&lt;Table3[[#This Row],[LOC]],"FIX",""))</f>
        <v/>
      </c>
    </row>
    <row r="888" spans="1:83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v>0</v>
      </c>
      <c r="BN888" s="6">
        <v>0</v>
      </c>
      <c r="BO888" s="6">
        <v>0</v>
      </c>
      <c r="BP888" s="6">
        <v>0</v>
      </c>
      <c r="BQ888" s="6">
        <v>0</v>
      </c>
      <c r="BR888" s="6">
        <v>0</v>
      </c>
      <c r="BS888" s="6">
        <v>0</v>
      </c>
      <c r="BT888" s="6">
        <v>0</v>
      </c>
      <c r="BU888" s="6">
        <v>0</v>
      </c>
      <c r="BV888" s="6">
        <v>0</v>
      </c>
      <c r="BW888" s="6">
        <v>0</v>
      </c>
      <c r="BX888" s="6">
        <v>0</v>
      </c>
      <c r="BY888" s="6">
        <v>0</v>
      </c>
      <c r="BZ888" s="6">
        <v>0</v>
      </c>
      <c r="CA888" s="6">
        <v>0</v>
      </c>
      <c r="CB888" s="6">
        <v>0</v>
      </c>
      <c r="CC888" s="6">
        <f>IF(Table3[[#This Row],[Type]]="EM",IF((Table3[[#This Row],[Diameter]]/2)-Table3[[#This Row],[CornerRadius]]-0.012&gt;0,(Table3[[#This Row],[Diameter]]/2)-Table3[[#This Row],[CornerRadius]]-0.012,0),)</f>
        <v>0.113</v>
      </c>
      <c r="CE888" s="6" t="str">
        <f>IF(Table3[[#This Row],[ShoulderLength]]="","",IF(Table3[[#This Row],[ShoulderLength]]&lt;Table3[[#This Row],[LOC]],"FIX",""))</f>
        <v/>
      </c>
    </row>
    <row r="889" spans="1:83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v>0</v>
      </c>
      <c r="BN889" s="6">
        <v>0</v>
      </c>
      <c r="BO889" s="6">
        <v>0</v>
      </c>
      <c r="BP889" s="6">
        <v>0</v>
      </c>
      <c r="BQ889" s="6">
        <v>0</v>
      </c>
      <c r="BR889" s="6">
        <v>0</v>
      </c>
      <c r="BS889" s="6">
        <v>0</v>
      </c>
      <c r="BT889" s="6">
        <v>0</v>
      </c>
      <c r="BU889" s="6">
        <v>0</v>
      </c>
      <c r="BV889" s="6">
        <v>0</v>
      </c>
      <c r="BW889" s="6">
        <v>0</v>
      </c>
      <c r="BX889" s="6">
        <v>0</v>
      </c>
      <c r="BY889" s="6">
        <v>0</v>
      </c>
      <c r="BZ889" s="6">
        <v>0</v>
      </c>
      <c r="CA889" s="6">
        <v>0</v>
      </c>
      <c r="CB889" s="6">
        <v>0</v>
      </c>
      <c r="CC889" s="6">
        <f>IF(Table3[[#This Row],[Type]]="EM",IF((Table3[[#This Row],[Diameter]]/2)-Table3[[#This Row],[CornerRadius]]-0.012&gt;0,(Table3[[#This Row],[Diameter]]/2)-Table3[[#This Row],[CornerRadius]]-0.012,0),)</f>
        <v>0.113</v>
      </c>
      <c r="CE889" s="6" t="str">
        <f>IF(Table3[[#This Row],[ShoulderLength]]="","",IF(Table3[[#This Row],[ShoulderLength]]&lt;Table3[[#This Row],[LOC]],"FIX",""))</f>
        <v/>
      </c>
    </row>
    <row r="890" spans="1:83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v>0</v>
      </c>
      <c r="BN890" s="6">
        <v>0</v>
      </c>
      <c r="BO890" s="6">
        <v>0</v>
      </c>
      <c r="BP890" s="6">
        <v>0</v>
      </c>
      <c r="BQ890" s="6">
        <v>0</v>
      </c>
      <c r="BR890" s="6">
        <v>0</v>
      </c>
      <c r="BS890" s="6">
        <v>0</v>
      </c>
      <c r="BT890" s="6">
        <v>0</v>
      </c>
      <c r="BU890" s="6">
        <v>0</v>
      </c>
      <c r="BV890" s="6">
        <v>0</v>
      </c>
      <c r="BW890" s="6">
        <v>0</v>
      </c>
      <c r="BX890" s="6">
        <v>0</v>
      </c>
      <c r="BY890" s="6">
        <v>0</v>
      </c>
      <c r="BZ890" s="6">
        <v>0</v>
      </c>
      <c r="CA890" s="6">
        <v>0</v>
      </c>
      <c r="CB890" s="6">
        <v>0</v>
      </c>
      <c r="CC890" s="6">
        <f>IF(Table3[[#This Row],[Type]]="EM",IF((Table3[[#This Row],[Diameter]]/2)-Table3[[#This Row],[CornerRadius]]-0.012&gt;0,(Table3[[#This Row],[Diameter]]/2)-Table3[[#This Row],[CornerRadius]]-0.012,0),)</f>
        <v>0.113</v>
      </c>
      <c r="CE890" s="6" t="str">
        <f>IF(Table3[[#This Row],[ShoulderLength]]="","",IF(Table3[[#This Row],[ShoulderLength]]&lt;Table3[[#This Row],[LOC]],"FIX",""))</f>
        <v/>
      </c>
    </row>
    <row r="891" spans="1:83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v>0</v>
      </c>
      <c r="BN891" s="6">
        <v>0</v>
      </c>
      <c r="BO891" s="6">
        <v>0</v>
      </c>
      <c r="BP891" s="6">
        <v>0</v>
      </c>
      <c r="BQ891" s="6">
        <v>0</v>
      </c>
      <c r="BR891" s="6">
        <v>0</v>
      </c>
      <c r="BS891" s="6">
        <v>0</v>
      </c>
      <c r="BT891" s="6">
        <v>0</v>
      </c>
      <c r="BU891" s="6">
        <v>0</v>
      </c>
      <c r="BV891" s="6">
        <v>0</v>
      </c>
      <c r="BW891" s="6">
        <v>0</v>
      </c>
      <c r="BX891" s="6">
        <v>0</v>
      </c>
      <c r="BY891" s="6">
        <v>0</v>
      </c>
      <c r="BZ891" s="6">
        <v>0</v>
      </c>
      <c r="CA891" s="6">
        <v>0</v>
      </c>
      <c r="CB891" s="6">
        <v>0</v>
      </c>
      <c r="CC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1" s="6" t="str">
        <f>IF(Table3[[#This Row],[ShoulderLength]]="","",IF(Table3[[#This Row],[ShoulderLength]]&lt;Table3[[#This Row],[LOC]],"FIX",""))</f>
        <v/>
      </c>
    </row>
    <row r="892" spans="1:83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v>0</v>
      </c>
      <c r="BN892" s="6">
        <v>0</v>
      </c>
      <c r="BO892" s="6">
        <v>0</v>
      </c>
      <c r="BP892" s="6">
        <v>0</v>
      </c>
      <c r="BQ892" s="6">
        <v>0</v>
      </c>
      <c r="BR892" s="6">
        <v>0</v>
      </c>
      <c r="BS892" s="6">
        <v>0</v>
      </c>
      <c r="BT892" s="6">
        <v>0</v>
      </c>
      <c r="BU892" s="6">
        <v>0</v>
      </c>
      <c r="BV892" s="6">
        <v>0</v>
      </c>
      <c r="BW892" s="6">
        <v>0</v>
      </c>
      <c r="BX892" s="6">
        <v>0</v>
      </c>
      <c r="BY892" s="6">
        <v>0</v>
      </c>
      <c r="BZ892" s="6">
        <v>0</v>
      </c>
      <c r="CA892" s="6">
        <v>0</v>
      </c>
      <c r="CB892" s="6">
        <v>0</v>
      </c>
      <c r="CC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2" s="6" t="str">
        <f>IF(Table3[[#This Row],[ShoulderLength]]="","",IF(Table3[[#This Row],[ShoulderLength]]&lt;Table3[[#This Row],[LOC]],"FIX",""))</f>
        <v/>
      </c>
    </row>
    <row r="893" spans="1:83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v>0</v>
      </c>
      <c r="BN893" s="6">
        <v>0</v>
      </c>
      <c r="BO893" s="6">
        <v>0</v>
      </c>
      <c r="BP893" s="6">
        <v>0</v>
      </c>
      <c r="BQ893" s="6">
        <v>0</v>
      </c>
      <c r="BR893" s="6">
        <v>0</v>
      </c>
      <c r="BS893" s="6">
        <v>0</v>
      </c>
      <c r="BT893" s="6">
        <v>0</v>
      </c>
      <c r="BU893" s="6">
        <v>0</v>
      </c>
      <c r="BV893" s="6">
        <v>0</v>
      </c>
      <c r="BW893" s="6">
        <v>0</v>
      </c>
      <c r="BX893" s="6">
        <v>0</v>
      </c>
      <c r="BY893" s="6">
        <v>0</v>
      </c>
      <c r="BZ893" s="6">
        <v>0</v>
      </c>
      <c r="CA893" s="6">
        <v>0</v>
      </c>
      <c r="CB893" s="6">
        <v>0</v>
      </c>
      <c r="CC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CE893" s="6" t="str">
        <f>IF(Table3[[#This Row],[ShoulderLength]]="","",IF(Table3[[#This Row],[ShoulderLength]]&lt;Table3[[#This Row],[LOC]],"FIX",""))</f>
        <v/>
      </c>
    </row>
    <row r="894" spans="1:83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v>0</v>
      </c>
      <c r="BN894" s="6">
        <v>0</v>
      </c>
      <c r="BO894" s="6">
        <v>0</v>
      </c>
      <c r="BP894" s="6">
        <v>0</v>
      </c>
      <c r="BQ894" s="6">
        <v>0</v>
      </c>
      <c r="BR894" s="6">
        <v>0</v>
      </c>
      <c r="BS894" s="6">
        <v>0</v>
      </c>
      <c r="BT894" s="6">
        <v>0</v>
      </c>
      <c r="BU894" s="6">
        <v>0</v>
      </c>
      <c r="BV894" s="6">
        <v>0</v>
      </c>
      <c r="BW894" s="6">
        <v>0</v>
      </c>
      <c r="BX894" s="6">
        <v>0</v>
      </c>
      <c r="BY894" s="6">
        <v>0</v>
      </c>
      <c r="BZ894" s="6">
        <v>0</v>
      </c>
      <c r="CA894" s="6">
        <v>0</v>
      </c>
      <c r="CB894" s="6">
        <v>0</v>
      </c>
      <c r="CC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4" s="6" t="str">
        <f>IF(Table3[[#This Row],[ShoulderLength]]="","",IF(Table3[[#This Row],[ShoulderLength]]&lt;Table3[[#This Row],[LOC]],"FIX",""))</f>
        <v/>
      </c>
    </row>
    <row r="895" spans="1:83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v>0</v>
      </c>
      <c r="BN895" s="6">
        <v>0</v>
      </c>
      <c r="BO895" s="6">
        <v>0</v>
      </c>
      <c r="BP895" s="6">
        <v>0</v>
      </c>
      <c r="BQ895" s="6">
        <v>0</v>
      </c>
      <c r="BR895" s="6">
        <v>0</v>
      </c>
      <c r="BS895" s="6">
        <v>0</v>
      </c>
      <c r="BT895" s="6">
        <v>0</v>
      </c>
      <c r="BU895" s="6">
        <v>0</v>
      </c>
      <c r="BV895" s="6">
        <v>0</v>
      </c>
      <c r="BW895" s="6">
        <v>0</v>
      </c>
      <c r="BX895" s="6">
        <v>0</v>
      </c>
      <c r="BY895" s="6">
        <v>0</v>
      </c>
      <c r="BZ895" s="6">
        <v>0</v>
      </c>
      <c r="CA895" s="6">
        <v>0</v>
      </c>
      <c r="CB895" s="6">
        <v>0</v>
      </c>
      <c r="CC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5" s="6" t="str">
        <f>IF(Table3[[#This Row],[ShoulderLength]]="","",IF(Table3[[#This Row],[ShoulderLength]]&lt;Table3[[#This Row],[LOC]],"FIX",""))</f>
        <v/>
      </c>
    </row>
    <row r="896" spans="1:83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v>0</v>
      </c>
      <c r="BN896" s="6">
        <v>0</v>
      </c>
      <c r="BO896" s="6">
        <v>0</v>
      </c>
      <c r="BP896" s="6">
        <v>0</v>
      </c>
      <c r="BQ896" s="6">
        <v>0</v>
      </c>
      <c r="BR896" s="6">
        <v>0</v>
      </c>
      <c r="BS896" s="6">
        <v>0</v>
      </c>
      <c r="BT896" s="6">
        <v>0</v>
      </c>
      <c r="BU896" s="6">
        <v>0</v>
      </c>
      <c r="BV896" s="6">
        <v>0</v>
      </c>
      <c r="BW896" s="6">
        <v>0</v>
      </c>
      <c r="BX896" s="6">
        <v>0</v>
      </c>
      <c r="BY896" s="6">
        <v>0</v>
      </c>
      <c r="BZ896" s="6">
        <v>0</v>
      </c>
      <c r="CA896" s="6">
        <v>0</v>
      </c>
      <c r="CB896" s="6">
        <v>0</v>
      </c>
      <c r="CC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6" s="6" t="str">
        <f>IF(Table3[[#This Row],[ShoulderLength]]="","",IF(Table3[[#This Row],[ShoulderLength]]&lt;Table3[[#This Row],[LOC]],"FIX",""))</f>
        <v/>
      </c>
    </row>
    <row r="897" spans="1:83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v>0</v>
      </c>
      <c r="BN897" s="6">
        <v>0</v>
      </c>
      <c r="BO897" s="6">
        <v>0</v>
      </c>
      <c r="BP897" s="6">
        <v>0</v>
      </c>
      <c r="BQ897" s="6">
        <v>0</v>
      </c>
      <c r="BR897" s="6">
        <v>0</v>
      </c>
      <c r="BS897" s="6">
        <v>0</v>
      </c>
      <c r="BT897" s="6">
        <v>0</v>
      </c>
      <c r="BU897" s="6">
        <v>0</v>
      </c>
      <c r="BV897" s="6">
        <v>0</v>
      </c>
      <c r="BW897" s="6">
        <v>0</v>
      </c>
      <c r="BX897" s="6">
        <v>0</v>
      </c>
      <c r="BY897" s="6">
        <v>0</v>
      </c>
      <c r="BZ897" s="6">
        <v>0</v>
      </c>
      <c r="CA897" s="6">
        <v>0</v>
      </c>
      <c r="CB897" s="6">
        <v>0</v>
      </c>
      <c r="CC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7" s="6" t="str">
        <f>IF(Table3[[#This Row],[ShoulderLength]]="","",IF(Table3[[#This Row],[ShoulderLength]]&lt;Table3[[#This Row],[LOC]],"FIX",""))</f>
        <v/>
      </c>
    </row>
    <row r="898" spans="1:83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v>0</v>
      </c>
      <c r="BN898" s="6">
        <v>0</v>
      </c>
      <c r="BO898" s="6">
        <v>0</v>
      </c>
      <c r="BP898" s="6">
        <v>0</v>
      </c>
      <c r="BQ898" s="6">
        <v>0</v>
      </c>
      <c r="BR898" s="6">
        <v>0</v>
      </c>
      <c r="BS898" s="6">
        <v>0</v>
      </c>
      <c r="BT898" s="6">
        <v>0</v>
      </c>
      <c r="BU898" s="6">
        <v>0</v>
      </c>
      <c r="BV898" s="6">
        <v>0</v>
      </c>
      <c r="BW898" s="6">
        <v>0</v>
      </c>
      <c r="BX898" s="6">
        <v>0</v>
      </c>
      <c r="BY898" s="6">
        <v>0</v>
      </c>
      <c r="BZ898" s="6">
        <v>0</v>
      </c>
      <c r="CA898" s="6">
        <v>0</v>
      </c>
      <c r="CB898" s="6">
        <v>0</v>
      </c>
      <c r="CC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8" s="6" t="str">
        <f>IF(Table3[[#This Row],[ShoulderLength]]="","",IF(Table3[[#This Row],[ShoulderLength]]&lt;Table3[[#This Row],[LOC]],"FIX",""))</f>
        <v/>
      </c>
    </row>
    <row r="899" spans="1:83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v>0</v>
      </c>
      <c r="BN899" s="6">
        <v>0</v>
      </c>
      <c r="BO899" s="6">
        <v>0</v>
      </c>
      <c r="BP899" s="6">
        <v>0</v>
      </c>
      <c r="BQ899" s="6">
        <v>0</v>
      </c>
      <c r="BR899" s="6">
        <v>0</v>
      </c>
      <c r="BS899" s="6">
        <v>0</v>
      </c>
      <c r="BT899" s="6">
        <v>0</v>
      </c>
      <c r="BU899" s="6">
        <v>0</v>
      </c>
      <c r="BV899" s="6">
        <v>0</v>
      </c>
      <c r="BW899" s="6">
        <v>0</v>
      </c>
      <c r="BX899" s="6">
        <v>0</v>
      </c>
      <c r="BY899" s="6">
        <v>0</v>
      </c>
      <c r="BZ899" s="6">
        <v>0</v>
      </c>
      <c r="CA899" s="6">
        <v>0</v>
      </c>
      <c r="CB899" s="6">
        <v>0</v>
      </c>
      <c r="CC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CE899" s="6" t="str">
        <f>IF(Table3[[#This Row],[ShoulderLength]]="","",IF(Table3[[#This Row],[ShoulderLength]]&lt;Table3[[#This Row],[LOC]],"FIX",""))</f>
        <v/>
      </c>
    </row>
    <row r="900" spans="1:83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v>0</v>
      </c>
      <c r="BN900" s="6">
        <v>0</v>
      </c>
      <c r="BO900" s="6">
        <v>0</v>
      </c>
      <c r="BP900" s="6">
        <v>0</v>
      </c>
      <c r="BQ900" s="6">
        <v>0</v>
      </c>
      <c r="BR900" s="6">
        <v>0</v>
      </c>
      <c r="BS900" s="6">
        <v>0</v>
      </c>
      <c r="BT900" s="6">
        <v>0</v>
      </c>
      <c r="BU900" s="6">
        <v>0</v>
      </c>
      <c r="BV900" s="6">
        <v>0</v>
      </c>
      <c r="BW900" s="6">
        <v>0</v>
      </c>
      <c r="BX900" s="6">
        <v>0</v>
      </c>
      <c r="BY900" s="6">
        <v>0</v>
      </c>
      <c r="BZ900" s="6">
        <v>0</v>
      </c>
      <c r="CA900" s="6">
        <v>0</v>
      </c>
      <c r="CB900" s="6">
        <v>0</v>
      </c>
      <c r="CC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0" s="6" t="str">
        <f>IF(Table3[[#This Row],[ShoulderLength]]="","",IF(Table3[[#This Row],[ShoulderLength]]&lt;Table3[[#This Row],[LOC]],"FIX",""))</f>
        <v/>
      </c>
    </row>
    <row r="901" spans="1:83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v>0</v>
      </c>
      <c r="BN901" s="6">
        <v>0</v>
      </c>
      <c r="BO901" s="6">
        <v>0</v>
      </c>
      <c r="BP901" s="6">
        <v>0</v>
      </c>
      <c r="BQ901" s="6">
        <v>0</v>
      </c>
      <c r="BR901" s="6">
        <v>0</v>
      </c>
      <c r="BS901" s="6">
        <v>0</v>
      </c>
      <c r="BT901" s="6">
        <v>0</v>
      </c>
      <c r="BU901" s="6">
        <v>0</v>
      </c>
      <c r="BV901" s="6">
        <v>0</v>
      </c>
      <c r="BW901" s="6">
        <v>0</v>
      </c>
      <c r="BX901" s="6">
        <v>0</v>
      </c>
      <c r="BY901" s="6">
        <v>0</v>
      </c>
      <c r="BZ901" s="6">
        <v>0</v>
      </c>
      <c r="CA901" s="6">
        <v>0</v>
      </c>
      <c r="CB901" s="6">
        <v>0</v>
      </c>
      <c r="CC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1" s="6" t="str">
        <f>IF(Table3[[#This Row],[ShoulderLength]]="","",IF(Table3[[#This Row],[ShoulderLength]]&lt;Table3[[#This Row],[LOC]],"FIX",""))</f>
        <v>FIX</v>
      </c>
    </row>
    <row r="902" spans="1:83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v>0</v>
      </c>
      <c r="BN902" s="6">
        <v>0</v>
      </c>
      <c r="BO902" s="6">
        <v>0</v>
      </c>
      <c r="BP902" s="6">
        <v>0</v>
      </c>
      <c r="BQ902" s="6">
        <v>0</v>
      </c>
      <c r="BR902" s="6">
        <v>0</v>
      </c>
      <c r="BS902" s="6">
        <v>0</v>
      </c>
      <c r="BT902" s="6">
        <v>0</v>
      </c>
      <c r="BU902" s="6">
        <v>0</v>
      </c>
      <c r="BV902" s="6">
        <v>0</v>
      </c>
      <c r="BW902" s="6">
        <v>0</v>
      </c>
      <c r="BX902" s="6">
        <v>0</v>
      </c>
      <c r="BY902" s="6">
        <v>0</v>
      </c>
      <c r="BZ902" s="6">
        <v>0</v>
      </c>
      <c r="CA902" s="6">
        <v>0</v>
      </c>
      <c r="CB902" s="6">
        <v>0</v>
      </c>
      <c r="CC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2" s="6" t="str">
        <f>IF(Table3[[#This Row],[ShoulderLength]]="","",IF(Table3[[#This Row],[ShoulderLength]]&lt;Table3[[#This Row],[LOC]],"FIX",""))</f>
        <v/>
      </c>
    </row>
    <row r="903" spans="1:83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v>0</v>
      </c>
      <c r="BN903" s="6">
        <v>0</v>
      </c>
      <c r="BO903" s="6">
        <v>0</v>
      </c>
      <c r="BP903" s="6">
        <v>0</v>
      </c>
      <c r="BQ903" s="6">
        <v>0</v>
      </c>
      <c r="BR903" s="6">
        <v>0</v>
      </c>
      <c r="BS903" s="6">
        <v>0</v>
      </c>
      <c r="BT903" s="6">
        <v>0</v>
      </c>
      <c r="BU903" s="6">
        <v>0</v>
      </c>
      <c r="BV903" s="6">
        <v>0</v>
      </c>
      <c r="BW903" s="6">
        <v>0</v>
      </c>
      <c r="BX903" s="6">
        <v>0</v>
      </c>
      <c r="BY903" s="6">
        <v>0</v>
      </c>
      <c r="BZ903" s="6">
        <v>0</v>
      </c>
      <c r="CA903" s="6">
        <v>0</v>
      </c>
      <c r="CB903" s="6">
        <v>0</v>
      </c>
      <c r="CC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3" s="6" t="str">
        <f>IF(Table3[[#This Row],[ShoulderLength]]="","",IF(Table3[[#This Row],[ShoulderLength]]&lt;Table3[[#This Row],[LOC]],"FIX",""))</f>
        <v/>
      </c>
    </row>
    <row r="904" spans="1:83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v>0</v>
      </c>
      <c r="BN904" s="6">
        <v>0</v>
      </c>
      <c r="BO904" s="6">
        <v>0</v>
      </c>
      <c r="BP904" s="6">
        <v>0</v>
      </c>
      <c r="BQ904" s="6">
        <v>0</v>
      </c>
      <c r="BR904" s="6">
        <v>0</v>
      </c>
      <c r="BS904" s="6">
        <v>0</v>
      </c>
      <c r="BT904" s="6">
        <v>0</v>
      </c>
      <c r="BU904" s="6">
        <v>0</v>
      </c>
      <c r="BV904" s="6">
        <v>0</v>
      </c>
      <c r="BW904" s="6">
        <v>0</v>
      </c>
      <c r="BX904" s="6">
        <v>0</v>
      </c>
      <c r="BY904" s="6">
        <v>0</v>
      </c>
      <c r="BZ904" s="6">
        <v>0</v>
      </c>
      <c r="CA904" s="6">
        <v>0</v>
      </c>
      <c r="CB904" s="6">
        <v>0</v>
      </c>
      <c r="CC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4" s="6" t="str">
        <f>IF(Table3[[#This Row],[ShoulderLength]]="","",IF(Table3[[#This Row],[ShoulderLength]]&lt;Table3[[#This Row],[LOC]],"FIX",""))</f>
        <v/>
      </c>
    </row>
    <row r="905" spans="1:83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v>0</v>
      </c>
      <c r="BN905" s="6">
        <v>0</v>
      </c>
      <c r="BO905" s="6">
        <v>0</v>
      </c>
      <c r="BP905" s="6">
        <v>0</v>
      </c>
      <c r="BQ905" s="6">
        <v>0</v>
      </c>
      <c r="BR905" s="6">
        <v>0</v>
      </c>
      <c r="BS905" s="6">
        <v>0</v>
      </c>
      <c r="BT905" s="6">
        <v>0</v>
      </c>
      <c r="BU905" s="6">
        <v>0</v>
      </c>
      <c r="BV905" s="6">
        <v>0</v>
      </c>
      <c r="BW905" s="6">
        <v>0</v>
      </c>
      <c r="BX905" s="6">
        <v>0</v>
      </c>
      <c r="BY905" s="6">
        <v>0</v>
      </c>
      <c r="BZ905" s="6">
        <v>0</v>
      </c>
      <c r="CA905" s="6">
        <v>0</v>
      </c>
      <c r="CB905" s="6">
        <v>0</v>
      </c>
      <c r="CC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5" s="6" t="str">
        <f>IF(Table3[[#This Row],[ShoulderLength]]="","",IF(Table3[[#This Row],[ShoulderLength]]&lt;Table3[[#This Row],[LOC]],"FIX",""))</f>
        <v/>
      </c>
    </row>
    <row r="906" spans="1:83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v>0</v>
      </c>
      <c r="BN906" s="6">
        <v>0</v>
      </c>
      <c r="BO906" s="6">
        <v>0</v>
      </c>
      <c r="BP906" s="6">
        <v>0</v>
      </c>
      <c r="BQ906" s="6">
        <v>0</v>
      </c>
      <c r="BR906" s="6">
        <v>0</v>
      </c>
      <c r="BS906" s="6">
        <v>0</v>
      </c>
      <c r="BT906" s="6">
        <v>0</v>
      </c>
      <c r="BU906" s="6">
        <v>0</v>
      </c>
      <c r="BV906" s="6">
        <v>0</v>
      </c>
      <c r="BW906" s="6">
        <v>0</v>
      </c>
      <c r="BX906" s="6">
        <v>0</v>
      </c>
      <c r="BY906" s="6">
        <v>0</v>
      </c>
      <c r="BZ906" s="6">
        <v>0</v>
      </c>
      <c r="CA906" s="6">
        <v>0</v>
      </c>
      <c r="CB906" s="6">
        <v>0</v>
      </c>
      <c r="CC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6" s="6" t="str">
        <f>IF(Table3[[#This Row],[ShoulderLength]]="","",IF(Table3[[#This Row],[ShoulderLength]]&lt;Table3[[#This Row],[LOC]],"FIX",""))</f>
        <v/>
      </c>
    </row>
    <row r="907" spans="1:83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v>0</v>
      </c>
      <c r="BN907" s="6">
        <v>0</v>
      </c>
      <c r="BO907" s="6">
        <v>0</v>
      </c>
      <c r="BP907" s="6">
        <v>0</v>
      </c>
      <c r="BQ907" s="6">
        <v>0</v>
      </c>
      <c r="BR907" s="6">
        <v>0</v>
      </c>
      <c r="BS907" s="6">
        <v>0</v>
      </c>
      <c r="BT907" s="6">
        <v>0</v>
      </c>
      <c r="BU907" s="6">
        <v>0</v>
      </c>
      <c r="BV907" s="6">
        <v>0</v>
      </c>
      <c r="BW907" s="6">
        <v>0</v>
      </c>
      <c r="BX907" s="6">
        <v>0</v>
      </c>
      <c r="BY907" s="6">
        <v>0</v>
      </c>
      <c r="BZ907" s="6">
        <v>0</v>
      </c>
      <c r="CA907" s="6">
        <v>0</v>
      </c>
      <c r="CB907" s="6">
        <v>0</v>
      </c>
      <c r="CC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7" s="6" t="str">
        <f>IF(Table3[[#This Row],[ShoulderLength]]="","",IF(Table3[[#This Row],[ShoulderLength]]&lt;Table3[[#This Row],[LOC]],"FIX",""))</f>
        <v/>
      </c>
    </row>
    <row r="908" spans="1:83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v>0</v>
      </c>
      <c r="BN908" s="6">
        <v>0</v>
      </c>
      <c r="BO908" s="6">
        <v>0</v>
      </c>
      <c r="BP908" s="6">
        <v>0</v>
      </c>
      <c r="BQ908" s="6">
        <v>0</v>
      </c>
      <c r="BR908" s="6">
        <v>0</v>
      </c>
      <c r="BS908" s="6">
        <v>0</v>
      </c>
      <c r="BT908" s="6">
        <v>0</v>
      </c>
      <c r="BU908" s="6">
        <v>0</v>
      </c>
      <c r="BV908" s="6">
        <v>0</v>
      </c>
      <c r="BW908" s="6">
        <v>0</v>
      </c>
      <c r="BX908" s="6">
        <v>0</v>
      </c>
      <c r="BY908" s="6">
        <v>0</v>
      </c>
      <c r="BZ908" s="6">
        <v>0</v>
      </c>
      <c r="CA908" s="6">
        <v>0</v>
      </c>
      <c r="CB908" s="6">
        <v>0</v>
      </c>
      <c r="CC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8" s="6" t="str">
        <f>IF(Table3[[#This Row],[ShoulderLength]]="","",IF(Table3[[#This Row],[ShoulderLength]]&lt;Table3[[#This Row],[LOC]],"FIX",""))</f>
        <v/>
      </c>
    </row>
    <row r="909" spans="1:83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v>0</v>
      </c>
      <c r="BN909" s="6">
        <v>0</v>
      </c>
      <c r="BO909" s="6">
        <v>0</v>
      </c>
      <c r="BP909" s="6">
        <v>0</v>
      </c>
      <c r="BQ909" s="6">
        <v>0</v>
      </c>
      <c r="BR909" s="6">
        <v>0</v>
      </c>
      <c r="BS909" s="6">
        <v>0</v>
      </c>
      <c r="BT909" s="6">
        <v>0</v>
      </c>
      <c r="BU909" s="6">
        <v>0</v>
      </c>
      <c r="BV909" s="6">
        <v>0</v>
      </c>
      <c r="BW909" s="6">
        <v>0</v>
      </c>
      <c r="BX909" s="6">
        <v>0</v>
      </c>
      <c r="BY909" s="6">
        <v>0</v>
      </c>
      <c r="BZ909" s="6">
        <v>0</v>
      </c>
      <c r="CA909" s="6">
        <v>0</v>
      </c>
      <c r="CB909" s="6">
        <v>0</v>
      </c>
      <c r="CC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9" s="6" t="str">
        <f>IF(Table3[[#This Row],[ShoulderLength]]="","",IF(Table3[[#This Row],[ShoulderLength]]&lt;Table3[[#This Row],[LOC]],"FIX",""))</f>
        <v/>
      </c>
    </row>
    <row r="910" spans="1:83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v>0</v>
      </c>
      <c r="BN910" s="6">
        <v>0</v>
      </c>
      <c r="BO910" s="6">
        <v>0</v>
      </c>
      <c r="BP910" s="6">
        <v>0</v>
      </c>
      <c r="BQ910" s="6">
        <v>0</v>
      </c>
      <c r="BR910" s="6">
        <v>0</v>
      </c>
      <c r="BS910" s="6">
        <v>0</v>
      </c>
      <c r="BT910" s="6">
        <v>0</v>
      </c>
      <c r="BU910" s="6">
        <v>0</v>
      </c>
      <c r="BV910" s="6">
        <v>0</v>
      </c>
      <c r="BW910" s="6">
        <v>0</v>
      </c>
      <c r="BX910" s="6">
        <v>0</v>
      </c>
      <c r="BY910" s="6">
        <v>0</v>
      </c>
      <c r="BZ910" s="6">
        <v>0</v>
      </c>
      <c r="CA910" s="6">
        <v>0</v>
      </c>
      <c r="CB910" s="6">
        <v>0</v>
      </c>
      <c r="CC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0" s="6" t="str">
        <f>IF(Table3[[#This Row],[ShoulderLength]]="","",IF(Table3[[#This Row],[ShoulderLength]]&lt;Table3[[#This Row],[LOC]],"FIX",""))</f>
        <v/>
      </c>
    </row>
    <row r="911" spans="1:83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v>0</v>
      </c>
      <c r="BN911" s="6">
        <v>0</v>
      </c>
      <c r="BO911" s="6">
        <v>0</v>
      </c>
      <c r="BP911" s="6">
        <v>0</v>
      </c>
      <c r="BQ911" s="6">
        <v>0</v>
      </c>
      <c r="BR911" s="6">
        <v>0</v>
      </c>
      <c r="BS911" s="6">
        <v>0</v>
      </c>
      <c r="BT911" s="6">
        <v>0</v>
      </c>
      <c r="BU911" s="6">
        <v>0</v>
      </c>
      <c r="BV911" s="6">
        <v>0</v>
      </c>
      <c r="BW911" s="6">
        <v>0</v>
      </c>
      <c r="BX911" s="6">
        <v>0</v>
      </c>
      <c r="BY911" s="6">
        <v>0</v>
      </c>
      <c r="BZ911" s="6">
        <v>0</v>
      </c>
      <c r="CA911" s="6">
        <v>0</v>
      </c>
      <c r="CB911" s="6">
        <v>0</v>
      </c>
      <c r="CC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1" s="6" t="str">
        <f>IF(Table3[[#This Row],[ShoulderLength]]="","",IF(Table3[[#This Row],[ShoulderLength]]&lt;Table3[[#This Row],[LOC]],"FIX",""))</f>
        <v/>
      </c>
    </row>
    <row r="912" spans="1:83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v>0</v>
      </c>
      <c r="BN912" s="6">
        <v>0</v>
      </c>
      <c r="BO912" s="6">
        <v>0</v>
      </c>
      <c r="BP912" s="6">
        <v>0</v>
      </c>
      <c r="BQ912" s="6">
        <v>0</v>
      </c>
      <c r="BR912" s="6">
        <v>0</v>
      </c>
      <c r="BS912" s="6">
        <v>0</v>
      </c>
      <c r="BT912" s="6">
        <v>0</v>
      </c>
      <c r="BU912" s="6">
        <v>0</v>
      </c>
      <c r="BV912" s="6">
        <v>0</v>
      </c>
      <c r="BW912" s="6">
        <v>0</v>
      </c>
      <c r="BX912" s="6">
        <v>0</v>
      </c>
      <c r="BY912" s="6">
        <v>0</v>
      </c>
      <c r="BZ912" s="6">
        <v>0</v>
      </c>
      <c r="CA912" s="6">
        <v>0</v>
      </c>
      <c r="CB912" s="6">
        <v>0</v>
      </c>
      <c r="CC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2" s="6" t="str">
        <f>IF(Table3[[#This Row],[ShoulderLength]]="","",IF(Table3[[#This Row],[ShoulderLength]]&lt;Table3[[#This Row],[LOC]],"FIX",""))</f>
        <v/>
      </c>
    </row>
    <row r="913" spans="1:83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v>0</v>
      </c>
      <c r="BN913" s="6">
        <v>0</v>
      </c>
      <c r="BO913" s="6">
        <v>0</v>
      </c>
      <c r="BP913" s="6">
        <v>0</v>
      </c>
      <c r="BQ913" s="6">
        <v>0</v>
      </c>
      <c r="BR913" s="6">
        <v>0</v>
      </c>
      <c r="BS913" s="6">
        <v>0</v>
      </c>
      <c r="BT913" s="6">
        <v>0</v>
      </c>
      <c r="BU913" s="6">
        <v>0</v>
      </c>
      <c r="BV913" s="6">
        <v>0</v>
      </c>
      <c r="BW913" s="6">
        <v>0</v>
      </c>
      <c r="BX913" s="6">
        <v>0</v>
      </c>
      <c r="BY913" s="6">
        <v>0</v>
      </c>
      <c r="BZ913" s="6">
        <v>0</v>
      </c>
      <c r="CA913" s="6">
        <v>0</v>
      </c>
      <c r="CB913" s="6">
        <v>0</v>
      </c>
      <c r="CC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CE913" s="6" t="str">
        <f>IF(Table3[[#This Row],[ShoulderLength]]="","",IF(Table3[[#This Row],[ShoulderLength]]&lt;Table3[[#This Row],[LOC]],"FIX",""))</f>
        <v/>
      </c>
    </row>
    <row r="914" spans="1:83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v>0</v>
      </c>
      <c r="BN914" s="6">
        <v>0</v>
      </c>
      <c r="BO914" s="6">
        <v>0</v>
      </c>
      <c r="BP914" s="6">
        <v>0</v>
      </c>
      <c r="BQ914" s="6">
        <v>0</v>
      </c>
      <c r="BR914" s="6">
        <v>0</v>
      </c>
      <c r="BS914" s="6">
        <v>0</v>
      </c>
      <c r="BT914" s="6">
        <v>0</v>
      </c>
      <c r="BU914" s="6">
        <v>0</v>
      </c>
      <c r="BV914" s="6">
        <v>0</v>
      </c>
      <c r="BW914" s="6">
        <v>0</v>
      </c>
      <c r="BX914" s="6">
        <v>0</v>
      </c>
      <c r="BY914" s="6">
        <v>0</v>
      </c>
      <c r="BZ914" s="6">
        <v>0</v>
      </c>
      <c r="CA914" s="6">
        <v>0</v>
      </c>
      <c r="CB914" s="6">
        <v>0</v>
      </c>
      <c r="CC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CE914" s="6" t="str">
        <f>IF(Table3[[#This Row],[ShoulderLength]]="","",IF(Table3[[#This Row],[ShoulderLength]]&lt;Table3[[#This Row],[LOC]],"FIX",""))</f>
        <v/>
      </c>
    </row>
    <row r="915" spans="1:83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v>0</v>
      </c>
      <c r="BN915" s="6">
        <v>0</v>
      </c>
      <c r="BO915" s="6">
        <v>0</v>
      </c>
      <c r="BP915" s="6">
        <v>0</v>
      </c>
      <c r="BQ915" s="6">
        <v>0</v>
      </c>
      <c r="BR915" s="6">
        <v>0</v>
      </c>
      <c r="BS915" s="6">
        <v>0</v>
      </c>
      <c r="BT915" s="6">
        <v>0</v>
      </c>
      <c r="BU915" s="6">
        <v>0</v>
      </c>
      <c r="BV915" s="6">
        <v>0</v>
      </c>
      <c r="BW915" s="6">
        <v>0</v>
      </c>
      <c r="BX915" s="6">
        <v>0</v>
      </c>
      <c r="BY915" s="6">
        <v>0</v>
      </c>
      <c r="BZ915" s="6">
        <v>0</v>
      </c>
      <c r="CA915" s="6">
        <v>0</v>
      </c>
      <c r="CB915" s="6">
        <v>0</v>
      </c>
      <c r="CC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5" s="6" t="str">
        <f>IF(Table3[[#This Row],[ShoulderLength]]="","",IF(Table3[[#This Row],[ShoulderLength]]&lt;Table3[[#This Row],[LOC]],"FIX",""))</f>
        <v/>
      </c>
    </row>
    <row r="916" spans="1:83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v>0</v>
      </c>
      <c r="BN916" s="6">
        <v>0</v>
      </c>
      <c r="BO916" s="6">
        <v>0</v>
      </c>
      <c r="BP916" s="6">
        <v>0</v>
      </c>
      <c r="BQ916" s="6">
        <v>0</v>
      </c>
      <c r="BR916" s="6">
        <v>0</v>
      </c>
      <c r="BS916" s="6">
        <v>0</v>
      </c>
      <c r="BT916" s="6">
        <v>0</v>
      </c>
      <c r="BU916" s="6">
        <v>0</v>
      </c>
      <c r="BV916" s="6">
        <v>0</v>
      </c>
      <c r="BW916" s="6">
        <v>0</v>
      </c>
      <c r="BX916" s="6">
        <v>0</v>
      </c>
      <c r="BY916" s="6">
        <v>0</v>
      </c>
      <c r="BZ916" s="6">
        <v>0</v>
      </c>
      <c r="CA916" s="6">
        <v>0</v>
      </c>
      <c r="CB916" s="6">
        <v>0</v>
      </c>
      <c r="CC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6" s="6" t="str">
        <f>IF(Table3[[#This Row],[ShoulderLength]]="","",IF(Table3[[#This Row],[ShoulderLength]]&lt;Table3[[#This Row],[LOC]],"FIX",""))</f>
        <v/>
      </c>
    </row>
    <row r="917" spans="1:83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v>0</v>
      </c>
      <c r="BN917" s="6">
        <v>0</v>
      </c>
      <c r="BO917" s="6">
        <v>0</v>
      </c>
      <c r="BP917" s="6">
        <v>0</v>
      </c>
      <c r="BQ917" s="6">
        <v>0</v>
      </c>
      <c r="BR917" s="6">
        <v>0</v>
      </c>
      <c r="BS917" s="6">
        <v>0</v>
      </c>
      <c r="BT917" s="6">
        <v>0</v>
      </c>
      <c r="BU917" s="6">
        <v>0</v>
      </c>
      <c r="BV917" s="6">
        <v>0</v>
      </c>
      <c r="BW917" s="6">
        <v>0</v>
      </c>
      <c r="BX917" s="6">
        <v>0</v>
      </c>
      <c r="BY917" s="6">
        <v>0</v>
      </c>
      <c r="BZ917" s="6">
        <v>0</v>
      </c>
      <c r="CA917" s="6">
        <v>0</v>
      </c>
      <c r="CB917" s="6">
        <v>0</v>
      </c>
      <c r="CC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7" s="6" t="str">
        <f>IF(Table3[[#This Row],[ShoulderLength]]="","",IF(Table3[[#This Row],[ShoulderLength]]&lt;Table3[[#This Row],[LOC]],"FIX",""))</f>
        <v/>
      </c>
    </row>
    <row r="918" spans="1:83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v>0</v>
      </c>
      <c r="BN918" s="6">
        <v>0</v>
      </c>
      <c r="BO918" s="6">
        <v>0</v>
      </c>
      <c r="BP918" s="6">
        <v>0</v>
      </c>
      <c r="BQ918" s="6">
        <v>0</v>
      </c>
      <c r="BR918" s="6">
        <v>0</v>
      </c>
      <c r="BS918" s="6">
        <v>0</v>
      </c>
      <c r="BT918" s="6">
        <v>0</v>
      </c>
      <c r="BU918" s="6">
        <v>0</v>
      </c>
      <c r="BV918" s="6">
        <v>0</v>
      </c>
      <c r="BW918" s="6">
        <v>0</v>
      </c>
      <c r="BX918" s="6">
        <v>0</v>
      </c>
      <c r="BY918" s="6">
        <v>0</v>
      </c>
      <c r="BZ918" s="6">
        <v>0</v>
      </c>
      <c r="CA918" s="6">
        <v>0</v>
      </c>
      <c r="CB918" s="6">
        <v>0</v>
      </c>
      <c r="CC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8" s="6" t="str">
        <f>IF(Table3[[#This Row],[ShoulderLength]]="","",IF(Table3[[#This Row],[ShoulderLength]]&lt;Table3[[#This Row],[LOC]],"FIX",""))</f>
        <v/>
      </c>
    </row>
    <row r="919" spans="1:83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v>0</v>
      </c>
      <c r="BN919" s="6">
        <v>0</v>
      </c>
      <c r="BO919" s="6">
        <v>0</v>
      </c>
      <c r="BP919" s="6">
        <v>0</v>
      </c>
      <c r="BQ919" s="6">
        <v>0</v>
      </c>
      <c r="BR919" s="6">
        <v>0</v>
      </c>
      <c r="BS919" s="6">
        <v>0</v>
      </c>
      <c r="BT919" s="6">
        <v>0</v>
      </c>
      <c r="BU919" s="6">
        <v>0</v>
      </c>
      <c r="BV919" s="6">
        <v>0</v>
      </c>
      <c r="BW919" s="6">
        <v>0</v>
      </c>
      <c r="BX919" s="6">
        <v>0</v>
      </c>
      <c r="BY919" s="6">
        <v>0</v>
      </c>
      <c r="BZ919" s="6">
        <v>0</v>
      </c>
      <c r="CA919" s="6">
        <v>0</v>
      </c>
      <c r="CB919" s="6">
        <v>0</v>
      </c>
      <c r="CC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9" s="6" t="str">
        <f>IF(Table3[[#This Row],[ShoulderLength]]="","",IF(Table3[[#This Row],[ShoulderLength]]&lt;Table3[[#This Row],[LOC]],"FIX",""))</f>
        <v/>
      </c>
    </row>
    <row r="920" spans="1:83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v>0</v>
      </c>
      <c r="BN920" s="6">
        <v>0</v>
      </c>
      <c r="BO920" s="6">
        <v>0</v>
      </c>
      <c r="BP920" s="6">
        <v>0</v>
      </c>
      <c r="BQ920" s="6">
        <v>0</v>
      </c>
      <c r="BR920" s="6">
        <v>0</v>
      </c>
      <c r="BS920" s="6">
        <v>0</v>
      </c>
      <c r="BT920" s="6">
        <v>0</v>
      </c>
      <c r="BU920" s="6">
        <v>0</v>
      </c>
      <c r="BV920" s="6">
        <v>0</v>
      </c>
      <c r="BW920" s="6">
        <v>0</v>
      </c>
      <c r="BX920" s="6">
        <v>0</v>
      </c>
      <c r="BY920" s="6">
        <v>0</v>
      </c>
      <c r="BZ920" s="6">
        <v>0</v>
      </c>
      <c r="CA920" s="6">
        <v>0</v>
      </c>
      <c r="CB920" s="6">
        <v>0</v>
      </c>
      <c r="CC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0" s="6" t="str">
        <f>IF(Table3[[#This Row],[ShoulderLength]]="","",IF(Table3[[#This Row],[ShoulderLength]]&lt;Table3[[#This Row],[LOC]],"FIX",""))</f>
        <v/>
      </c>
    </row>
    <row r="921" spans="1:83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v>0</v>
      </c>
      <c r="BN921" s="6">
        <v>0</v>
      </c>
      <c r="BO921" s="6">
        <v>0</v>
      </c>
      <c r="BP921" s="6">
        <v>0</v>
      </c>
      <c r="BQ921" s="6">
        <v>0</v>
      </c>
      <c r="BR921" s="6">
        <v>0</v>
      </c>
      <c r="BS921" s="6">
        <v>0</v>
      </c>
      <c r="BT921" s="6">
        <v>0</v>
      </c>
      <c r="BU921" s="6">
        <v>0</v>
      </c>
      <c r="BV921" s="6">
        <v>0</v>
      </c>
      <c r="BW921" s="6">
        <v>0</v>
      </c>
      <c r="BX921" s="6">
        <v>0</v>
      </c>
      <c r="BY921" s="6">
        <v>0</v>
      </c>
      <c r="BZ921" s="6">
        <v>0</v>
      </c>
      <c r="CA921" s="6">
        <v>0</v>
      </c>
      <c r="CB921" s="6">
        <v>0</v>
      </c>
      <c r="CC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1" s="6" t="str">
        <f>IF(Table3[[#This Row],[ShoulderLength]]="","",IF(Table3[[#This Row],[ShoulderLength]]&lt;Table3[[#This Row],[LOC]],"FIX",""))</f>
        <v/>
      </c>
    </row>
    <row r="922" spans="1:83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v>0</v>
      </c>
      <c r="BN922" s="6">
        <v>0</v>
      </c>
      <c r="BO922" s="6">
        <v>0</v>
      </c>
      <c r="BP922" s="6">
        <v>0</v>
      </c>
      <c r="BQ922" s="6">
        <v>0</v>
      </c>
      <c r="BR922" s="6">
        <v>0</v>
      </c>
      <c r="BS922" s="6">
        <v>0</v>
      </c>
      <c r="BT922" s="6">
        <v>0</v>
      </c>
      <c r="BU922" s="6">
        <v>0</v>
      </c>
      <c r="BV922" s="6">
        <v>0</v>
      </c>
      <c r="BW922" s="6">
        <v>0</v>
      </c>
      <c r="BX922" s="6">
        <v>0</v>
      </c>
      <c r="BY922" s="6">
        <v>0</v>
      </c>
      <c r="BZ922" s="6">
        <v>0</v>
      </c>
      <c r="CA922" s="6">
        <v>0</v>
      </c>
      <c r="CB922" s="6">
        <v>0</v>
      </c>
      <c r="CC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2" s="6" t="str">
        <f>IF(Table3[[#This Row],[ShoulderLength]]="","",IF(Table3[[#This Row],[ShoulderLength]]&lt;Table3[[#This Row],[LOC]],"FIX",""))</f>
        <v/>
      </c>
    </row>
    <row r="923" spans="1:83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v>0</v>
      </c>
      <c r="BN923" s="6">
        <v>0</v>
      </c>
      <c r="BO923" s="6">
        <v>0</v>
      </c>
      <c r="BP923" s="6">
        <v>0</v>
      </c>
      <c r="BQ923" s="6">
        <v>0</v>
      </c>
      <c r="BR923" s="6">
        <v>0</v>
      </c>
      <c r="BS923" s="6">
        <v>0</v>
      </c>
      <c r="BT923" s="6">
        <v>0</v>
      </c>
      <c r="BU923" s="6">
        <v>0</v>
      </c>
      <c r="BV923" s="6">
        <v>0</v>
      </c>
      <c r="BW923" s="6">
        <v>0</v>
      </c>
      <c r="BX923" s="6">
        <v>0</v>
      </c>
      <c r="BY923" s="6">
        <v>0</v>
      </c>
      <c r="BZ923" s="6">
        <v>0</v>
      </c>
      <c r="CA923" s="6">
        <v>0</v>
      </c>
      <c r="CB923" s="6">
        <v>0</v>
      </c>
      <c r="CC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3" s="6" t="str">
        <f>IF(Table3[[#This Row],[ShoulderLength]]="","",IF(Table3[[#This Row],[ShoulderLength]]&lt;Table3[[#This Row],[LOC]],"FIX",""))</f>
        <v/>
      </c>
    </row>
    <row r="924" spans="1:83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v>0</v>
      </c>
      <c r="BN924" s="6">
        <v>0</v>
      </c>
      <c r="BO924" s="6">
        <v>0</v>
      </c>
      <c r="BP924" s="6">
        <v>0</v>
      </c>
      <c r="BQ924" s="6">
        <v>0</v>
      </c>
      <c r="BR924" s="6">
        <v>0</v>
      </c>
      <c r="BS924" s="6">
        <v>0</v>
      </c>
      <c r="BT924" s="6">
        <v>0</v>
      </c>
      <c r="BU924" s="6">
        <v>0</v>
      </c>
      <c r="BV924" s="6">
        <v>0</v>
      </c>
      <c r="BW924" s="6">
        <v>0</v>
      </c>
      <c r="BX924" s="6">
        <v>0</v>
      </c>
      <c r="BY924" s="6">
        <v>0</v>
      </c>
      <c r="BZ924" s="6">
        <v>0</v>
      </c>
      <c r="CA924" s="6">
        <v>0</v>
      </c>
      <c r="CB924" s="6">
        <v>0</v>
      </c>
      <c r="CC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4" s="6" t="str">
        <f>IF(Table3[[#This Row],[ShoulderLength]]="","",IF(Table3[[#This Row],[ShoulderLength]]&lt;Table3[[#This Row],[LOC]],"FIX",""))</f>
        <v/>
      </c>
    </row>
    <row r="925" spans="1:83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v>0</v>
      </c>
      <c r="BN925" s="6">
        <v>0</v>
      </c>
      <c r="BO925" s="6">
        <v>0</v>
      </c>
      <c r="BP925" s="6">
        <v>0</v>
      </c>
      <c r="BQ925" s="6">
        <v>0</v>
      </c>
      <c r="BR925" s="6">
        <v>0</v>
      </c>
      <c r="BS925" s="6">
        <v>0</v>
      </c>
      <c r="BT925" s="6">
        <v>0</v>
      </c>
      <c r="BU925" s="6">
        <v>0</v>
      </c>
      <c r="BV925" s="6">
        <v>0</v>
      </c>
      <c r="BW925" s="6">
        <v>0</v>
      </c>
      <c r="BX925" s="6">
        <v>0</v>
      </c>
      <c r="BY925" s="6">
        <v>0</v>
      </c>
      <c r="BZ925" s="6">
        <v>0</v>
      </c>
      <c r="CA925" s="6">
        <v>0</v>
      </c>
      <c r="CB925" s="6">
        <v>0</v>
      </c>
      <c r="CC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5" s="6" t="str">
        <f>IF(Table3[[#This Row],[ShoulderLength]]="","",IF(Table3[[#This Row],[ShoulderLength]]&lt;Table3[[#This Row],[LOC]],"FIX",""))</f>
        <v/>
      </c>
    </row>
    <row r="926" spans="1:83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v>0</v>
      </c>
      <c r="BN926" s="6">
        <v>0</v>
      </c>
      <c r="BO926" s="6">
        <v>0</v>
      </c>
      <c r="BP926" s="6">
        <v>0</v>
      </c>
      <c r="BQ926" s="6">
        <v>0</v>
      </c>
      <c r="BR926" s="6">
        <v>0</v>
      </c>
      <c r="BS926" s="6">
        <v>0</v>
      </c>
      <c r="BT926" s="6">
        <v>0</v>
      </c>
      <c r="BU926" s="6">
        <v>0</v>
      </c>
      <c r="BV926" s="6">
        <v>0</v>
      </c>
      <c r="BW926" s="6">
        <v>0</v>
      </c>
      <c r="BX926" s="6">
        <v>0</v>
      </c>
      <c r="BY926" s="6">
        <v>0</v>
      </c>
      <c r="BZ926" s="6">
        <v>0</v>
      </c>
      <c r="CA926" s="6">
        <v>0</v>
      </c>
      <c r="CB926" s="6">
        <v>0</v>
      </c>
      <c r="CC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6" s="6" t="str">
        <f>IF(Table3[[#This Row],[ShoulderLength]]="","",IF(Table3[[#This Row],[ShoulderLength]]&lt;Table3[[#This Row],[LOC]],"FIX",""))</f>
        <v/>
      </c>
    </row>
    <row r="927" spans="1:83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v>0</v>
      </c>
      <c r="BN927" s="6">
        <v>0</v>
      </c>
      <c r="BO927" s="6">
        <v>0</v>
      </c>
      <c r="BP927" s="6">
        <v>0</v>
      </c>
      <c r="BQ927" s="6">
        <v>0</v>
      </c>
      <c r="BR927" s="6">
        <v>0</v>
      </c>
      <c r="BS927" s="6">
        <v>0</v>
      </c>
      <c r="BT927" s="6">
        <v>0</v>
      </c>
      <c r="BU927" s="6">
        <v>0</v>
      </c>
      <c r="BV927" s="6">
        <v>0</v>
      </c>
      <c r="BW927" s="6">
        <v>0</v>
      </c>
      <c r="BX927" s="6">
        <v>0</v>
      </c>
      <c r="BY927" s="6">
        <v>0</v>
      </c>
      <c r="BZ927" s="6">
        <v>0</v>
      </c>
      <c r="CA927" s="6">
        <v>0</v>
      </c>
      <c r="CB927" s="6">
        <v>0</v>
      </c>
      <c r="CC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7" s="6" t="str">
        <f>IF(Table3[[#This Row],[ShoulderLength]]="","",IF(Table3[[#This Row],[ShoulderLength]]&lt;Table3[[#This Row],[LOC]],"FIX",""))</f>
        <v/>
      </c>
    </row>
    <row r="928" spans="1:83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v>0</v>
      </c>
      <c r="BN928" s="6">
        <v>0</v>
      </c>
      <c r="BO928" s="6">
        <v>0</v>
      </c>
      <c r="BP928" s="6">
        <v>0</v>
      </c>
      <c r="BQ928" s="6">
        <v>0</v>
      </c>
      <c r="BR928" s="6">
        <v>0</v>
      </c>
      <c r="BS928" s="6">
        <v>0</v>
      </c>
      <c r="BT928" s="6">
        <v>0</v>
      </c>
      <c r="BU928" s="6">
        <v>0</v>
      </c>
      <c r="BV928" s="6">
        <v>0</v>
      </c>
      <c r="BW928" s="6">
        <v>0</v>
      </c>
      <c r="BX928" s="6">
        <v>0</v>
      </c>
      <c r="BY928" s="6">
        <v>0</v>
      </c>
      <c r="BZ928" s="6">
        <v>0</v>
      </c>
      <c r="CA928" s="6">
        <v>0</v>
      </c>
      <c r="CB928" s="6">
        <v>0</v>
      </c>
      <c r="CC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8" s="6" t="str">
        <f>IF(Table3[[#This Row],[ShoulderLength]]="","",IF(Table3[[#This Row],[ShoulderLength]]&lt;Table3[[#This Row],[LOC]],"FIX",""))</f>
        <v/>
      </c>
    </row>
    <row r="929" spans="1:83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v>0</v>
      </c>
      <c r="BN929" s="6">
        <v>0</v>
      </c>
      <c r="BO929" s="6">
        <v>0</v>
      </c>
      <c r="BP929" s="6">
        <v>0</v>
      </c>
      <c r="BQ929" s="6">
        <v>0</v>
      </c>
      <c r="BR929" s="6">
        <v>0</v>
      </c>
      <c r="BS929" s="6">
        <v>0</v>
      </c>
      <c r="BT929" s="6">
        <v>0</v>
      </c>
      <c r="BU929" s="6">
        <v>0</v>
      </c>
      <c r="BV929" s="6">
        <v>0</v>
      </c>
      <c r="BW929" s="6">
        <v>0</v>
      </c>
      <c r="BX929" s="6">
        <v>0</v>
      </c>
      <c r="BY929" s="6">
        <v>0</v>
      </c>
      <c r="BZ929" s="6">
        <v>0</v>
      </c>
      <c r="CA929" s="6">
        <v>0</v>
      </c>
      <c r="CB929" s="6">
        <v>0</v>
      </c>
      <c r="CC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29" s="6" t="str">
        <f>IF(Table3[[#This Row],[ShoulderLength]]="","",IF(Table3[[#This Row],[ShoulderLength]]&lt;Table3[[#This Row],[LOC]],"FIX",""))</f>
        <v/>
      </c>
    </row>
    <row r="930" spans="1:83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v>0</v>
      </c>
      <c r="BN930" s="6">
        <v>0</v>
      </c>
      <c r="BO930" s="6">
        <v>0</v>
      </c>
      <c r="BP930" s="6">
        <v>0</v>
      </c>
      <c r="BQ930" s="6">
        <v>0</v>
      </c>
      <c r="BR930" s="6">
        <v>0</v>
      </c>
      <c r="BS930" s="6">
        <v>0</v>
      </c>
      <c r="BT930" s="6">
        <v>0</v>
      </c>
      <c r="BU930" s="6">
        <v>0</v>
      </c>
      <c r="BV930" s="6">
        <v>0</v>
      </c>
      <c r="BW930" s="6">
        <v>0</v>
      </c>
      <c r="BX930" s="6">
        <v>0</v>
      </c>
      <c r="BY930" s="6">
        <v>0</v>
      </c>
      <c r="BZ930" s="6">
        <v>0</v>
      </c>
      <c r="CA930" s="6">
        <v>0</v>
      </c>
      <c r="CB930" s="6">
        <v>0</v>
      </c>
      <c r="CC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0" s="6" t="str">
        <f>IF(Table3[[#This Row],[ShoulderLength]]="","",IF(Table3[[#This Row],[ShoulderLength]]&lt;Table3[[#This Row],[LOC]],"FIX",""))</f>
        <v/>
      </c>
    </row>
    <row r="931" spans="1:83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v>0</v>
      </c>
      <c r="BN931" s="6">
        <v>0</v>
      </c>
      <c r="BO931" s="6">
        <v>0</v>
      </c>
      <c r="BP931" s="6">
        <v>0</v>
      </c>
      <c r="BQ931" s="6">
        <v>0</v>
      </c>
      <c r="BR931" s="6">
        <v>0</v>
      </c>
      <c r="BS931" s="6">
        <v>0</v>
      </c>
      <c r="BT931" s="6">
        <v>0</v>
      </c>
      <c r="BU931" s="6">
        <v>0</v>
      </c>
      <c r="BV931" s="6">
        <v>0</v>
      </c>
      <c r="BW931" s="6">
        <v>0</v>
      </c>
      <c r="BX931" s="6">
        <v>0</v>
      </c>
      <c r="BY931" s="6">
        <v>0</v>
      </c>
      <c r="BZ931" s="6">
        <v>0</v>
      </c>
      <c r="CA931" s="6">
        <v>0</v>
      </c>
      <c r="CB931" s="6">
        <v>0</v>
      </c>
      <c r="CC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1" s="6" t="str">
        <f>IF(Table3[[#This Row],[ShoulderLength]]="","",IF(Table3[[#This Row],[ShoulderLength]]&lt;Table3[[#This Row],[LOC]],"FIX",""))</f>
        <v/>
      </c>
    </row>
    <row r="932" spans="1:83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v>0</v>
      </c>
      <c r="BN932" s="6">
        <v>0</v>
      </c>
      <c r="BO932" s="6">
        <v>0</v>
      </c>
      <c r="BP932" s="6">
        <v>0</v>
      </c>
      <c r="BQ932" s="6">
        <v>0</v>
      </c>
      <c r="BR932" s="6">
        <v>0</v>
      </c>
      <c r="BS932" s="6">
        <v>0</v>
      </c>
      <c r="BT932" s="6">
        <v>0</v>
      </c>
      <c r="BU932" s="6">
        <v>0</v>
      </c>
      <c r="BV932" s="6">
        <v>0</v>
      </c>
      <c r="BW932" s="6">
        <v>0</v>
      </c>
      <c r="BX932" s="6">
        <v>0</v>
      </c>
      <c r="BY932" s="6">
        <v>0</v>
      </c>
      <c r="BZ932" s="6">
        <v>0</v>
      </c>
      <c r="CA932" s="6">
        <v>0</v>
      </c>
      <c r="CB932" s="6">
        <v>0</v>
      </c>
      <c r="CC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2" s="6" t="str">
        <f>IF(Table3[[#This Row],[ShoulderLength]]="","",IF(Table3[[#This Row],[ShoulderLength]]&lt;Table3[[#This Row],[LOC]],"FIX",""))</f>
        <v/>
      </c>
    </row>
    <row r="933" spans="1:83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v>0</v>
      </c>
      <c r="BN933" s="6">
        <v>0</v>
      </c>
      <c r="BO933" s="6">
        <v>0</v>
      </c>
      <c r="BP933" s="6">
        <v>0</v>
      </c>
      <c r="BQ933" s="6">
        <v>0</v>
      </c>
      <c r="BR933" s="6">
        <v>0</v>
      </c>
      <c r="BS933" s="6">
        <v>0</v>
      </c>
      <c r="BT933" s="6">
        <v>0</v>
      </c>
      <c r="BU933" s="6">
        <v>0</v>
      </c>
      <c r="BV933" s="6">
        <v>0</v>
      </c>
      <c r="BW933" s="6">
        <v>0</v>
      </c>
      <c r="BX933" s="6">
        <v>0</v>
      </c>
      <c r="BY933" s="6">
        <v>0</v>
      </c>
      <c r="BZ933" s="6">
        <v>0</v>
      </c>
      <c r="CA933" s="6">
        <v>0</v>
      </c>
      <c r="CB933" s="6">
        <v>0</v>
      </c>
      <c r="CC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3" s="6" t="str">
        <f>IF(Table3[[#This Row],[ShoulderLength]]="","",IF(Table3[[#This Row],[ShoulderLength]]&lt;Table3[[#This Row],[LOC]],"FIX",""))</f>
        <v/>
      </c>
    </row>
    <row r="934" spans="1:83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v>0</v>
      </c>
      <c r="BN934" s="6">
        <v>0</v>
      </c>
      <c r="BO934" s="6">
        <v>0</v>
      </c>
      <c r="BP934" s="6">
        <v>0</v>
      </c>
      <c r="BQ934" s="6">
        <v>0</v>
      </c>
      <c r="BR934" s="6">
        <v>0</v>
      </c>
      <c r="BS934" s="6">
        <v>0</v>
      </c>
      <c r="BT934" s="6">
        <v>0</v>
      </c>
      <c r="BU934" s="6">
        <v>0</v>
      </c>
      <c r="BV934" s="6">
        <v>0</v>
      </c>
      <c r="BW934" s="6">
        <v>0</v>
      </c>
      <c r="BX934" s="6">
        <v>0</v>
      </c>
      <c r="BY934" s="6">
        <v>0</v>
      </c>
      <c r="BZ934" s="6">
        <v>0</v>
      </c>
      <c r="CA934" s="6">
        <v>0</v>
      </c>
      <c r="CB934" s="6">
        <v>0</v>
      </c>
      <c r="CC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4" s="6" t="str">
        <f>IF(Table3[[#This Row],[ShoulderLength]]="","",IF(Table3[[#This Row],[ShoulderLength]]&lt;Table3[[#This Row],[LOC]],"FIX",""))</f>
        <v/>
      </c>
    </row>
    <row r="935" spans="1:83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v>0</v>
      </c>
      <c r="BN935" s="6">
        <v>0</v>
      </c>
      <c r="BO935" s="6">
        <v>0</v>
      </c>
      <c r="BP935" s="6">
        <v>0</v>
      </c>
      <c r="BQ935" s="6">
        <v>0</v>
      </c>
      <c r="BR935" s="6">
        <v>0</v>
      </c>
      <c r="BS935" s="6">
        <v>0</v>
      </c>
      <c r="BT935" s="6">
        <v>0</v>
      </c>
      <c r="BU935" s="6">
        <v>0</v>
      </c>
      <c r="BV935" s="6">
        <v>0</v>
      </c>
      <c r="BW935" s="6">
        <v>0</v>
      </c>
      <c r="BX935" s="6">
        <v>0</v>
      </c>
      <c r="BY935" s="6">
        <v>0</v>
      </c>
      <c r="BZ935" s="6">
        <v>0</v>
      </c>
      <c r="CA935" s="6">
        <v>0</v>
      </c>
      <c r="CB935" s="6">
        <v>0</v>
      </c>
      <c r="CC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5" s="6" t="str">
        <f>IF(Table3[[#This Row],[ShoulderLength]]="","",IF(Table3[[#This Row],[ShoulderLength]]&lt;Table3[[#This Row],[LOC]],"FIX",""))</f>
        <v/>
      </c>
    </row>
    <row r="936" spans="1:83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v>0</v>
      </c>
      <c r="BN936" s="6">
        <v>0</v>
      </c>
      <c r="BO936" s="6">
        <v>0</v>
      </c>
      <c r="BP936" s="6">
        <v>0</v>
      </c>
      <c r="BQ936" s="6">
        <v>0</v>
      </c>
      <c r="BR936" s="6">
        <v>0</v>
      </c>
      <c r="BS936" s="6">
        <v>0</v>
      </c>
      <c r="BT936" s="6">
        <v>0</v>
      </c>
      <c r="BU936" s="6">
        <v>0</v>
      </c>
      <c r="BV936" s="6">
        <v>0</v>
      </c>
      <c r="BW936" s="6">
        <v>0</v>
      </c>
      <c r="BX936" s="6">
        <v>0</v>
      </c>
      <c r="BY936" s="6">
        <v>0</v>
      </c>
      <c r="BZ936" s="6">
        <v>0</v>
      </c>
      <c r="CA936" s="6">
        <v>0</v>
      </c>
      <c r="CB936" s="6">
        <v>0</v>
      </c>
      <c r="CC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6" s="6" t="str">
        <f>IF(Table3[[#This Row],[ShoulderLength]]="","",IF(Table3[[#This Row],[ShoulderLength]]&lt;Table3[[#This Row],[LOC]],"FIX",""))</f>
        <v/>
      </c>
    </row>
    <row r="937" spans="1:83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v>0</v>
      </c>
      <c r="BN937" s="6">
        <v>0</v>
      </c>
      <c r="BO937" s="6">
        <v>0</v>
      </c>
      <c r="BP937" s="6">
        <v>0</v>
      </c>
      <c r="BQ937" s="6">
        <v>0</v>
      </c>
      <c r="BR937" s="6">
        <v>0</v>
      </c>
      <c r="BS937" s="6">
        <v>0</v>
      </c>
      <c r="BT937" s="6">
        <v>0</v>
      </c>
      <c r="BU937" s="6">
        <v>0</v>
      </c>
      <c r="BV937" s="6">
        <v>0</v>
      </c>
      <c r="BW937" s="6">
        <v>0</v>
      </c>
      <c r="BX937" s="6">
        <v>0</v>
      </c>
      <c r="BY937" s="6">
        <v>0</v>
      </c>
      <c r="BZ937" s="6">
        <v>0</v>
      </c>
      <c r="CA937" s="6">
        <v>0</v>
      </c>
      <c r="CB937" s="6">
        <v>0</v>
      </c>
      <c r="CC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7" s="6" t="str">
        <f>IF(Table3[[#This Row],[ShoulderLength]]="","",IF(Table3[[#This Row],[ShoulderLength]]&lt;Table3[[#This Row],[LOC]],"FIX",""))</f>
        <v/>
      </c>
    </row>
    <row r="938" spans="1:83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v>0</v>
      </c>
      <c r="BN938" s="6">
        <v>0</v>
      </c>
      <c r="BO938" s="6">
        <v>0</v>
      </c>
      <c r="BP938" s="6">
        <v>0</v>
      </c>
      <c r="BQ938" s="6">
        <v>0</v>
      </c>
      <c r="BR938" s="6">
        <v>0</v>
      </c>
      <c r="BS938" s="6">
        <v>0</v>
      </c>
      <c r="BT938" s="6">
        <v>0</v>
      </c>
      <c r="BU938" s="6">
        <v>0</v>
      </c>
      <c r="BV938" s="6">
        <v>0</v>
      </c>
      <c r="BW938" s="6">
        <v>0</v>
      </c>
      <c r="BX938" s="6">
        <v>0</v>
      </c>
      <c r="BY938" s="6">
        <v>0</v>
      </c>
      <c r="BZ938" s="6">
        <v>0</v>
      </c>
      <c r="CA938" s="6">
        <v>0</v>
      </c>
      <c r="CB938" s="6">
        <v>0</v>
      </c>
      <c r="CC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8" s="6" t="str">
        <f>IF(Table3[[#This Row],[ShoulderLength]]="","",IF(Table3[[#This Row],[ShoulderLength]]&lt;Table3[[#This Row],[LOC]],"FIX",""))</f>
        <v/>
      </c>
    </row>
    <row r="939" spans="1:83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v>0</v>
      </c>
      <c r="BN939" s="6">
        <v>0</v>
      </c>
      <c r="BO939" s="6">
        <v>0</v>
      </c>
      <c r="BP939" s="6">
        <v>0</v>
      </c>
      <c r="BQ939" s="6">
        <v>0</v>
      </c>
      <c r="BR939" s="6">
        <v>0</v>
      </c>
      <c r="BS939" s="6">
        <v>0</v>
      </c>
      <c r="BT939" s="6">
        <v>0</v>
      </c>
      <c r="BU939" s="6">
        <v>0</v>
      </c>
      <c r="BV939" s="6">
        <v>0</v>
      </c>
      <c r="BW939" s="6">
        <v>0</v>
      </c>
      <c r="BX939" s="6">
        <v>0</v>
      </c>
      <c r="BY939" s="6">
        <v>0</v>
      </c>
      <c r="BZ939" s="6">
        <v>0</v>
      </c>
      <c r="CA939" s="6">
        <v>0</v>
      </c>
      <c r="CB939" s="6">
        <v>0</v>
      </c>
      <c r="CC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9" s="6" t="str">
        <f>IF(Table3[[#This Row],[ShoulderLength]]="","",IF(Table3[[#This Row],[ShoulderLength]]&lt;Table3[[#This Row],[LOC]],"FIX",""))</f>
        <v/>
      </c>
    </row>
    <row r="940" spans="1:83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v>0</v>
      </c>
      <c r="BN940" s="6">
        <v>0</v>
      </c>
      <c r="BO940" s="6">
        <v>0</v>
      </c>
      <c r="BP940" s="6">
        <v>0</v>
      </c>
      <c r="BQ940" s="6">
        <v>0</v>
      </c>
      <c r="BR940" s="6">
        <v>0</v>
      </c>
      <c r="BS940" s="6">
        <v>0</v>
      </c>
      <c r="BT940" s="6">
        <v>0</v>
      </c>
      <c r="BU940" s="6">
        <v>0</v>
      </c>
      <c r="BV940" s="6">
        <v>0</v>
      </c>
      <c r="BW940" s="6">
        <v>0</v>
      </c>
      <c r="BX940" s="6">
        <v>0</v>
      </c>
      <c r="BY940" s="6">
        <v>0</v>
      </c>
      <c r="BZ940" s="6">
        <v>0</v>
      </c>
      <c r="CA940" s="6">
        <v>0</v>
      </c>
      <c r="CB940" s="6">
        <v>0</v>
      </c>
      <c r="CC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0" s="6" t="str">
        <f>IF(Table3[[#This Row],[ShoulderLength]]="","",IF(Table3[[#This Row],[ShoulderLength]]&lt;Table3[[#This Row],[LOC]],"FIX",""))</f>
        <v/>
      </c>
    </row>
    <row r="941" spans="1:83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v>0</v>
      </c>
      <c r="BN941" s="6">
        <v>0</v>
      </c>
      <c r="BO941" s="6">
        <v>0</v>
      </c>
      <c r="BP941" s="6">
        <v>0</v>
      </c>
      <c r="BQ941" s="6">
        <v>0</v>
      </c>
      <c r="BR941" s="6">
        <v>0</v>
      </c>
      <c r="BS941" s="6">
        <v>0</v>
      </c>
      <c r="BT941" s="6">
        <v>0</v>
      </c>
      <c r="BU941" s="6">
        <v>0</v>
      </c>
      <c r="BV941" s="6">
        <v>0</v>
      </c>
      <c r="BW941" s="6">
        <v>0</v>
      </c>
      <c r="BX941" s="6">
        <v>0</v>
      </c>
      <c r="BY941" s="6">
        <v>0</v>
      </c>
      <c r="BZ941" s="6">
        <v>0</v>
      </c>
      <c r="CA941" s="6">
        <v>0</v>
      </c>
      <c r="CB941" s="6">
        <v>0</v>
      </c>
      <c r="CC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1" s="6" t="str">
        <f>IF(Table3[[#This Row],[ShoulderLength]]="","",IF(Table3[[#This Row],[ShoulderLength]]&lt;Table3[[#This Row],[LOC]],"FIX",""))</f>
        <v/>
      </c>
    </row>
    <row r="942" spans="1:83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v>0</v>
      </c>
      <c r="BN942" s="6">
        <v>0</v>
      </c>
      <c r="BO942" s="6">
        <v>0</v>
      </c>
      <c r="BP942" s="6">
        <v>0</v>
      </c>
      <c r="BQ942" s="6">
        <v>0</v>
      </c>
      <c r="BR942" s="6">
        <v>0</v>
      </c>
      <c r="BS942" s="6">
        <v>0</v>
      </c>
      <c r="BT942" s="6">
        <v>0</v>
      </c>
      <c r="BU942" s="6">
        <v>0</v>
      </c>
      <c r="BV942" s="6">
        <v>0</v>
      </c>
      <c r="BW942" s="6">
        <v>0</v>
      </c>
      <c r="BX942" s="6">
        <v>0</v>
      </c>
      <c r="BY942" s="6">
        <v>0</v>
      </c>
      <c r="BZ942" s="6">
        <v>0</v>
      </c>
      <c r="CA942" s="6">
        <v>0</v>
      </c>
      <c r="CB942" s="6">
        <v>0</v>
      </c>
      <c r="CC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2" s="6" t="str">
        <f>IF(Table3[[#This Row],[ShoulderLength]]="","",IF(Table3[[#This Row],[ShoulderLength]]&lt;Table3[[#This Row],[LOC]],"FIX",""))</f>
        <v/>
      </c>
    </row>
    <row r="943" spans="1:83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v>0</v>
      </c>
      <c r="BN943" s="6">
        <v>0</v>
      </c>
      <c r="BO943" s="6">
        <v>0</v>
      </c>
      <c r="BP943" s="6">
        <v>0</v>
      </c>
      <c r="BQ943" s="6">
        <v>0</v>
      </c>
      <c r="BR943" s="6">
        <v>0</v>
      </c>
      <c r="BS943" s="6">
        <v>0</v>
      </c>
      <c r="BT943" s="6">
        <v>0</v>
      </c>
      <c r="BU943" s="6">
        <v>0</v>
      </c>
      <c r="BV943" s="6">
        <v>0</v>
      </c>
      <c r="BW943" s="6">
        <v>0</v>
      </c>
      <c r="BX943" s="6">
        <v>0</v>
      </c>
      <c r="BY943" s="6">
        <v>0</v>
      </c>
      <c r="BZ943" s="6">
        <v>0</v>
      </c>
      <c r="CA943" s="6">
        <v>0</v>
      </c>
      <c r="CB943" s="6">
        <v>0</v>
      </c>
      <c r="CC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CE943" s="6" t="str">
        <f>IF(Table3[[#This Row],[ShoulderLength]]="","",IF(Table3[[#This Row],[ShoulderLength]]&lt;Table3[[#This Row],[LOC]],"FIX",""))</f>
        <v/>
      </c>
    </row>
    <row r="944" spans="1:83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v>0</v>
      </c>
      <c r="BN944" s="6">
        <v>0</v>
      </c>
      <c r="BO944" s="6">
        <v>0</v>
      </c>
      <c r="BP944" s="6">
        <v>0</v>
      </c>
      <c r="BQ944" s="6">
        <v>0</v>
      </c>
      <c r="BR944" s="6">
        <v>0</v>
      </c>
      <c r="BS944" s="6">
        <v>0</v>
      </c>
      <c r="BT944" s="6">
        <v>0</v>
      </c>
      <c r="BU944" s="6">
        <v>0</v>
      </c>
      <c r="BV944" s="6">
        <v>0</v>
      </c>
      <c r="BW944" s="6">
        <v>0</v>
      </c>
      <c r="BX944" s="6">
        <v>0</v>
      </c>
      <c r="BY944" s="6">
        <v>0</v>
      </c>
      <c r="BZ944" s="6">
        <v>0</v>
      </c>
      <c r="CA944" s="6">
        <v>0</v>
      </c>
      <c r="CB944" s="6">
        <v>0</v>
      </c>
      <c r="CC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44" s="6" t="str">
        <f>IF(Table3[[#This Row],[ShoulderLength]]="","",IF(Table3[[#This Row],[ShoulderLength]]&lt;Table3[[#This Row],[LOC]],"FIX",""))</f>
        <v/>
      </c>
    </row>
    <row r="945" spans="1:83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v>0</v>
      </c>
      <c r="BN945" s="6">
        <v>0</v>
      </c>
      <c r="BO945" s="6">
        <v>0</v>
      </c>
      <c r="BP945" s="6">
        <v>0</v>
      </c>
      <c r="BQ945" s="6">
        <v>0</v>
      </c>
      <c r="BR945" s="6">
        <v>0</v>
      </c>
      <c r="BS945" s="6">
        <v>0</v>
      </c>
      <c r="BT945" s="6">
        <v>0</v>
      </c>
      <c r="BU945" s="6">
        <v>0</v>
      </c>
      <c r="BV945" s="6">
        <v>0</v>
      </c>
      <c r="BW945" s="6">
        <v>0</v>
      </c>
      <c r="BX945" s="6">
        <v>0</v>
      </c>
      <c r="BY945" s="6">
        <v>0</v>
      </c>
      <c r="BZ945" s="6">
        <v>0</v>
      </c>
      <c r="CA945" s="6">
        <v>0</v>
      </c>
      <c r="CB945" s="6">
        <v>0</v>
      </c>
      <c r="CC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45" s="6" t="str">
        <f>IF(Table3[[#This Row],[ShoulderLength]]="","",IF(Table3[[#This Row],[ShoulderLength]]&lt;Table3[[#This Row],[LOC]],"FIX",""))</f>
        <v/>
      </c>
    </row>
    <row r="946" spans="1:83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v>0</v>
      </c>
      <c r="BN946" s="6">
        <v>0</v>
      </c>
      <c r="BO946" s="6">
        <v>0</v>
      </c>
      <c r="BP946" s="6">
        <v>0</v>
      </c>
      <c r="BQ946" s="6">
        <v>0</v>
      </c>
      <c r="BR946" s="6">
        <v>0</v>
      </c>
      <c r="BS946" s="6">
        <v>0</v>
      </c>
      <c r="BT946" s="6">
        <v>0</v>
      </c>
      <c r="BU946" s="6">
        <v>0</v>
      </c>
      <c r="BV946" s="6">
        <v>0</v>
      </c>
      <c r="BW946" s="6">
        <v>0</v>
      </c>
      <c r="BX946" s="6">
        <v>0</v>
      </c>
      <c r="BY946" s="6">
        <v>0</v>
      </c>
      <c r="BZ946" s="6">
        <v>0</v>
      </c>
      <c r="CA946" s="6">
        <v>0</v>
      </c>
      <c r="CB946" s="6">
        <v>0</v>
      </c>
      <c r="CC946" s="6">
        <f>IF(Table3[[#This Row],[Type]]="EM",IF((Table3[[#This Row],[Diameter]]/2)-Table3[[#This Row],[CornerRadius]]-0.012&gt;0,(Table3[[#This Row],[Diameter]]/2)-Table3[[#This Row],[CornerRadius]]-0.012,0),)</f>
        <v>0</v>
      </c>
      <c r="CE946" s="6" t="str">
        <f>IF(Table3[[#This Row],[ShoulderLength]]="","",IF(Table3[[#This Row],[ShoulderLength]]&lt;Table3[[#This Row],[LOC]],"FIX",""))</f>
        <v/>
      </c>
    </row>
    <row r="947" spans="1:83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v>0</v>
      </c>
      <c r="BN947" s="6">
        <v>0</v>
      </c>
      <c r="BO947" s="6">
        <v>0</v>
      </c>
      <c r="BP947" s="6">
        <v>0</v>
      </c>
      <c r="BQ947" s="6">
        <v>0</v>
      </c>
      <c r="BR947" s="6">
        <v>0</v>
      </c>
      <c r="BS947" s="6">
        <v>0</v>
      </c>
      <c r="BT947" s="6">
        <v>0</v>
      </c>
      <c r="BU947" s="6">
        <v>0</v>
      </c>
      <c r="BV947" s="6">
        <v>0</v>
      </c>
      <c r="BW947" s="6">
        <v>0</v>
      </c>
      <c r="BX947" s="6">
        <v>0</v>
      </c>
      <c r="BY947" s="6">
        <v>0</v>
      </c>
      <c r="BZ947" s="6">
        <v>0</v>
      </c>
      <c r="CA947" s="6">
        <v>0</v>
      </c>
      <c r="CB947" s="6">
        <v>0</v>
      </c>
      <c r="CC947" s="6">
        <f>IF(Table3[[#This Row],[Type]]="EM",IF((Table3[[#This Row],[Diameter]]/2)-Table3[[#This Row],[CornerRadius]]-0.012&gt;0,(Table3[[#This Row],[Diameter]]/2)-Table3[[#This Row],[CornerRadius]]-0.012,0),)</f>
        <v>0.113</v>
      </c>
      <c r="CE947" s="6" t="str">
        <f>IF(Table3[[#This Row],[ShoulderLength]]="","",IF(Table3[[#This Row],[ShoulderLength]]&lt;Table3[[#This Row],[LOC]],"FIX",""))</f>
        <v/>
      </c>
    </row>
    <row r="948" spans="1:83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v>0</v>
      </c>
      <c r="BN948" s="6">
        <v>0</v>
      </c>
      <c r="BO948" s="6">
        <v>0</v>
      </c>
      <c r="BP948" s="6">
        <v>0</v>
      </c>
      <c r="BQ948" s="6">
        <v>0</v>
      </c>
      <c r="BR948" s="6">
        <v>0</v>
      </c>
      <c r="BS948" s="6">
        <v>0</v>
      </c>
      <c r="BT948" s="6">
        <v>0</v>
      </c>
      <c r="BU948" s="6">
        <v>0</v>
      </c>
      <c r="BV948" s="6">
        <v>0</v>
      </c>
      <c r="BW948" s="6">
        <v>0</v>
      </c>
      <c r="BX948" s="6">
        <v>0</v>
      </c>
      <c r="BY948" s="6">
        <v>0</v>
      </c>
      <c r="BZ948" s="6">
        <v>0</v>
      </c>
      <c r="CA948" s="6">
        <v>0</v>
      </c>
      <c r="CB948" s="6">
        <v>0</v>
      </c>
      <c r="CC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948" s="6" t="str">
        <f>IF(Table3[[#This Row],[ShoulderLength]]="","",IF(Table3[[#This Row],[ShoulderLength]]&lt;Table3[[#This Row],[LOC]],"FIX",""))</f>
        <v/>
      </c>
    </row>
    <row r="949" spans="1:83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v>0</v>
      </c>
      <c r="BN949" s="6">
        <v>0</v>
      </c>
      <c r="BO949" s="6">
        <v>0</v>
      </c>
      <c r="BP949" s="6">
        <v>0</v>
      </c>
      <c r="BQ949" s="6">
        <v>0</v>
      </c>
      <c r="BR949" s="6">
        <v>0</v>
      </c>
      <c r="BS949" s="6">
        <v>0</v>
      </c>
      <c r="BT949" s="6">
        <v>0</v>
      </c>
      <c r="BU949" s="6">
        <v>0</v>
      </c>
      <c r="BV949" s="6">
        <v>0</v>
      </c>
      <c r="BW949" s="6">
        <v>0</v>
      </c>
      <c r="BX949" s="6">
        <v>0</v>
      </c>
      <c r="BY949" s="6">
        <v>0</v>
      </c>
      <c r="BZ949" s="6">
        <v>0</v>
      </c>
      <c r="CA949" s="6">
        <v>0</v>
      </c>
      <c r="CB949" s="6">
        <v>0</v>
      </c>
      <c r="CC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949" s="6" t="str">
        <f>IF(Table3[[#This Row],[ShoulderLength]]="","",IF(Table3[[#This Row],[ShoulderLength]]&lt;Table3[[#This Row],[LOC]],"FIX",""))</f>
        <v/>
      </c>
    </row>
    <row r="950" spans="1:83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v>0</v>
      </c>
      <c r="BN950" s="6">
        <v>0</v>
      </c>
      <c r="BO950" s="6">
        <v>0</v>
      </c>
      <c r="BP950" s="6">
        <v>0</v>
      </c>
      <c r="BQ950" s="6">
        <v>0</v>
      </c>
      <c r="BR950" s="6">
        <v>0</v>
      </c>
      <c r="BS950" s="6">
        <v>0</v>
      </c>
      <c r="BT950" s="6">
        <v>0</v>
      </c>
      <c r="BU950" s="6">
        <v>0</v>
      </c>
      <c r="BV950" s="6">
        <v>0</v>
      </c>
      <c r="BW950" s="6">
        <v>0</v>
      </c>
      <c r="BX950" s="6">
        <v>0</v>
      </c>
      <c r="BY950" s="6">
        <v>0</v>
      </c>
      <c r="BZ950" s="6">
        <v>0</v>
      </c>
      <c r="CA950" s="6">
        <v>0</v>
      </c>
      <c r="CB950" s="6">
        <v>0</v>
      </c>
      <c r="CC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50" s="6" t="str">
        <f>IF(Table3[[#This Row],[ShoulderLength]]="","",IF(Table3[[#This Row],[ShoulderLength]]&lt;Table3[[#This Row],[LOC]],"FIX",""))</f>
        <v/>
      </c>
    </row>
    <row r="951" spans="1:83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</v>
      </c>
      <c r="BN951" s="6">
        <v>0</v>
      </c>
      <c r="BO951" s="6">
        <v>0</v>
      </c>
      <c r="BP951" s="6">
        <v>0</v>
      </c>
      <c r="BQ951" s="6">
        <v>0</v>
      </c>
      <c r="BR951" s="6">
        <v>0</v>
      </c>
      <c r="BS951" s="6">
        <v>0</v>
      </c>
      <c r="BT951" s="6">
        <v>0</v>
      </c>
      <c r="BU951" s="6">
        <v>0</v>
      </c>
      <c r="BV951" s="6">
        <v>0</v>
      </c>
      <c r="BW951" s="6">
        <v>0</v>
      </c>
      <c r="BX951" s="6">
        <v>0</v>
      </c>
      <c r="BY951" s="6">
        <v>0</v>
      </c>
      <c r="BZ951" s="6">
        <v>0</v>
      </c>
      <c r="CA951" s="6">
        <v>0</v>
      </c>
      <c r="CB951" s="6">
        <v>0</v>
      </c>
      <c r="CC951" s="6">
        <v>0.17549999999999999</v>
      </c>
    </row>
    <row r="952" spans="1:83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v>0</v>
      </c>
      <c r="BN952" s="6">
        <v>0</v>
      </c>
      <c r="BO952" s="6">
        <v>0</v>
      </c>
      <c r="BP952" s="6">
        <v>0</v>
      </c>
      <c r="BQ952" s="6">
        <v>0</v>
      </c>
      <c r="BR952" s="6">
        <v>0</v>
      </c>
      <c r="BS952" s="6">
        <v>0</v>
      </c>
      <c r="BT952" s="6">
        <v>0</v>
      </c>
      <c r="BU952" s="6">
        <v>0</v>
      </c>
      <c r="BV952" s="6">
        <v>0</v>
      </c>
      <c r="BW952" s="6">
        <v>0</v>
      </c>
      <c r="BX952" s="6">
        <v>0</v>
      </c>
      <c r="BY952" s="6">
        <v>0</v>
      </c>
      <c r="BZ952" s="6">
        <v>0</v>
      </c>
      <c r="CA952" s="6">
        <v>0</v>
      </c>
      <c r="CB952" s="6">
        <v>0</v>
      </c>
      <c r="CC952" s="6">
        <f>IF(Table3[[#This Row],[Type]]="EM",IF((Table3[[#This Row],[Diameter]]/2)-Table3[[#This Row],[CornerRadius]]-0.012&gt;0,(Table3[[#This Row],[Diameter]]/2)-Table3[[#This Row],[CornerRadius]]-0.012,0),)</f>
        <v>0</v>
      </c>
      <c r="CE952" s="6" t="str">
        <f>IF(Table3[[#This Row],[ShoulderLength]]="","",IF(Table3[[#This Row],[ShoulderLength]]&lt;Table3[[#This Row],[LOC]],"FIX",""))</f>
        <v/>
      </c>
    </row>
    <row r="953" spans="1:83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v>0</v>
      </c>
      <c r="BN953" s="6">
        <v>0</v>
      </c>
      <c r="BO953" s="6">
        <v>0</v>
      </c>
      <c r="BP953" s="6">
        <v>0</v>
      </c>
      <c r="BQ953" s="6">
        <v>0</v>
      </c>
      <c r="BR953" s="6">
        <v>0</v>
      </c>
      <c r="BS953" s="6">
        <v>0</v>
      </c>
      <c r="BT953" s="6">
        <v>0</v>
      </c>
      <c r="BU953" s="6">
        <v>0</v>
      </c>
      <c r="BV953" s="6">
        <v>0</v>
      </c>
      <c r="BW953" s="6">
        <v>0</v>
      </c>
      <c r="BX953" s="6">
        <v>0</v>
      </c>
      <c r="BY953" s="6">
        <v>0</v>
      </c>
      <c r="BZ953" s="6">
        <v>0</v>
      </c>
      <c r="CA953" s="6">
        <v>0</v>
      </c>
      <c r="CB953" s="6">
        <v>0</v>
      </c>
      <c r="CC953" s="6">
        <f>IF(Table3[[#This Row],[Type]]="EM",IF((Table3[[#This Row],[Diameter]]/2)-Table3[[#This Row],[CornerRadius]]-0.012&gt;0,(Table3[[#This Row],[Diameter]]/2)-Table3[[#This Row],[CornerRadius]]-0.012,0),)</f>
        <v>0</v>
      </c>
      <c r="CE953" s="6" t="str">
        <f>IF(Table3[[#This Row],[ShoulderLength]]="","",IF(Table3[[#This Row],[ShoulderLength]]&lt;Table3[[#This Row],[LOC]],"FIX",""))</f>
        <v/>
      </c>
    </row>
    <row r="954" spans="1:83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v>0</v>
      </c>
      <c r="BN954" s="6">
        <v>0</v>
      </c>
      <c r="BO954" s="6">
        <v>0</v>
      </c>
      <c r="BP954" s="6">
        <v>0</v>
      </c>
      <c r="BQ954" s="6">
        <v>0</v>
      </c>
      <c r="BR954" s="6">
        <v>0</v>
      </c>
      <c r="BS954" s="6">
        <v>0</v>
      </c>
      <c r="BT954" s="6">
        <v>0</v>
      </c>
      <c r="BU954" s="6">
        <v>0</v>
      </c>
      <c r="BV954" s="6">
        <v>0</v>
      </c>
      <c r="BW954" s="6">
        <v>0</v>
      </c>
      <c r="BX954" s="6">
        <v>0</v>
      </c>
      <c r="BY954" s="6">
        <v>0</v>
      </c>
      <c r="BZ954" s="6">
        <v>0</v>
      </c>
      <c r="CA954" s="6">
        <v>0</v>
      </c>
      <c r="CB954" s="6">
        <v>0</v>
      </c>
      <c r="CC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CE954" s="6" t="str">
        <f>IF(Table3[[#This Row],[ShoulderLength]]="","",IF(Table3[[#This Row],[ShoulderLength]]&lt;Table3[[#This Row],[LOC]],"FIX",""))</f>
        <v/>
      </c>
    </row>
    <row r="955" spans="1:83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v>0</v>
      </c>
      <c r="BN955" s="6">
        <v>0</v>
      </c>
      <c r="BO955" s="6">
        <v>0</v>
      </c>
      <c r="BP955" s="6">
        <v>0</v>
      </c>
      <c r="BQ955" s="6">
        <v>0</v>
      </c>
      <c r="BR955" s="6">
        <v>0</v>
      </c>
      <c r="BS955" s="6">
        <v>0</v>
      </c>
      <c r="BT955" s="6">
        <v>0</v>
      </c>
      <c r="BU955" s="6">
        <v>0</v>
      </c>
      <c r="BV955" s="6">
        <v>0</v>
      </c>
      <c r="BW955" s="6">
        <v>0</v>
      </c>
      <c r="BX955" s="6">
        <v>0</v>
      </c>
      <c r="BY955" s="6">
        <v>0</v>
      </c>
      <c r="BZ955" s="6">
        <v>0</v>
      </c>
      <c r="CA955" s="6">
        <v>0</v>
      </c>
      <c r="CB955" s="6">
        <v>0</v>
      </c>
      <c r="CC955" s="6">
        <f>IF(Table3[[#This Row],[Type]]="EM",IF((Table3[[#This Row],[Diameter]]/2)-Table3[[#This Row],[CornerRadius]]-0.012&gt;0,(Table3[[#This Row],[Diameter]]/2)-Table3[[#This Row],[CornerRadius]]-0.012,0),)</f>
        <v>0.113</v>
      </c>
      <c r="CE955" s="6" t="str">
        <f>IF(Table3[[#This Row],[ShoulderLength]]="","",IF(Table3[[#This Row],[ShoulderLength]]&lt;Table3[[#This Row],[LOC]],"FIX",""))</f>
        <v/>
      </c>
    </row>
    <row r="956" spans="1:83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v>0</v>
      </c>
      <c r="BN956" s="6">
        <v>0</v>
      </c>
      <c r="BO956" s="6">
        <v>0</v>
      </c>
      <c r="BP956" s="6">
        <v>0</v>
      </c>
      <c r="BQ956" s="6">
        <v>0</v>
      </c>
      <c r="BR956" s="6">
        <v>0</v>
      </c>
      <c r="BS956" s="6">
        <v>0</v>
      </c>
      <c r="BT956" s="6">
        <v>0</v>
      </c>
      <c r="BU956" s="6">
        <v>0</v>
      </c>
      <c r="BV956" s="6">
        <v>0</v>
      </c>
      <c r="BW956" s="6">
        <v>0</v>
      </c>
      <c r="BX956" s="6">
        <v>0</v>
      </c>
      <c r="BY956" s="6">
        <v>0</v>
      </c>
      <c r="BZ956" s="6">
        <v>0</v>
      </c>
      <c r="CA956" s="6">
        <v>0</v>
      </c>
      <c r="CB956" s="6">
        <v>0</v>
      </c>
      <c r="CC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56" s="6" t="str">
        <f>IF(Table3[[#This Row],[ShoulderLength]]="","",IF(Table3[[#This Row],[ShoulderLength]]&lt;Table3[[#This Row],[LOC]],"FIX",""))</f>
        <v/>
      </c>
    </row>
    <row r="957" spans="1:83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v>0</v>
      </c>
      <c r="BN957" s="6">
        <v>0</v>
      </c>
      <c r="BO957" s="6">
        <v>0</v>
      </c>
      <c r="BP957" s="6">
        <v>0</v>
      </c>
      <c r="BQ957" s="6">
        <v>0</v>
      </c>
      <c r="BR957" s="6">
        <v>0</v>
      </c>
      <c r="BS957" s="6">
        <v>0</v>
      </c>
      <c r="BT957" s="6">
        <v>0</v>
      </c>
      <c r="BU957" s="6">
        <v>0</v>
      </c>
      <c r="BV957" s="6">
        <v>0</v>
      </c>
      <c r="BW957" s="6">
        <v>0</v>
      </c>
      <c r="BX957" s="6">
        <v>0</v>
      </c>
      <c r="BY957" s="6">
        <v>0</v>
      </c>
      <c r="BZ957" s="6">
        <v>0</v>
      </c>
      <c r="CA957" s="6">
        <v>0</v>
      </c>
      <c r="CB957" s="6">
        <v>0</v>
      </c>
      <c r="CC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CE957" s="6" t="str">
        <f>IF(Table3[[#This Row],[ShoulderLength]]="","",IF(Table3[[#This Row],[ShoulderLength]]&lt;Table3[[#This Row],[LOC]],"FIX",""))</f>
        <v/>
      </c>
    </row>
    <row r="958" spans="1:83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v>0</v>
      </c>
      <c r="BN958" s="6">
        <v>0</v>
      </c>
      <c r="BO958" s="6">
        <v>0</v>
      </c>
      <c r="BP958" s="6">
        <v>0</v>
      </c>
      <c r="BQ958" s="6">
        <v>0</v>
      </c>
      <c r="BR958" s="6">
        <v>0</v>
      </c>
      <c r="BS958" s="6">
        <v>0</v>
      </c>
      <c r="BT958" s="6">
        <v>0</v>
      </c>
      <c r="BU958" s="6">
        <v>0</v>
      </c>
      <c r="BV958" s="6">
        <v>0</v>
      </c>
      <c r="BW958" s="6">
        <v>0</v>
      </c>
      <c r="BX958" s="6">
        <v>0</v>
      </c>
      <c r="BY958" s="6">
        <v>0</v>
      </c>
      <c r="BZ958" s="6">
        <v>0</v>
      </c>
      <c r="CA958" s="6">
        <v>0</v>
      </c>
      <c r="CB958" s="6">
        <v>0</v>
      </c>
      <c r="CC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58" s="6" t="str">
        <f>IF(Table3[[#This Row],[ShoulderLength]]="","",IF(Table3[[#This Row],[ShoulderLength]]&lt;Table3[[#This Row],[LOC]],"FIX",""))</f>
        <v/>
      </c>
    </row>
    <row r="959" spans="1:83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v>0</v>
      </c>
      <c r="BN959" s="6">
        <v>0</v>
      </c>
      <c r="BO959" s="6">
        <v>0</v>
      </c>
      <c r="BP959" s="6">
        <v>0</v>
      </c>
      <c r="BQ959" s="6">
        <v>0</v>
      </c>
      <c r="BR959" s="6">
        <v>0</v>
      </c>
      <c r="BS959" s="6">
        <v>0</v>
      </c>
      <c r="BT959" s="6">
        <v>0</v>
      </c>
      <c r="BU959" s="6">
        <v>0</v>
      </c>
      <c r="BV959" s="6">
        <v>0</v>
      </c>
      <c r="BW959" s="6">
        <v>0</v>
      </c>
      <c r="BX959" s="6">
        <v>0</v>
      </c>
      <c r="BY959" s="6">
        <v>0</v>
      </c>
      <c r="BZ959" s="6">
        <v>0</v>
      </c>
      <c r="CA959" s="6">
        <v>0</v>
      </c>
      <c r="CB959" s="6">
        <v>0</v>
      </c>
      <c r="CC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59" s="6" t="str">
        <f>IF(Table3[[#This Row],[ShoulderLength]]="","",IF(Table3[[#This Row],[ShoulderLength]]&lt;Table3[[#This Row],[LOC]],"FIX",""))</f>
        <v/>
      </c>
    </row>
    <row r="960" spans="1:83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v>0</v>
      </c>
      <c r="BN960" s="6">
        <v>0</v>
      </c>
      <c r="BO960" s="6">
        <v>0</v>
      </c>
      <c r="BP960" s="6">
        <v>0</v>
      </c>
      <c r="BQ960" s="6">
        <v>0</v>
      </c>
      <c r="BR960" s="6">
        <v>0</v>
      </c>
      <c r="BS960" s="6">
        <v>0</v>
      </c>
      <c r="BT960" s="6">
        <v>0</v>
      </c>
      <c r="BU960" s="6">
        <v>0</v>
      </c>
      <c r="BV960" s="6">
        <v>0</v>
      </c>
      <c r="BW960" s="6">
        <v>0</v>
      </c>
      <c r="BX960" s="6">
        <v>0</v>
      </c>
      <c r="BY960" s="6">
        <v>0</v>
      </c>
      <c r="BZ960" s="6">
        <v>0</v>
      </c>
      <c r="CA960" s="6">
        <v>0</v>
      </c>
      <c r="CB960" s="6">
        <v>0</v>
      </c>
      <c r="CC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0" s="6" t="str">
        <f>IF(Table3[[#This Row],[ShoulderLength]]="","",IF(Table3[[#This Row],[ShoulderLength]]&lt;Table3[[#This Row],[LOC]],"FIX",""))</f>
        <v/>
      </c>
    </row>
    <row r="961" spans="1:83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v>0</v>
      </c>
      <c r="BN961" s="6">
        <v>0</v>
      </c>
      <c r="BO961" s="6">
        <v>0</v>
      </c>
      <c r="BP961" s="6">
        <v>0</v>
      </c>
      <c r="BQ961" s="6">
        <v>0</v>
      </c>
      <c r="BR961" s="6">
        <v>0</v>
      </c>
      <c r="BS961" s="6">
        <v>0</v>
      </c>
      <c r="BT961" s="6">
        <v>0</v>
      </c>
      <c r="BU961" s="6">
        <v>0</v>
      </c>
      <c r="BV961" s="6">
        <v>0</v>
      </c>
      <c r="BW961" s="6">
        <v>0</v>
      </c>
      <c r="BX961" s="6">
        <v>0</v>
      </c>
      <c r="BY961" s="6">
        <v>0</v>
      </c>
      <c r="BZ961" s="6">
        <v>0</v>
      </c>
      <c r="CA961" s="6">
        <v>0</v>
      </c>
      <c r="CB961" s="6">
        <v>0</v>
      </c>
      <c r="CC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1" s="6" t="str">
        <f>IF(Table3[[#This Row],[ShoulderLength]]="","",IF(Table3[[#This Row],[ShoulderLength]]&lt;Table3[[#This Row],[LOC]],"FIX",""))</f>
        <v/>
      </c>
    </row>
    <row r="962" spans="1:83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v>0</v>
      </c>
      <c r="BN962" s="6">
        <v>0</v>
      </c>
      <c r="BO962" s="6">
        <v>0</v>
      </c>
      <c r="BP962" s="6">
        <v>0</v>
      </c>
      <c r="BQ962" s="6">
        <v>0</v>
      </c>
      <c r="BR962" s="6">
        <v>0</v>
      </c>
      <c r="BS962" s="6">
        <v>0</v>
      </c>
      <c r="BT962" s="6">
        <v>0</v>
      </c>
      <c r="BU962" s="6">
        <v>0</v>
      </c>
      <c r="BV962" s="6">
        <v>0</v>
      </c>
      <c r="BW962" s="6">
        <v>0</v>
      </c>
      <c r="BX962" s="6">
        <v>0</v>
      </c>
      <c r="BY962" s="6">
        <v>0</v>
      </c>
      <c r="BZ962" s="6">
        <v>0</v>
      </c>
      <c r="CA962" s="6">
        <v>0</v>
      </c>
      <c r="CB962" s="6">
        <v>0</v>
      </c>
      <c r="CC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2" s="6" t="str">
        <f>IF(Table3[[#This Row],[ShoulderLength]]="","",IF(Table3[[#This Row],[ShoulderLength]]&lt;Table3[[#This Row],[LOC]],"FIX",""))</f>
        <v/>
      </c>
    </row>
    <row r="963" spans="1:83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v>0</v>
      </c>
      <c r="BN963" s="6">
        <v>0</v>
      </c>
      <c r="BO963" s="6">
        <v>0</v>
      </c>
      <c r="BP963" s="6">
        <v>0</v>
      </c>
      <c r="BQ963" s="6">
        <v>0</v>
      </c>
      <c r="BR963" s="6">
        <v>0</v>
      </c>
      <c r="BS963" s="6">
        <v>0</v>
      </c>
      <c r="BT963" s="6">
        <v>0</v>
      </c>
      <c r="BU963" s="6">
        <v>0</v>
      </c>
      <c r="BV963" s="6">
        <v>0</v>
      </c>
      <c r="BW963" s="6">
        <v>0</v>
      </c>
      <c r="BX963" s="6">
        <v>0</v>
      </c>
      <c r="BY963" s="6">
        <v>0</v>
      </c>
      <c r="BZ963" s="6">
        <v>0</v>
      </c>
      <c r="CA963" s="6">
        <v>0</v>
      </c>
      <c r="CB963" s="6">
        <v>0</v>
      </c>
      <c r="CC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3" s="6" t="str">
        <f>IF(Table3[[#This Row],[ShoulderLength]]="","",IF(Table3[[#This Row],[ShoulderLength]]&lt;Table3[[#This Row],[LOC]],"FIX",""))</f>
        <v/>
      </c>
    </row>
    <row r="964" spans="1:83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v>0</v>
      </c>
      <c r="BN964" s="6">
        <v>0</v>
      </c>
      <c r="BO964" s="6">
        <v>0</v>
      </c>
      <c r="BP964" s="6">
        <v>0</v>
      </c>
      <c r="BQ964" s="6">
        <v>0</v>
      </c>
      <c r="BR964" s="6">
        <v>0</v>
      </c>
      <c r="BS964" s="6">
        <v>0</v>
      </c>
      <c r="BT964" s="6">
        <v>0</v>
      </c>
      <c r="BU964" s="6">
        <v>0</v>
      </c>
      <c r="BV964" s="6">
        <v>0</v>
      </c>
      <c r="BW964" s="6">
        <v>0</v>
      </c>
      <c r="BX964" s="6">
        <v>0</v>
      </c>
      <c r="BY964" s="6">
        <v>0</v>
      </c>
      <c r="BZ964" s="6">
        <v>0</v>
      </c>
      <c r="CA964" s="6">
        <v>0</v>
      </c>
      <c r="CB964" s="6">
        <v>0</v>
      </c>
      <c r="CC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4" s="6" t="str">
        <f>IF(Table3[[#This Row],[ShoulderLength]]="","",IF(Table3[[#This Row],[ShoulderLength]]&lt;Table3[[#This Row],[LOC]],"FIX",""))</f>
        <v/>
      </c>
    </row>
    <row r="965" spans="1:83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v>0</v>
      </c>
      <c r="BN965" s="6">
        <v>0</v>
      </c>
      <c r="BO965" s="6">
        <v>0</v>
      </c>
      <c r="BP965" s="6">
        <v>0</v>
      </c>
      <c r="BQ965" s="6">
        <v>0</v>
      </c>
      <c r="BR965" s="6">
        <v>0</v>
      </c>
      <c r="BS965" s="6">
        <v>0</v>
      </c>
      <c r="BT965" s="6">
        <v>0</v>
      </c>
      <c r="BU965" s="6">
        <v>0</v>
      </c>
      <c r="BV965" s="6">
        <v>0</v>
      </c>
      <c r="BW965" s="6">
        <v>0</v>
      </c>
      <c r="BX965" s="6">
        <v>0</v>
      </c>
      <c r="BY965" s="6">
        <v>0</v>
      </c>
      <c r="BZ965" s="6">
        <v>0</v>
      </c>
      <c r="CA965" s="6">
        <v>0</v>
      </c>
      <c r="CB965" s="6">
        <v>0</v>
      </c>
      <c r="CC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CE965" s="6" t="str">
        <f>IF(Table3[[#This Row],[ShoulderLength]]="","",IF(Table3[[#This Row],[ShoulderLength]]&lt;Table3[[#This Row],[LOC]],"FIX",""))</f>
        <v/>
      </c>
    </row>
    <row r="966" spans="1:83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v>0</v>
      </c>
      <c r="BN966" s="6">
        <v>0</v>
      </c>
      <c r="BO966" s="6">
        <v>0</v>
      </c>
      <c r="BP966" s="6">
        <v>0</v>
      </c>
      <c r="BQ966" s="6">
        <v>0</v>
      </c>
      <c r="BR966" s="6">
        <v>0</v>
      </c>
      <c r="BS966" s="6">
        <v>0</v>
      </c>
      <c r="BT966" s="6">
        <v>0</v>
      </c>
      <c r="BU966" s="6">
        <v>0</v>
      </c>
      <c r="BV966" s="6">
        <v>0</v>
      </c>
      <c r="BW966" s="6">
        <v>0</v>
      </c>
      <c r="BX966" s="6">
        <v>0</v>
      </c>
      <c r="BY966" s="6">
        <v>0</v>
      </c>
      <c r="BZ966" s="6">
        <v>0</v>
      </c>
      <c r="CA966" s="6">
        <v>0</v>
      </c>
      <c r="CB966" s="6">
        <v>0</v>
      </c>
      <c r="CC966" s="6">
        <f>IF(Table3[[#This Row],[Type]]="EM",IF((Table3[[#This Row],[Diameter]]/2)-Table3[[#This Row],[CornerRadius]]-0.012&gt;0,(Table3[[#This Row],[Diameter]]/2)-Table3[[#This Row],[CornerRadius]]-0.012,0),)</f>
        <v>0</v>
      </c>
      <c r="CE966" s="6" t="str">
        <f>IF(Table3[[#This Row],[ShoulderLength]]="","",IF(Table3[[#This Row],[ShoulderLength]]&lt;Table3[[#This Row],[LOC]],"FIX",""))</f>
        <v/>
      </c>
    </row>
    <row r="967" spans="1:83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v>0</v>
      </c>
      <c r="BN967" s="6">
        <v>0</v>
      </c>
      <c r="BO967" s="6">
        <v>0</v>
      </c>
      <c r="BP967" s="6">
        <v>0</v>
      </c>
      <c r="BQ967" s="6">
        <v>0</v>
      </c>
      <c r="BR967" s="6">
        <v>0</v>
      </c>
      <c r="BS967" s="6">
        <v>0</v>
      </c>
      <c r="BT967" s="6">
        <v>0</v>
      </c>
      <c r="BU967" s="6">
        <v>0</v>
      </c>
      <c r="BV967" s="6">
        <v>0</v>
      </c>
      <c r="BW967" s="6">
        <v>0</v>
      </c>
      <c r="BX967" s="6">
        <v>0</v>
      </c>
      <c r="BY967" s="6">
        <v>0</v>
      </c>
      <c r="BZ967" s="6">
        <v>0</v>
      </c>
      <c r="CA967" s="6">
        <v>0</v>
      </c>
      <c r="CB967" s="6">
        <v>0</v>
      </c>
      <c r="CC967" s="6">
        <f>IF(Table3[[#This Row],[Type]]="EM",IF((Table3[[#This Row],[Diameter]]/2)-Table3[[#This Row],[CornerRadius]]-0.012&gt;0,(Table3[[#This Row],[Diameter]]/2)-Table3[[#This Row],[CornerRadius]]-0.012,0),)</f>
        <v>0</v>
      </c>
      <c r="CE967" s="6" t="str">
        <f>IF(Table3[[#This Row],[ShoulderLength]]="","",IF(Table3[[#This Row],[ShoulderLength]]&lt;Table3[[#This Row],[LOC]],"FIX",""))</f>
        <v/>
      </c>
    </row>
    <row r="968" spans="1:83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v>0</v>
      </c>
      <c r="BN968" s="6">
        <v>0</v>
      </c>
      <c r="BO968" s="6">
        <v>0</v>
      </c>
      <c r="BP968" s="6">
        <v>0</v>
      </c>
      <c r="BQ968" s="6">
        <v>0</v>
      </c>
      <c r="BR968" s="6">
        <v>0</v>
      </c>
      <c r="BS968" s="6">
        <v>0</v>
      </c>
      <c r="BT968" s="6">
        <v>0</v>
      </c>
      <c r="BU968" s="6">
        <v>0</v>
      </c>
      <c r="BV968" s="6">
        <v>0</v>
      </c>
      <c r="BW968" s="6">
        <v>0</v>
      </c>
      <c r="BX968" s="6">
        <v>0</v>
      </c>
      <c r="BY968" s="6">
        <v>0</v>
      </c>
      <c r="BZ968" s="6">
        <v>0</v>
      </c>
      <c r="CA968" s="6">
        <v>0</v>
      </c>
      <c r="CB968" s="6">
        <v>0</v>
      </c>
      <c r="CC968" s="6">
        <f>IF(Table3[[#This Row],[Type]]="EM",IF((Table3[[#This Row],[Diameter]]/2)-Table3[[#This Row],[CornerRadius]]-0.012&gt;0,(Table3[[#This Row],[Diameter]]/2)-Table3[[#This Row],[CornerRadius]]-0.012,0),)</f>
        <v>0</v>
      </c>
      <c r="CE968" s="6" t="str">
        <f>IF(Table3[[#This Row],[ShoulderLength]]="","",IF(Table3[[#This Row],[ShoulderLength]]&lt;Table3[[#This Row],[LOC]],"FIX",""))</f>
        <v/>
      </c>
    </row>
    <row r="969" spans="1:83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v>0</v>
      </c>
      <c r="BN969" s="6">
        <v>0</v>
      </c>
      <c r="BO969" s="6">
        <v>0</v>
      </c>
      <c r="BP969" s="6">
        <v>0</v>
      </c>
      <c r="BQ969" s="6">
        <v>0</v>
      </c>
      <c r="BR969" s="6">
        <v>0</v>
      </c>
      <c r="BS969" s="6">
        <v>0</v>
      </c>
      <c r="BT969" s="6">
        <v>0</v>
      </c>
      <c r="BU969" s="6">
        <v>0</v>
      </c>
      <c r="BV969" s="6">
        <v>0</v>
      </c>
      <c r="BW969" s="6">
        <v>0</v>
      </c>
      <c r="BX969" s="6">
        <v>0</v>
      </c>
      <c r="BY969" s="6">
        <v>0</v>
      </c>
      <c r="BZ969" s="6">
        <v>0</v>
      </c>
      <c r="CA969" s="6">
        <v>0</v>
      </c>
      <c r="CB969" s="6">
        <v>0</v>
      </c>
      <c r="CC969" s="6">
        <f>IF(Table3[[#This Row],[Type]]="EM",IF((Table3[[#This Row],[Diameter]]/2)-Table3[[#This Row],[CornerRadius]]-0.012&gt;0,(Table3[[#This Row],[Diameter]]/2)-Table3[[#This Row],[CornerRadius]]-0.012,0),)</f>
        <v>0</v>
      </c>
      <c r="CE969" s="6" t="str">
        <f>IF(Table3[[#This Row],[ShoulderLength]]="","",IF(Table3[[#This Row],[ShoulderLength]]&lt;Table3[[#This Row],[LOC]],"FIX",""))</f>
        <v/>
      </c>
    </row>
    <row r="970" spans="1:83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v>0</v>
      </c>
      <c r="BN970" s="6">
        <v>0</v>
      </c>
      <c r="BO970" s="6">
        <v>0</v>
      </c>
      <c r="BP970" s="6">
        <v>0</v>
      </c>
      <c r="BQ970" s="6">
        <v>0</v>
      </c>
      <c r="BR970" s="6">
        <v>0</v>
      </c>
      <c r="BS970" s="6">
        <v>0</v>
      </c>
      <c r="BT970" s="6">
        <v>0</v>
      </c>
      <c r="BU970" s="6">
        <v>0</v>
      </c>
      <c r="BV970" s="6">
        <v>0</v>
      </c>
      <c r="BW970" s="6">
        <v>0</v>
      </c>
      <c r="BX970" s="6">
        <v>0</v>
      </c>
      <c r="BY970" s="6">
        <v>0</v>
      </c>
      <c r="BZ970" s="6">
        <v>0</v>
      </c>
      <c r="CA970" s="6">
        <v>0</v>
      </c>
      <c r="CB970" s="6">
        <v>0</v>
      </c>
      <c r="CC970" s="6">
        <f>IF(Table3[[#This Row],[Type]]="EM",IF((Table3[[#This Row],[Diameter]]/2)-Table3[[#This Row],[CornerRadius]]-0.012&gt;0,(Table3[[#This Row],[Diameter]]/2)-Table3[[#This Row],[CornerRadius]]-0.012,0),)</f>
        <v>0</v>
      </c>
      <c r="CE970" s="6" t="str">
        <f>IF(Table3[[#This Row],[ShoulderLength]]="","",IF(Table3[[#This Row],[ShoulderLength]]&lt;Table3[[#This Row],[LOC]],"FIX",""))</f>
        <v/>
      </c>
    </row>
    <row r="971" spans="1:83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v>0</v>
      </c>
      <c r="BN971" s="6">
        <v>0</v>
      </c>
      <c r="BO971" s="6">
        <v>0</v>
      </c>
      <c r="BP971" s="6">
        <v>0</v>
      </c>
      <c r="BQ971" s="6">
        <v>0</v>
      </c>
      <c r="BR971" s="6">
        <v>0</v>
      </c>
      <c r="BS971" s="6">
        <v>0</v>
      </c>
      <c r="BT971" s="6">
        <v>0</v>
      </c>
      <c r="BU971" s="6">
        <v>0</v>
      </c>
      <c r="BV971" s="6">
        <v>0</v>
      </c>
      <c r="BW971" s="6">
        <v>0</v>
      </c>
      <c r="BX971" s="6">
        <v>0</v>
      </c>
      <c r="BY971" s="6">
        <v>0</v>
      </c>
      <c r="BZ971" s="6">
        <v>0</v>
      </c>
      <c r="CA971" s="6">
        <v>0</v>
      </c>
      <c r="CB971" s="6">
        <v>0</v>
      </c>
      <c r="CC971" s="6">
        <f>IF(Table3[[#This Row],[Type]]="EM",IF((Table3[[#This Row],[Diameter]]/2)-Table3[[#This Row],[CornerRadius]]-0.012&gt;0,(Table3[[#This Row],[Diameter]]/2)-Table3[[#This Row],[CornerRadius]]-0.012,0),)</f>
        <v>0</v>
      </c>
      <c r="CE971" s="6" t="str">
        <f>IF(Table3[[#This Row],[ShoulderLength]]="","",IF(Table3[[#This Row],[ShoulderLength]]&lt;Table3[[#This Row],[LOC]],"FIX",""))</f>
        <v/>
      </c>
    </row>
    <row r="972" spans="1:83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v>0</v>
      </c>
      <c r="BN972" s="6">
        <v>0</v>
      </c>
      <c r="BO972" s="6">
        <v>0</v>
      </c>
      <c r="BP972" s="6">
        <v>0</v>
      </c>
      <c r="BQ972" s="6">
        <v>0</v>
      </c>
      <c r="BR972" s="6">
        <v>0</v>
      </c>
      <c r="BS972" s="6">
        <v>0</v>
      </c>
      <c r="BT972" s="6">
        <v>0</v>
      </c>
      <c r="BU972" s="6">
        <v>0</v>
      </c>
      <c r="BV972" s="6">
        <v>0</v>
      </c>
      <c r="BW972" s="6">
        <v>0</v>
      </c>
      <c r="BX972" s="6">
        <v>0</v>
      </c>
      <c r="BY972" s="6">
        <v>0</v>
      </c>
      <c r="BZ972" s="6">
        <v>0</v>
      </c>
      <c r="CA972" s="6">
        <v>0</v>
      </c>
      <c r="CB972" s="6">
        <v>0</v>
      </c>
      <c r="CC972" s="6">
        <f>IF(Table3[[#This Row],[Type]]="EM",IF((Table3[[#This Row],[Diameter]]/2)-Table3[[#This Row],[CornerRadius]]-0.012&gt;0,(Table3[[#This Row],[Diameter]]/2)-Table3[[#This Row],[CornerRadius]]-0.012,0),)</f>
        <v>0</v>
      </c>
      <c r="CE972" s="6" t="str">
        <f>IF(Table3[[#This Row],[ShoulderLength]]="","",IF(Table3[[#This Row],[ShoulderLength]]&lt;Table3[[#This Row],[LOC]],"FIX",""))</f>
        <v/>
      </c>
    </row>
    <row r="973" spans="1:83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v>0</v>
      </c>
      <c r="BN973" s="6">
        <v>0</v>
      </c>
      <c r="BO973" s="6">
        <v>0</v>
      </c>
      <c r="BP973" s="6">
        <v>0</v>
      </c>
      <c r="BQ973" s="6">
        <v>0</v>
      </c>
      <c r="BR973" s="6">
        <v>0</v>
      </c>
      <c r="BS973" s="6">
        <v>0</v>
      </c>
      <c r="BT973" s="6">
        <v>0</v>
      </c>
      <c r="BU973" s="6">
        <v>0</v>
      </c>
      <c r="BV973" s="6">
        <v>0</v>
      </c>
      <c r="BW973" s="6">
        <v>0</v>
      </c>
      <c r="BX973" s="6">
        <v>0</v>
      </c>
      <c r="BY973" s="6">
        <v>0</v>
      </c>
      <c r="BZ973" s="6">
        <v>0</v>
      </c>
      <c r="CA973" s="6">
        <v>0</v>
      </c>
      <c r="CB973" s="6">
        <v>0</v>
      </c>
      <c r="CC973" s="6">
        <f>IF(Table3[[#This Row],[Type]]="EM",IF((Table3[[#This Row],[Diameter]]/2)-Table3[[#This Row],[CornerRadius]]-0.012&gt;0,(Table3[[#This Row],[Diameter]]/2)-Table3[[#This Row],[CornerRadius]]-0.012,0),)</f>
        <v>0</v>
      </c>
      <c r="CE973" s="6" t="str">
        <f>IF(Table3[[#This Row],[ShoulderLength]]="","",IF(Table3[[#This Row],[ShoulderLength]]&lt;Table3[[#This Row],[LOC]],"FIX",""))</f>
        <v/>
      </c>
    </row>
    <row r="974" spans="1:83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v>0</v>
      </c>
      <c r="BN974" s="6">
        <v>0</v>
      </c>
      <c r="BO974" s="6">
        <v>0</v>
      </c>
      <c r="BP974" s="6">
        <v>0</v>
      </c>
      <c r="BQ974" s="6">
        <v>0</v>
      </c>
      <c r="BR974" s="6">
        <v>0</v>
      </c>
      <c r="BS974" s="6">
        <v>0</v>
      </c>
      <c r="BT974" s="6">
        <v>0</v>
      </c>
      <c r="BU974" s="6">
        <v>0</v>
      </c>
      <c r="BV974" s="6">
        <v>0</v>
      </c>
      <c r="BW974" s="6">
        <v>0</v>
      </c>
      <c r="BX974" s="6">
        <v>0</v>
      </c>
      <c r="BY974" s="6">
        <v>0</v>
      </c>
      <c r="BZ974" s="6">
        <v>0</v>
      </c>
      <c r="CA974" s="6">
        <v>0</v>
      </c>
      <c r="CB974" s="6">
        <v>0</v>
      </c>
      <c r="CC974" s="6">
        <f>IF(Table3[[#This Row],[Type]]="EM",IF((Table3[[#This Row],[Diameter]]/2)-Table3[[#This Row],[CornerRadius]]-0.012&gt;0,(Table3[[#This Row],[Diameter]]/2)-Table3[[#This Row],[CornerRadius]]-0.012,0),)</f>
        <v>0</v>
      </c>
      <c r="CE974" s="6" t="str">
        <f>IF(Table3[[#This Row],[ShoulderLength]]="","",IF(Table3[[#This Row],[ShoulderLength]]&lt;Table3[[#This Row],[LOC]],"FIX",""))</f>
        <v/>
      </c>
    </row>
    <row r="975" spans="1:83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v>0</v>
      </c>
      <c r="BN975" s="6">
        <v>0</v>
      </c>
      <c r="BO975" s="6">
        <v>0</v>
      </c>
      <c r="BP975" s="6">
        <v>0</v>
      </c>
      <c r="BQ975" s="6">
        <v>0</v>
      </c>
      <c r="BR975" s="6">
        <v>0</v>
      </c>
      <c r="BS975" s="6">
        <v>0</v>
      </c>
      <c r="BT975" s="6">
        <v>0</v>
      </c>
      <c r="BU975" s="6">
        <v>0</v>
      </c>
      <c r="BV975" s="6">
        <v>0</v>
      </c>
      <c r="BW975" s="6">
        <v>0</v>
      </c>
      <c r="BX975" s="6">
        <v>0</v>
      </c>
      <c r="BY975" s="6">
        <v>0</v>
      </c>
      <c r="BZ975" s="6">
        <v>0</v>
      </c>
      <c r="CA975" s="6">
        <v>0</v>
      </c>
      <c r="CB975" s="6">
        <v>0</v>
      </c>
      <c r="CC975" s="6">
        <f>IF(Table3[[#This Row],[Type]]="EM",IF((Table3[[#This Row],[Diameter]]/2)-Table3[[#This Row],[CornerRadius]]-0.012&gt;0,(Table3[[#This Row],[Diameter]]/2)-Table3[[#This Row],[CornerRadius]]-0.012,0),)</f>
        <v>0</v>
      </c>
      <c r="CE975" s="6" t="str">
        <f>IF(Table3[[#This Row],[ShoulderLength]]="","",IF(Table3[[#This Row],[ShoulderLength]]&lt;Table3[[#This Row],[LOC]],"FIX",""))</f>
        <v/>
      </c>
    </row>
    <row r="976" spans="1:83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v>0</v>
      </c>
      <c r="BN976" s="6">
        <v>0</v>
      </c>
      <c r="BO976" s="6">
        <v>0</v>
      </c>
      <c r="BP976" s="6">
        <v>0</v>
      </c>
      <c r="BQ976" s="6">
        <v>0</v>
      </c>
      <c r="BR976" s="6">
        <v>0</v>
      </c>
      <c r="BS976" s="6">
        <v>0</v>
      </c>
      <c r="BT976" s="6">
        <v>0</v>
      </c>
      <c r="BU976" s="6">
        <v>0</v>
      </c>
      <c r="BV976" s="6">
        <v>0</v>
      </c>
      <c r="BW976" s="6">
        <v>0</v>
      </c>
      <c r="BX976" s="6">
        <v>0</v>
      </c>
      <c r="BY976" s="6">
        <v>0</v>
      </c>
      <c r="BZ976" s="6">
        <v>0</v>
      </c>
      <c r="CA976" s="6">
        <v>0</v>
      </c>
      <c r="CB976" s="6">
        <v>0</v>
      </c>
      <c r="CC976" s="6">
        <f>IF(Table3[[#This Row],[Type]]="EM",IF((Table3[[#This Row],[Diameter]]/2)-Table3[[#This Row],[CornerRadius]]-0.012&gt;0,(Table3[[#This Row],[Diameter]]/2)-Table3[[#This Row],[CornerRadius]]-0.012,0),)</f>
        <v>0</v>
      </c>
      <c r="CE976" s="6" t="str">
        <f>IF(Table3[[#This Row],[ShoulderLength]]="","",IF(Table3[[#This Row],[ShoulderLength]]&lt;Table3[[#This Row],[LOC]],"FIX",""))</f>
        <v/>
      </c>
    </row>
    <row r="977" spans="1:83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v>0</v>
      </c>
      <c r="BN977" s="6">
        <v>0</v>
      </c>
      <c r="BO977" s="6">
        <v>0</v>
      </c>
      <c r="BP977" s="6">
        <v>0</v>
      </c>
      <c r="BQ977" s="6">
        <v>0</v>
      </c>
      <c r="BR977" s="6">
        <v>0</v>
      </c>
      <c r="BS977" s="6">
        <v>0</v>
      </c>
      <c r="BT977" s="6">
        <v>0</v>
      </c>
      <c r="BU977" s="6">
        <v>0</v>
      </c>
      <c r="BV977" s="6">
        <v>0</v>
      </c>
      <c r="BW977" s="6">
        <v>0</v>
      </c>
      <c r="BX977" s="6">
        <v>0</v>
      </c>
      <c r="BY977" s="6">
        <v>0</v>
      </c>
      <c r="BZ977" s="6">
        <v>0</v>
      </c>
      <c r="CA977" s="6">
        <v>0</v>
      </c>
      <c r="CB977" s="6">
        <v>0</v>
      </c>
      <c r="CC977" s="6">
        <f>IF(Table3[[#This Row],[Type]]="EM",IF((Table3[[#This Row],[Diameter]]/2)-Table3[[#This Row],[CornerRadius]]-0.012&gt;0,(Table3[[#This Row],[Diameter]]/2)-Table3[[#This Row],[CornerRadius]]-0.012,0),)</f>
        <v>0</v>
      </c>
      <c r="CE977" s="6" t="str">
        <f>IF(Table3[[#This Row],[ShoulderLength]]="","",IF(Table3[[#This Row],[ShoulderLength]]&lt;Table3[[#This Row],[LOC]],"FIX",""))</f>
        <v/>
      </c>
    </row>
    <row r="978" spans="1:83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v>0</v>
      </c>
      <c r="BN978" s="6">
        <v>0</v>
      </c>
      <c r="BO978" s="6">
        <v>0</v>
      </c>
      <c r="BP978" s="6">
        <v>0</v>
      </c>
      <c r="BQ978" s="6">
        <v>0</v>
      </c>
      <c r="BR978" s="6">
        <v>0</v>
      </c>
      <c r="BS978" s="6">
        <v>0</v>
      </c>
      <c r="BT978" s="6">
        <v>0</v>
      </c>
      <c r="BU978" s="6">
        <v>0</v>
      </c>
      <c r="BV978" s="6">
        <v>0</v>
      </c>
      <c r="BW978" s="6">
        <v>0</v>
      </c>
      <c r="BX978" s="6">
        <v>0</v>
      </c>
      <c r="BY978" s="6">
        <v>0</v>
      </c>
      <c r="BZ978" s="6">
        <v>0</v>
      </c>
      <c r="CA978" s="6">
        <v>0</v>
      </c>
      <c r="CB978" s="6">
        <v>0</v>
      </c>
      <c r="CC978" s="6">
        <f>IF(Table3[[#This Row],[Type]]="EM",IF((Table3[[#This Row],[Diameter]]/2)-Table3[[#This Row],[CornerRadius]]-0.012&gt;0,(Table3[[#This Row],[Diameter]]/2)-Table3[[#This Row],[CornerRadius]]-0.012,0),)</f>
        <v>0</v>
      </c>
      <c r="CE978" s="6" t="str">
        <f>IF(Table3[[#This Row],[ShoulderLength]]="","",IF(Table3[[#This Row],[ShoulderLength]]&lt;Table3[[#This Row],[LOC]],"FIX",""))</f>
        <v/>
      </c>
    </row>
    <row r="979" spans="1:83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v>0</v>
      </c>
      <c r="BN979" s="6">
        <v>0</v>
      </c>
      <c r="BO979" s="6">
        <v>0</v>
      </c>
      <c r="BP979" s="6">
        <v>0</v>
      </c>
      <c r="BQ979" s="6">
        <v>0</v>
      </c>
      <c r="BR979" s="6">
        <v>0</v>
      </c>
      <c r="BS979" s="6">
        <v>0</v>
      </c>
      <c r="BT979" s="6">
        <v>0</v>
      </c>
      <c r="BU979" s="6">
        <v>0</v>
      </c>
      <c r="BV979" s="6">
        <v>0</v>
      </c>
      <c r="BW979" s="6">
        <v>0</v>
      </c>
      <c r="BX979" s="6">
        <v>0</v>
      </c>
      <c r="BY979" s="6">
        <v>0</v>
      </c>
      <c r="BZ979" s="6">
        <v>0</v>
      </c>
      <c r="CA979" s="6">
        <v>0</v>
      </c>
      <c r="CB979" s="6">
        <v>0</v>
      </c>
      <c r="CC979" s="6">
        <f>IF(Table3[[#This Row],[Type]]="EM",IF((Table3[[#This Row],[Diameter]]/2)-Table3[[#This Row],[CornerRadius]]-0.012&gt;0,(Table3[[#This Row],[Diameter]]/2)-Table3[[#This Row],[CornerRadius]]-0.012,0),)</f>
        <v>0</v>
      </c>
      <c r="CE979" s="6" t="str">
        <f>IF(Table3[[#This Row],[ShoulderLength]]="","",IF(Table3[[#This Row],[ShoulderLength]]&lt;Table3[[#This Row],[LOC]],"FIX",""))</f>
        <v/>
      </c>
    </row>
    <row r="980" spans="1:83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v>0</v>
      </c>
      <c r="BN980" s="6">
        <v>0</v>
      </c>
      <c r="BO980" s="6">
        <v>0</v>
      </c>
      <c r="BP980" s="6">
        <v>0</v>
      </c>
      <c r="BQ980" s="6">
        <v>0</v>
      </c>
      <c r="BR980" s="6">
        <v>0</v>
      </c>
      <c r="BS980" s="6">
        <v>0</v>
      </c>
      <c r="BT980" s="6">
        <v>0</v>
      </c>
      <c r="BU980" s="6">
        <v>0</v>
      </c>
      <c r="BV980" s="6">
        <v>0</v>
      </c>
      <c r="BW980" s="6">
        <v>0</v>
      </c>
      <c r="BX980" s="6">
        <v>0</v>
      </c>
      <c r="BY980" s="6">
        <v>0</v>
      </c>
      <c r="BZ980" s="6">
        <v>0</v>
      </c>
      <c r="CA980" s="6">
        <v>0</v>
      </c>
      <c r="CB980" s="6">
        <v>0</v>
      </c>
      <c r="CC980" s="6">
        <f>IF(Table3[[#This Row],[Type]]="EM",IF((Table3[[#This Row],[Diameter]]/2)-Table3[[#This Row],[CornerRadius]]-0.012&gt;0,(Table3[[#This Row],[Diameter]]/2)-Table3[[#This Row],[CornerRadius]]-0.012,0),)</f>
        <v>0</v>
      </c>
      <c r="CE980" s="6" t="str">
        <f>IF(Table3[[#This Row],[ShoulderLength]]="","",IF(Table3[[#This Row],[ShoulderLength]]&lt;Table3[[#This Row],[LOC]],"FIX",""))</f>
        <v/>
      </c>
    </row>
    <row r="981" spans="1:83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v>0</v>
      </c>
      <c r="BN981" s="6">
        <v>0</v>
      </c>
      <c r="BO981" s="6">
        <v>0</v>
      </c>
      <c r="BP981" s="6">
        <v>0</v>
      </c>
      <c r="BQ981" s="6">
        <v>0</v>
      </c>
      <c r="BR981" s="6">
        <v>0</v>
      </c>
      <c r="BS981" s="6">
        <v>0</v>
      </c>
      <c r="BT981" s="6">
        <v>0</v>
      </c>
      <c r="BU981" s="6">
        <v>0</v>
      </c>
      <c r="BV981" s="6">
        <v>0</v>
      </c>
      <c r="BW981" s="6">
        <v>0</v>
      </c>
      <c r="BX981" s="6">
        <v>0</v>
      </c>
      <c r="BY981" s="6">
        <v>0</v>
      </c>
      <c r="BZ981" s="6">
        <v>0</v>
      </c>
      <c r="CA981" s="6">
        <v>0</v>
      </c>
      <c r="CB981" s="6">
        <v>0</v>
      </c>
      <c r="CC981" s="6">
        <f>IF(Table3[[#This Row],[Type]]="EM",IF((Table3[[#This Row],[Diameter]]/2)-Table3[[#This Row],[CornerRadius]]-0.012&gt;0,(Table3[[#This Row],[Diameter]]/2)-Table3[[#This Row],[CornerRadius]]-0.012,0),)</f>
        <v>0</v>
      </c>
      <c r="CE981" s="6" t="str">
        <f>IF(Table3[[#This Row],[ShoulderLength]]="","",IF(Table3[[#This Row],[ShoulderLength]]&lt;Table3[[#This Row],[LOC]],"FIX",""))</f>
        <v/>
      </c>
    </row>
    <row r="982" spans="1:83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v>0</v>
      </c>
      <c r="BN982" s="6">
        <v>0</v>
      </c>
      <c r="BO982" s="6">
        <v>0</v>
      </c>
      <c r="BP982" s="6">
        <v>0</v>
      </c>
      <c r="BQ982" s="6">
        <v>0</v>
      </c>
      <c r="BR982" s="6">
        <v>0</v>
      </c>
      <c r="BS982" s="6">
        <v>0</v>
      </c>
      <c r="BT982" s="6">
        <v>0</v>
      </c>
      <c r="BU982" s="6">
        <v>0</v>
      </c>
      <c r="BV982" s="6">
        <v>0</v>
      </c>
      <c r="BW982" s="6">
        <v>0</v>
      </c>
      <c r="BX982" s="6">
        <v>0</v>
      </c>
      <c r="BY982" s="6">
        <v>0</v>
      </c>
      <c r="BZ982" s="6">
        <v>0</v>
      </c>
      <c r="CA982" s="6">
        <v>0</v>
      </c>
      <c r="CB982" s="6">
        <v>0</v>
      </c>
      <c r="CC982" s="6">
        <f>IF(Table3[[#This Row],[Type]]="EM",IF((Table3[[#This Row],[Diameter]]/2)-Table3[[#This Row],[CornerRadius]]-0.012&gt;0,(Table3[[#This Row],[Diameter]]/2)-Table3[[#This Row],[CornerRadius]]-0.012,0),)</f>
        <v>0</v>
      </c>
      <c r="CE982" s="6" t="str">
        <f>IF(Table3[[#This Row],[ShoulderLength]]="","",IF(Table3[[#This Row],[ShoulderLength]]&lt;Table3[[#This Row],[LOC]],"FIX",""))</f>
        <v/>
      </c>
    </row>
    <row r="983" spans="1:83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v>0</v>
      </c>
      <c r="BN983" s="6">
        <v>0</v>
      </c>
      <c r="BO983" s="6">
        <v>0</v>
      </c>
      <c r="BP983" s="6">
        <v>0</v>
      </c>
      <c r="BQ983" s="6">
        <v>0</v>
      </c>
      <c r="BR983" s="6">
        <v>0</v>
      </c>
      <c r="BS983" s="6">
        <v>0</v>
      </c>
      <c r="BT983" s="6">
        <v>0</v>
      </c>
      <c r="BU983" s="6">
        <v>0</v>
      </c>
      <c r="BV983" s="6">
        <v>0</v>
      </c>
      <c r="BW983" s="6">
        <v>0</v>
      </c>
      <c r="BX983" s="6">
        <v>0</v>
      </c>
      <c r="BY983" s="6">
        <v>0</v>
      </c>
      <c r="BZ983" s="6">
        <v>0</v>
      </c>
      <c r="CA983" s="6">
        <v>0</v>
      </c>
      <c r="CB983" s="6">
        <v>0</v>
      </c>
      <c r="CC983" s="6">
        <f>IF(Table3[[#This Row],[Type]]="EM",IF((Table3[[#This Row],[Diameter]]/2)-Table3[[#This Row],[CornerRadius]]-0.012&gt;0,(Table3[[#This Row],[Diameter]]/2)-Table3[[#This Row],[CornerRadius]]-0.012,0),)</f>
        <v>0</v>
      </c>
      <c r="CE983" s="6" t="str">
        <f>IF(Table3[[#This Row],[ShoulderLength]]="","",IF(Table3[[#This Row],[ShoulderLength]]&lt;Table3[[#This Row],[LOC]],"FIX",""))</f>
        <v/>
      </c>
    </row>
    <row r="984" spans="1:83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v>0</v>
      </c>
      <c r="BN984" s="6">
        <v>0</v>
      </c>
      <c r="BO984" s="6">
        <v>0</v>
      </c>
      <c r="BP984" s="6">
        <v>0</v>
      </c>
      <c r="BQ984" s="6">
        <v>0</v>
      </c>
      <c r="BR984" s="6">
        <v>0</v>
      </c>
      <c r="BS984" s="6">
        <v>0</v>
      </c>
      <c r="BT984" s="6">
        <v>0</v>
      </c>
      <c r="BU984" s="6">
        <v>0</v>
      </c>
      <c r="BV984" s="6">
        <v>0</v>
      </c>
      <c r="BW984" s="6">
        <v>0</v>
      </c>
      <c r="BX984" s="6">
        <v>0</v>
      </c>
      <c r="BY984" s="6">
        <v>0</v>
      </c>
      <c r="BZ984" s="6">
        <v>0</v>
      </c>
      <c r="CA984" s="6">
        <v>0</v>
      </c>
      <c r="CB984" s="6">
        <v>0</v>
      </c>
      <c r="CC984" s="6">
        <f>IF(Table3[[#This Row],[Type]]="EM",IF((Table3[[#This Row],[Diameter]]/2)-Table3[[#This Row],[CornerRadius]]-0.012&gt;0,(Table3[[#This Row],[Diameter]]/2)-Table3[[#This Row],[CornerRadius]]-0.012,0),)</f>
        <v>0</v>
      </c>
      <c r="CE984" s="6" t="str">
        <f>IF(Table3[[#This Row],[ShoulderLength]]="","",IF(Table3[[#This Row],[ShoulderLength]]&lt;Table3[[#This Row],[LOC]],"FIX",""))</f>
        <v/>
      </c>
    </row>
    <row r="985" spans="1:83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v>0</v>
      </c>
      <c r="BN985" s="6">
        <v>0</v>
      </c>
      <c r="BO985" s="6">
        <v>0</v>
      </c>
      <c r="BP985" s="6">
        <v>0</v>
      </c>
      <c r="BQ985" s="6">
        <v>0</v>
      </c>
      <c r="BR985" s="6">
        <v>0</v>
      </c>
      <c r="BS985" s="6">
        <v>0</v>
      </c>
      <c r="BT985" s="6">
        <v>0</v>
      </c>
      <c r="BU985" s="6">
        <v>0</v>
      </c>
      <c r="BV985" s="6">
        <v>0</v>
      </c>
      <c r="BW985" s="6">
        <v>0</v>
      </c>
      <c r="BX985" s="6">
        <v>0</v>
      </c>
      <c r="BY985" s="6">
        <v>0</v>
      </c>
      <c r="BZ985" s="6">
        <v>0</v>
      </c>
      <c r="CA985" s="6">
        <v>0</v>
      </c>
      <c r="CB985" s="6">
        <v>0</v>
      </c>
      <c r="CC985" s="6">
        <f>IF(Table3[[#This Row],[Type]]="EM",IF((Table3[[#This Row],[Diameter]]/2)-Table3[[#This Row],[CornerRadius]]-0.012&gt;0,(Table3[[#This Row],[Diameter]]/2)-Table3[[#This Row],[CornerRadius]]-0.012,0),)</f>
        <v>0</v>
      </c>
      <c r="CE985" s="6" t="str">
        <f>IF(Table3[[#This Row],[ShoulderLength]]="","",IF(Table3[[#This Row],[ShoulderLength]]&lt;Table3[[#This Row],[LOC]],"FIX",""))</f>
        <v/>
      </c>
    </row>
    <row r="986" spans="1:83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v>0</v>
      </c>
      <c r="BN986" s="6">
        <v>0</v>
      </c>
      <c r="BO986" s="6">
        <v>0</v>
      </c>
      <c r="BP986" s="6">
        <v>0</v>
      </c>
      <c r="BQ986" s="6">
        <v>0</v>
      </c>
      <c r="BR986" s="6">
        <v>0</v>
      </c>
      <c r="BS986" s="6">
        <v>0</v>
      </c>
      <c r="BT986" s="6">
        <v>0</v>
      </c>
      <c r="BU986" s="6">
        <v>0</v>
      </c>
      <c r="BV986" s="6">
        <v>0</v>
      </c>
      <c r="BW986" s="6">
        <v>0</v>
      </c>
      <c r="BX986" s="6">
        <v>0</v>
      </c>
      <c r="BY986" s="6">
        <v>0</v>
      </c>
      <c r="BZ986" s="6">
        <v>0</v>
      </c>
      <c r="CA986" s="6">
        <v>0</v>
      </c>
      <c r="CB986" s="6">
        <v>0</v>
      </c>
      <c r="CC986" s="6">
        <f>IF(Table3[[#This Row],[Type]]="EM",IF((Table3[[#This Row],[Diameter]]/2)-Table3[[#This Row],[CornerRadius]]-0.012&gt;0,(Table3[[#This Row],[Diameter]]/2)-Table3[[#This Row],[CornerRadius]]-0.012,0),)</f>
        <v>0</v>
      </c>
      <c r="CE986" s="6" t="str">
        <f>IF(Table3[[#This Row],[ShoulderLength]]="","",IF(Table3[[#This Row],[ShoulderLength]]&lt;Table3[[#This Row],[LOC]],"FIX",""))</f>
        <v/>
      </c>
    </row>
    <row r="987" spans="1:83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v>0</v>
      </c>
      <c r="BN987" s="6">
        <v>0</v>
      </c>
      <c r="BO987" s="6">
        <v>0</v>
      </c>
      <c r="BP987" s="6">
        <v>0</v>
      </c>
      <c r="BQ987" s="6">
        <v>0</v>
      </c>
      <c r="BR987" s="6">
        <v>0</v>
      </c>
      <c r="BS987" s="6">
        <v>0</v>
      </c>
      <c r="BT987" s="6">
        <v>0</v>
      </c>
      <c r="BU987" s="6">
        <v>0</v>
      </c>
      <c r="BV987" s="6">
        <v>0</v>
      </c>
      <c r="BW987" s="6">
        <v>0</v>
      </c>
      <c r="BX987" s="6">
        <v>0</v>
      </c>
      <c r="BY987" s="6">
        <v>0</v>
      </c>
      <c r="BZ987" s="6">
        <v>0</v>
      </c>
      <c r="CA987" s="6">
        <v>0</v>
      </c>
      <c r="CB987" s="6">
        <v>0</v>
      </c>
      <c r="CC987" s="6">
        <f>IF(Table3[[#This Row],[Type]]="EM",IF((Table3[[#This Row],[Diameter]]/2)-Table3[[#This Row],[CornerRadius]]-0.012&gt;0,(Table3[[#This Row],[Diameter]]/2)-Table3[[#This Row],[CornerRadius]]-0.012,0),)</f>
        <v>0</v>
      </c>
      <c r="CE987" s="6" t="str">
        <f>IF(Table3[[#This Row],[ShoulderLength]]="","",IF(Table3[[#This Row],[ShoulderLength]]&lt;Table3[[#This Row],[LOC]],"FIX",""))</f>
        <v/>
      </c>
    </row>
    <row r="988" spans="1:83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v>0</v>
      </c>
      <c r="BN988" s="6">
        <v>0</v>
      </c>
      <c r="BO988" s="6">
        <v>0</v>
      </c>
      <c r="BP988" s="6">
        <v>0</v>
      </c>
      <c r="BQ988" s="6">
        <v>0</v>
      </c>
      <c r="BR988" s="6">
        <v>0</v>
      </c>
      <c r="BS988" s="6">
        <v>0</v>
      </c>
      <c r="BT988" s="6">
        <v>0</v>
      </c>
      <c r="BU988" s="6">
        <v>0</v>
      </c>
      <c r="BV988" s="6">
        <v>0</v>
      </c>
      <c r="BW988" s="6">
        <v>0</v>
      </c>
      <c r="BX988" s="6">
        <v>0</v>
      </c>
      <c r="BY988" s="6">
        <v>0</v>
      </c>
      <c r="BZ988" s="6">
        <v>0</v>
      </c>
      <c r="CA988" s="6">
        <v>0</v>
      </c>
      <c r="CB988" s="6">
        <v>0</v>
      </c>
      <c r="CC988" s="6">
        <f>IF(Table3[[#This Row],[Type]]="EM",IF((Table3[[#This Row],[Diameter]]/2)-Table3[[#This Row],[CornerRadius]]-0.012&gt;0,(Table3[[#This Row],[Diameter]]/2)-Table3[[#This Row],[CornerRadius]]-0.012,0),)</f>
        <v>0</v>
      </c>
      <c r="CE988" s="6" t="str">
        <f>IF(Table3[[#This Row],[ShoulderLength]]="","",IF(Table3[[#This Row],[ShoulderLength]]&lt;Table3[[#This Row],[LOC]],"FIX",""))</f>
        <v/>
      </c>
    </row>
    <row r="989" spans="1:83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v>0</v>
      </c>
      <c r="BN989" s="6">
        <v>0</v>
      </c>
      <c r="BO989" s="6">
        <v>0</v>
      </c>
      <c r="BP989" s="6">
        <v>0</v>
      </c>
      <c r="BQ989" s="6">
        <v>0</v>
      </c>
      <c r="BR989" s="6">
        <v>0</v>
      </c>
      <c r="BS989" s="6">
        <v>0</v>
      </c>
      <c r="BT989" s="6">
        <v>0</v>
      </c>
      <c r="BU989" s="6">
        <v>0</v>
      </c>
      <c r="BV989" s="6">
        <v>0</v>
      </c>
      <c r="BW989" s="6">
        <v>0</v>
      </c>
      <c r="BX989" s="6">
        <v>0</v>
      </c>
      <c r="BY989" s="6">
        <v>0</v>
      </c>
      <c r="BZ989" s="6">
        <v>0</v>
      </c>
      <c r="CA989" s="6">
        <v>0</v>
      </c>
      <c r="CB989" s="6">
        <v>0</v>
      </c>
      <c r="CC989" s="6">
        <f>IF(Table3[[#This Row],[Type]]="EM",IF((Table3[[#This Row],[Diameter]]/2)-Table3[[#This Row],[CornerRadius]]-0.012&gt;0,(Table3[[#This Row],[Diameter]]/2)-Table3[[#This Row],[CornerRadius]]-0.012,0),)</f>
        <v>0</v>
      </c>
      <c r="CE989" s="6" t="str">
        <f>IF(Table3[[#This Row],[ShoulderLength]]="","",IF(Table3[[#This Row],[ShoulderLength]]&lt;Table3[[#This Row],[LOC]],"FIX",""))</f>
        <v/>
      </c>
    </row>
    <row r="990" spans="1:83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v>0</v>
      </c>
      <c r="BN990" s="6">
        <v>0</v>
      </c>
      <c r="BO990" s="6">
        <v>0</v>
      </c>
      <c r="BP990" s="6">
        <v>0</v>
      </c>
      <c r="BQ990" s="6">
        <v>0</v>
      </c>
      <c r="BR990" s="6">
        <v>0</v>
      </c>
      <c r="BS990" s="6">
        <v>0</v>
      </c>
      <c r="BT990" s="6">
        <v>0</v>
      </c>
      <c r="BU990" s="6">
        <v>0</v>
      </c>
      <c r="BV990" s="6">
        <v>0</v>
      </c>
      <c r="BW990" s="6">
        <v>0</v>
      </c>
      <c r="BX990" s="6">
        <v>0</v>
      </c>
      <c r="BY990" s="6">
        <v>0</v>
      </c>
      <c r="BZ990" s="6">
        <v>0</v>
      </c>
      <c r="CA990" s="6">
        <v>0</v>
      </c>
      <c r="CB990" s="6">
        <v>0</v>
      </c>
      <c r="CC990" s="6">
        <f>IF(Table3[[#This Row],[Type]]="EM",IF((Table3[[#This Row],[Diameter]]/2)-Table3[[#This Row],[CornerRadius]]-0.012&gt;0,(Table3[[#This Row],[Diameter]]/2)-Table3[[#This Row],[CornerRadius]]-0.012,0),)</f>
        <v>0</v>
      </c>
      <c r="CE990" s="6" t="str">
        <f>IF(Table3[[#This Row],[ShoulderLength]]="","",IF(Table3[[#This Row],[ShoulderLength]]&lt;Table3[[#This Row],[LOC]],"FIX",""))</f>
        <v/>
      </c>
    </row>
    <row r="991" spans="1:83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v>0</v>
      </c>
      <c r="BN991" s="6">
        <v>0</v>
      </c>
      <c r="BO991" s="6">
        <v>0</v>
      </c>
      <c r="BP991" s="6">
        <v>0</v>
      </c>
      <c r="BQ991" s="6">
        <v>0</v>
      </c>
      <c r="BR991" s="6">
        <v>0</v>
      </c>
      <c r="BS991" s="6">
        <v>0</v>
      </c>
      <c r="BT991" s="6">
        <v>0</v>
      </c>
      <c r="BU991" s="6">
        <v>0</v>
      </c>
      <c r="BV991" s="6">
        <v>0</v>
      </c>
      <c r="BW991" s="6">
        <v>0</v>
      </c>
      <c r="BX991" s="6">
        <v>0</v>
      </c>
      <c r="BY991" s="6">
        <v>0</v>
      </c>
      <c r="BZ991" s="6">
        <v>0</v>
      </c>
      <c r="CA991" s="6">
        <v>0</v>
      </c>
      <c r="CB991" s="6">
        <v>0</v>
      </c>
      <c r="CC991" s="6">
        <f>IF(Table3[[#This Row],[Type]]="EM",IF((Table3[[#This Row],[Diameter]]/2)-Table3[[#This Row],[CornerRadius]]-0.012&gt;0,(Table3[[#This Row],[Diameter]]/2)-Table3[[#This Row],[CornerRadius]]-0.012,0),)</f>
        <v>0</v>
      </c>
      <c r="CE991" s="6" t="str">
        <f>IF(Table3[[#This Row],[ShoulderLength]]="","",IF(Table3[[#This Row],[ShoulderLength]]&lt;Table3[[#This Row],[LOC]],"FIX",""))</f>
        <v/>
      </c>
    </row>
    <row r="992" spans="1:83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v>0</v>
      </c>
      <c r="BN992" s="6">
        <v>0</v>
      </c>
      <c r="BO992" s="6">
        <v>0</v>
      </c>
      <c r="BP992" s="6">
        <v>0</v>
      </c>
      <c r="BQ992" s="6">
        <v>0</v>
      </c>
      <c r="BR992" s="6">
        <v>0</v>
      </c>
      <c r="BS992" s="6">
        <v>0</v>
      </c>
      <c r="BT992" s="6">
        <v>0</v>
      </c>
      <c r="BU992" s="6">
        <v>0</v>
      </c>
      <c r="BV992" s="6">
        <v>0</v>
      </c>
      <c r="BW992" s="6">
        <v>0</v>
      </c>
      <c r="BX992" s="6">
        <v>0</v>
      </c>
      <c r="BY992" s="6">
        <v>0</v>
      </c>
      <c r="BZ992" s="6">
        <v>0</v>
      </c>
      <c r="CA992" s="6">
        <v>0</v>
      </c>
      <c r="CB992" s="6">
        <v>0</v>
      </c>
      <c r="CC992" s="6">
        <f>IF(Table3[[#This Row],[Type]]="EM",IF((Table3[[#This Row],[Diameter]]/2)-Table3[[#This Row],[CornerRadius]]-0.012&gt;0,(Table3[[#This Row],[Diameter]]/2)-Table3[[#This Row],[CornerRadius]]-0.012,0),)</f>
        <v>0</v>
      </c>
      <c r="CE992" s="6" t="str">
        <f>IF(Table3[[#This Row],[ShoulderLength]]="","",IF(Table3[[#This Row],[ShoulderLength]]&lt;Table3[[#This Row],[LOC]],"FIX",""))</f>
        <v/>
      </c>
    </row>
    <row r="993" spans="1:83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v>0</v>
      </c>
      <c r="BN993" s="6">
        <v>0</v>
      </c>
      <c r="BO993" s="6">
        <v>0</v>
      </c>
      <c r="BP993" s="6">
        <v>0</v>
      </c>
      <c r="BQ993" s="6">
        <v>0</v>
      </c>
      <c r="BR993" s="6">
        <v>0</v>
      </c>
      <c r="BS993" s="6">
        <v>0</v>
      </c>
      <c r="BT993" s="6">
        <v>0</v>
      </c>
      <c r="BU993" s="6">
        <v>0</v>
      </c>
      <c r="BV993" s="6">
        <v>0</v>
      </c>
      <c r="BW993" s="6">
        <v>0</v>
      </c>
      <c r="BX993" s="6">
        <v>0</v>
      </c>
      <c r="BY993" s="6">
        <v>0</v>
      </c>
      <c r="BZ993" s="6">
        <v>0</v>
      </c>
      <c r="CA993" s="6">
        <v>0</v>
      </c>
      <c r="CB993" s="6">
        <v>0</v>
      </c>
      <c r="CC993" s="6">
        <f>IF(Table3[[#This Row],[Type]]="EM",IF((Table3[[#This Row],[Diameter]]/2)-Table3[[#This Row],[CornerRadius]]-0.012&gt;0,(Table3[[#This Row],[Diameter]]/2)-Table3[[#This Row],[CornerRadius]]-0.012,0),)</f>
        <v>0</v>
      </c>
      <c r="CE993" s="6" t="str">
        <f>IF(Table3[[#This Row],[ShoulderLength]]="","",IF(Table3[[#This Row],[ShoulderLength]]&lt;Table3[[#This Row],[LOC]],"FIX",""))</f>
        <v/>
      </c>
    </row>
    <row r="994" spans="1:83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v>0</v>
      </c>
      <c r="BN994" s="6">
        <v>0</v>
      </c>
      <c r="BO994" s="6">
        <v>0</v>
      </c>
      <c r="BP994" s="6">
        <v>0</v>
      </c>
      <c r="BQ994" s="6">
        <v>0</v>
      </c>
      <c r="BR994" s="6">
        <v>0</v>
      </c>
      <c r="BS994" s="6">
        <v>0</v>
      </c>
      <c r="BT994" s="6">
        <v>0</v>
      </c>
      <c r="BU994" s="6">
        <v>0</v>
      </c>
      <c r="BV994" s="6">
        <v>0</v>
      </c>
      <c r="BW994" s="6">
        <v>0</v>
      </c>
      <c r="BX994" s="6">
        <v>0</v>
      </c>
      <c r="BY994" s="6">
        <v>0</v>
      </c>
      <c r="BZ994" s="6">
        <v>0</v>
      </c>
      <c r="CA994" s="6">
        <v>0</v>
      </c>
      <c r="CB994" s="6">
        <v>0</v>
      </c>
      <c r="CC994" s="6">
        <f>IF(Table3[[#This Row],[Type]]="EM",IF((Table3[[#This Row],[Diameter]]/2)-Table3[[#This Row],[CornerRadius]]-0.012&gt;0,(Table3[[#This Row],[Diameter]]/2)-Table3[[#This Row],[CornerRadius]]-0.012,0),)</f>
        <v>0</v>
      </c>
      <c r="CE994" s="6" t="str">
        <f>IF(Table3[[#This Row],[ShoulderLength]]="","",IF(Table3[[#This Row],[ShoulderLength]]&lt;Table3[[#This Row],[LOC]],"FIX",""))</f>
        <v/>
      </c>
    </row>
    <row r="995" spans="1:83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v>0</v>
      </c>
      <c r="BN995" s="6">
        <v>0</v>
      </c>
      <c r="BO995" s="6">
        <v>0</v>
      </c>
      <c r="BP995" s="6">
        <v>0</v>
      </c>
      <c r="BQ995" s="6">
        <v>0</v>
      </c>
      <c r="BR995" s="6">
        <v>0</v>
      </c>
      <c r="BS995" s="6">
        <v>0</v>
      </c>
      <c r="BT995" s="6">
        <v>0</v>
      </c>
      <c r="BU995" s="6">
        <v>0</v>
      </c>
      <c r="BV995" s="6">
        <v>0</v>
      </c>
      <c r="BW995" s="6">
        <v>0</v>
      </c>
      <c r="BX995" s="6">
        <v>0</v>
      </c>
      <c r="BY995" s="6">
        <v>0</v>
      </c>
      <c r="BZ995" s="6">
        <v>0</v>
      </c>
      <c r="CA995" s="6">
        <v>0</v>
      </c>
      <c r="CB995" s="6">
        <v>0</v>
      </c>
      <c r="CC995" s="6">
        <f>IF(Table3[[#This Row],[Type]]="EM",IF((Table3[[#This Row],[Diameter]]/2)-Table3[[#This Row],[CornerRadius]]-0.012&gt;0,(Table3[[#This Row],[Diameter]]/2)-Table3[[#This Row],[CornerRadius]]-0.012,0),)</f>
        <v>0</v>
      </c>
      <c r="CE995" s="6" t="str">
        <f>IF(Table3[[#This Row],[ShoulderLength]]="","",IF(Table3[[#This Row],[ShoulderLength]]&lt;Table3[[#This Row],[LOC]],"FIX",""))</f>
        <v/>
      </c>
    </row>
    <row r="996" spans="1:83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v>0</v>
      </c>
      <c r="BN996" s="6">
        <v>0</v>
      </c>
      <c r="BO996" s="6">
        <v>0</v>
      </c>
      <c r="BP996" s="6">
        <v>0</v>
      </c>
      <c r="BQ996" s="6">
        <v>0</v>
      </c>
      <c r="BR996" s="6">
        <v>0</v>
      </c>
      <c r="BS996" s="6">
        <v>0</v>
      </c>
      <c r="BT996" s="6">
        <v>0</v>
      </c>
      <c r="BU996" s="6">
        <v>0</v>
      </c>
      <c r="BV996" s="6">
        <v>0</v>
      </c>
      <c r="BW996" s="6">
        <v>0</v>
      </c>
      <c r="BX996" s="6">
        <v>0</v>
      </c>
      <c r="BY996" s="6">
        <v>0</v>
      </c>
      <c r="BZ996" s="6">
        <v>0</v>
      </c>
      <c r="CA996" s="6">
        <v>0</v>
      </c>
      <c r="CB996" s="6">
        <v>0</v>
      </c>
      <c r="CC996" s="6">
        <f>IF(Table3[[#This Row],[Type]]="EM",IF((Table3[[#This Row],[Diameter]]/2)-Table3[[#This Row],[CornerRadius]]-0.012&gt;0,(Table3[[#This Row],[Diameter]]/2)-Table3[[#This Row],[CornerRadius]]-0.012,0),)</f>
        <v>0</v>
      </c>
      <c r="CE996" s="6" t="str">
        <f>IF(Table3[[#This Row],[ShoulderLength]]="","",IF(Table3[[#This Row],[ShoulderLength]]&lt;Table3[[#This Row],[LOC]],"FIX",""))</f>
        <v/>
      </c>
    </row>
    <row r="997" spans="1:83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v>0</v>
      </c>
      <c r="BN997" s="6">
        <v>0</v>
      </c>
      <c r="BO997" s="6">
        <v>0</v>
      </c>
      <c r="BP997" s="6">
        <v>0</v>
      </c>
      <c r="BQ997" s="6">
        <v>0</v>
      </c>
      <c r="BR997" s="6">
        <v>0</v>
      </c>
      <c r="BS997" s="6">
        <v>0</v>
      </c>
      <c r="BT997" s="6">
        <v>0</v>
      </c>
      <c r="BU997" s="6">
        <v>0</v>
      </c>
      <c r="BV997" s="6">
        <v>0</v>
      </c>
      <c r="BW997" s="6">
        <v>0</v>
      </c>
      <c r="BX997" s="6">
        <v>0</v>
      </c>
      <c r="BY997" s="6">
        <v>0</v>
      </c>
      <c r="BZ997" s="6">
        <v>0</v>
      </c>
      <c r="CA997" s="6">
        <v>0</v>
      </c>
      <c r="CB997" s="6">
        <v>0</v>
      </c>
      <c r="CC997" s="6">
        <f>IF(Table3[[#This Row],[Type]]="EM",IF((Table3[[#This Row],[Diameter]]/2)-Table3[[#This Row],[CornerRadius]]-0.012&gt;0,(Table3[[#This Row],[Diameter]]/2)-Table3[[#This Row],[CornerRadius]]-0.012,0),)</f>
        <v>0</v>
      </c>
      <c r="CE997" s="6" t="str">
        <f>IF(Table3[[#This Row],[ShoulderLength]]="","",IF(Table3[[#This Row],[ShoulderLength]]&lt;Table3[[#This Row],[LOC]],"FIX",""))</f>
        <v/>
      </c>
    </row>
    <row r="998" spans="1:83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v>0</v>
      </c>
      <c r="BN998" s="6">
        <v>0</v>
      </c>
      <c r="BO998" s="6">
        <v>0</v>
      </c>
      <c r="BP998" s="6">
        <v>0</v>
      </c>
      <c r="BQ998" s="6">
        <v>0</v>
      </c>
      <c r="BR998" s="6">
        <v>0</v>
      </c>
      <c r="BS998" s="6">
        <v>0</v>
      </c>
      <c r="BT998" s="6">
        <v>0</v>
      </c>
      <c r="BU998" s="6">
        <v>0</v>
      </c>
      <c r="BV998" s="6">
        <v>0</v>
      </c>
      <c r="BW998" s="6">
        <v>0</v>
      </c>
      <c r="BX998" s="6">
        <v>0</v>
      </c>
      <c r="BY998" s="6">
        <v>0</v>
      </c>
      <c r="BZ998" s="6">
        <v>0</v>
      </c>
      <c r="CA998" s="6">
        <v>0</v>
      </c>
      <c r="CB998" s="6">
        <v>0</v>
      </c>
      <c r="CC998" s="6">
        <f>IF(Table3[[#This Row],[Type]]="EM",IF((Table3[[#This Row],[Diameter]]/2)-Table3[[#This Row],[CornerRadius]]-0.012&gt;0,(Table3[[#This Row],[Diameter]]/2)-Table3[[#This Row],[CornerRadius]]-0.012,0),)</f>
        <v>0</v>
      </c>
      <c r="CE998" s="6" t="str">
        <f>IF(Table3[[#This Row],[ShoulderLength]]="","",IF(Table3[[#This Row],[ShoulderLength]]&lt;Table3[[#This Row],[LOC]],"FIX",""))</f>
        <v/>
      </c>
    </row>
    <row r="999" spans="1:83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v>0</v>
      </c>
      <c r="BN999" s="6">
        <v>0</v>
      </c>
      <c r="BO999" s="6">
        <v>0</v>
      </c>
      <c r="BP999" s="6">
        <v>0</v>
      </c>
      <c r="BQ999" s="6">
        <v>0</v>
      </c>
      <c r="BR999" s="6">
        <v>0</v>
      </c>
      <c r="BS999" s="6">
        <v>0</v>
      </c>
      <c r="BT999" s="6">
        <v>0</v>
      </c>
      <c r="BU999" s="6">
        <v>0</v>
      </c>
      <c r="BV999" s="6">
        <v>0</v>
      </c>
      <c r="BW999" s="6">
        <v>0</v>
      </c>
      <c r="BX999" s="6">
        <v>0</v>
      </c>
      <c r="BY999" s="6">
        <v>0</v>
      </c>
      <c r="BZ999" s="6">
        <v>0</v>
      </c>
      <c r="CA999" s="6">
        <v>0</v>
      </c>
      <c r="CB999" s="6">
        <v>0</v>
      </c>
      <c r="CC999" s="6">
        <f>IF(Table3[[#This Row],[Type]]="EM",IF((Table3[[#This Row],[Diameter]]/2)-Table3[[#This Row],[CornerRadius]]-0.012&gt;0,(Table3[[#This Row],[Diameter]]/2)-Table3[[#This Row],[CornerRadius]]-0.012,0),)</f>
        <v>0</v>
      </c>
      <c r="CE999" s="6" t="str">
        <f>IF(Table3[[#This Row],[ShoulderLength]]="","",IF(Table3[[#This Row],[ShoulderLength]]&lt;Table3[[#This Row],[LOC]],"FIX",""))</f>
        <v/>
      </c>
    </row>
    <row r="1000" spans="1:83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v>0</v>
      </c>
      <c r="BN1000" s="6">
        <v>0</v>
      </c>
      <c r="BO1000" s="6">
        <v>0</v>
      </c>
      <c r="BP1000" s="6">
        <v>0</v>
      </c>
      <c r="BQ1000" s="6">
        <v>0</v>
      </c>
      <c r="BR1000" s="6">
        <v>0</v>
      </c>
      <c r="BS1000" s="6">
        <v>0</v>
      </c>
      <c r="BT1000" s="6">
        <v>0</v>
      </c>
      <c r="BU1000" s="6">
        <v>0</v>
      </c>
      <c r="BV1000" s="6">
        <v>0</v>
      </c>
      <c r="BW1000" s="6">
        <v>0</v>
      </c>
      <c r="BX1000" s="6">
        <v>0</v>
      </c>
      <c r="BY1000" s="6">
        <v>0</v>
      </c>
      <c r="BZ1000" s="6">
        <v>0</v>
      </c>
      <c r="CA1000" s="6">
        <v>0</v>
      </c>
      <c r="CB1000" s="6">
        <v>0</v>
      </c>
      <c r="CC1000" s="6">
        <f>IF(Table3[[#This Row],[Type]]="EM",IF((Table3[[#This Row],[Diameter]]/2)-Table3[[#This Row],[CornerRadius]]-0.012&gt;0,(Table3[[#This Row],[Diameter]]/2)-Table3[[#This Row],[CornerRadius]]-0.012,0),)</f>
        <v>0</v>
      </c>
      <c r="CE1000" s="6" t="str">
        <f>IF(Table3[[#This Row],[ShoulderLength]]="","",IF(Table3[[#This Row],[ShoulderLength]]&lt;Table3[[#This Row],[LOC]],"FIX",""))</f>
        <v/>
      </c>
    </row>
    <row r="1001" spans="1:83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v>0</v>
      </c>
      <c r="BN1001" s="6">
        <v>0</v>
      </c>
      <c r="BO1001" s="6">
        <v>0</v>
      </c>
      <c r="BP1001" s="6">
        <v>0</v>
      </c>
      <c r="BQ1001" s="6">
        <v>0</v>
      </c>
      <c r="BR1001" s="6">
        <v>0</v>
      </c>
      <c r="BS1001" s="6">
        <v>0</v>
      </c>
      <c r="BT1001" s="6">
        <v>0</v>
      </c>
      <c r="BU1001" s="6">
        <v>0</v>
      </c>
      <c r="BV1001" s="6">
        <v>0</v>
      </c>
      <c r="BW1001" s="6">
        <v>0</v>
      </c>
      <c r="BX1001" s="6">
        <v>0</v>
      </c>
      <c r="BY1001" s="6">
        <v>0</v>
      </c>
      <c r="BZ1001" s="6">
        <v>0</v>
      </c>
      <c r="CA1001" s="6">
        <v>0</v>
      </c>
      <c r="CB1001" s="6">
        <v>0</v>
      </c>
      <c r="CC1001" s="6">
        <f>IF(Table3[[#This Row],[Type]]="EM",IF((Table3[[#This Row],[Diameter]]/2)-Table3[[#This Row],[CornerRadius]]-0.012&gt;0,(Table3[[#This Row],[Diameter]]/2)-Table3[[#This Row],[CornerRadius]]-0.012,0),)</f>
        <v>0</v>
      </c>
      <c r="CE1001" s="6" t="str">
        <f>IF(Table3[[#This Row],[ShoulderLength]]="","",IF(Table3[[#This Row],[ShoulderLength]]&lt;Table3[[#This Row],[LOC]],"FIX",""))</f>
        <v/>
      </c>
    </row>
    <row r="1002" spans="1:83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v>0</v>
      </c>
      <c r="BN1002" s="6">
        <v>0</v>
      </c>
      <c r="BO1002" s="6">
        <v>0</v>
      </c>
      <c r="BP1002" s="6">
        <v>0</v>
      </c>
      <c r="BQ1002" s="6">
        <v>0</v>
      </c>
      <c r="BR1002" s="6">
        <v>0</v>
      </c>
      <c r="BS1002" s="6">
        <v>0</v>
      </c>
      <c r="BT1002" s="6">
        <v>0</v>
      </c>
      <c r="BU1002" s="6">
        <v>0</v>
      </c>
      <c r="BV1002" s="6">
        <v>0</v>
      </c>
      <c r="BW1002" s="6">
        <v>0</v>
      </c>
      <c r="BX1002" s="6">
        <v>0</v>
      </c>
      <c r="BY1002" s="6">
        <v>0</v>
      </c>
      <c r="BZ1002" s="6">
        <v>0</v>
      </c>
      <c r="CA1002" s="6">
        <v>0</v>
      </c>
      <c r="CB1002" s="6">
        <v>0</v>
      </c>
      <c r="CC1002" s="6">
        <f>IF(Table3[[#This Row],[Type]]="EM",IF((Table3[[#This Row],[Diameter]]/2)-Table3[[#This Row],[CornerRadius]]-0.012&gt;0,(Table3[[#This Row],[Diameter]]/2)-Table3[[#This Row],[CornerRadius]]-0.012,0),)</f>
        <v>0</v>
      </c>
      <c r="CE1002" s="6" t="str">
        <f>IF(Table3[[#This Row],[ShoulderLength]]="","",IF(Table3[[#This Row],[ShoulderLength]]&lt;Table3[[#This Row],[LOC]],"FIX",""))</f>
        <v/>
      </c>
    </row>
    <row r="1003" spans="1:83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v>0</v>
      </c>
      <c r="BN1003" s="6">
        <v>0</v>
      </c>
      <c r="BO1003" s="6">
        <v>0</v>
      </c>
      <c r="BP1003" s="6">
        <v>0</v>
      </c>
      <c r="BQ1003" s="6">
        <v>0</v>
      </c>
      <c r="BR1003" s="6">
        <v>0</v>
      </c>
      <c r="BS1003" s="6">
        <v>0</v>
      </c>
      <c r="BT1003" s="6">
        <v>0</v>
      </c>
      <c r="BU1003" s="6">
        <v>0</v>
      </c>
      <c r="BV1003" s="6">
        <v>0</v>
      </c>
      <c r="BW1003" s="6">
        <v>0</v>
      </c>
      <c r="BX1003" s="6">
        <v>0</v>
      </c>
      <c r="BY1003" s="6">
        <v>0</v>
      </c>
      <c r="BZ1003" s="6">
        <v>0</v>
      </c>
      <c r="CA1003" s="6">
        <v>0</v>
      </c>
      <c r="CB1003" s="6">
        <v>0</v>
      </c>
      <c r="CC1003" s="6">
        <f>IF(Table3[[#This Row],[Type]]="EM",IF((Table3[[#This Row],[Diameter]]/2)-Table3[[#This Row],[CornerRadius]]-0.012&gt;0,(Table3[[#This Row],[Diameter]]/2)-Table3[[#This Row],[CornerRadius]]-0.012,0),)</f>
        <v>0</v>
      </c>
      <c r="CE1003" s="6" t="str">
        <f>IF(Table3[[#This Row],[ShoulderLength]]="","",IF(Table3[[#This Row],[ShoulderLength]]&lt;Table3[[#This Row],[LOC]],"FIX",""))</f>
        <v/>
      </c>
    </row>
    <row r="1004" spans="1:83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v>0</v>
      </c>
      <c r="BN1004" s="6">
        <v>0</v>
      </c>
      <c r="BO1004" s="6">
        <v>0</v>
      </c>
      <c r="BP1004" s="6">
        <v>0</v>
      </c>
      <c r="BQ1004" s="6">
        <v>0</v>
      </c>
      <c r="BR1004" s="6">
        <v>0</v>
      </c>
      <c r="BS1004" s="6">
        <v>0</v>
      </c>
      <c r="BT1004" s="6">
        <v>0</v>
      </c>
      <c r="BU1004" s="6">
        <v>0</v>
      </c>
      <c r="BV1004" s="6">
        <v>0</v>
      </c>
      <c r="BW1004" s="6">
        <v>0</v>
      </c>
      <c r="BX1004" s="6">
        <v>0</v>
      </c>
      <c r="BY1004" s="6">
        <v>0</v>
      </c>
      <c r="BZ1004" s="6">
        <v>0</v>
      </c>
      <c r="CA1004" s="6">
        <v>0</v>
      </c>
      <c r="CB1004" s="6">
        <v>0</v>
      </c>
      <c r="CC1004" s="6">
        <f>IF(Table3[[#This Row],[Type]]="EM",IF((Table3[[#This Row],[Diameter]]/2)-Table3[[#This Row],[CornerRadius]]-0.012&gt;0,(Table3[[#This Row],[Diameter]]/2)-Table3[[#This Row],[CornerRadius]]-0.012,0),)</f>
        <v>0</v>
      </c>
      <c r="CE1004" s="6" t="str">
        <f>IF(Table3[[#This Row],[ShoulderLength]]="","",IF(Table3[[#This Row],[ShoulderLength]]&lt;Table3[[#This Row],[LOC]],"FIX",""))</f>
        <v/>
      </c>
    </row>
    <row r="1005" spans="1:83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v>0</v>
      </c>
      <c r="BN1005" s="6">
        <v>0</v>
      </c>
      <c r="BO1005" s="6">
        <v>0</v>
      </c>
      <c r="BP1005" s="6">
        <v>0</v>
      </c>
      <c r="BQ1005" s="6">
        <v>0</v>
      </c>
      <c r="BR1005" s="6">
        <v>0</v>
      </c>
      <c r="BS1005" s="6">
        <v>0</v>
      </c>
      <c r="BT1005" s="6">
        <v>0</v>
      </c>
      <c r="BU1005" s="6">
        <v>0</v>
      </c>
      <c r="BV1005" s="6">
        <v>0</v>
      </c>
      <c r="BW1005" s="6">
        <v>0</v>
      </c>
      <c r="BX1005" s="6">
        <v>0</v>
      </c>
      <c r="BY1005" s="6">
        <v>0</v>
      </c>
      <c r="BZ1005" s="6">
        <v>0</v>
      </c>
      <c r="CA1005" s="6">
        <v>0</v>
      </c>
      <c r="CB1005" s="6">
        <v>0</v>
      </c>
      <c r="CC1005" s="6">
        <f>IF(Table3[[#This Row],[Type]]="EM",IF((Table3[[#This Row],[Diameter]]/2)-Table3[[#This Row],[CornerRadius]]-0.012&gt;0,(Table3[[#This Row],[Diameter]]/2)-Table3[[#This Row],[CornerRadius]]-0.012,0),)</f>
        <v>0</v>
      </c>
      <c r="CE1005" s="6" t="str">
        <f>IF(Table3[[#This Row],[ShoulderLength]]="","",IF(Table3[[#This Row],[ShoulderLength]]&lt;Table3[[#This Row],[LOC]],"FIX",""))</f>
        <v/>
      </c>
    </row>
    <row r="1006" spans="1:83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v>0</v>
      </c>
      <c r="BN1006" s="6">
        <v>0</v>
      </c>
      <c r="BO1006" s="6">
        <v>0</v>
      </c>
      <c r="BP1006" s="6">
        <v>0</v>
      </c>
      <c r="BQ1006" s="6">
        <v>0</v>
      </c>
      <c r="BR1006" s="6">
        <v>0</v>
      </c>
      <c r="BS1006" s="6">
        <v>0</v>
      </c>
      <c r="BT1006" s="6">
        <v>0</v>
      </c>
      <c r="BU1006" s="6">
        <v>0</v>
      </c>
      <c r="BV1006" s="6">
        <v>0</v>
      </c>
      <c r="BW1006" s="6">
        <v>0</v>
      </c>
      <c r="BX1006" s="6">
        <v>0</v>
      </c>
      <c r="BY1006" s="6">
        <v>0</v>
      </c>
      <c r="BZ1006" s="6">
        <v>0</v>
      </c>
      <c r="CA1006" s="6">
        <v>0</v>
      </c>
      <c r="CB1006" s="6">
        <v>0</v>
      </c>
      <c r="CC1006" s="6">
        <f>IF(Table3[[#This Row],[Type]]="EM",IF((Table3[[#This Row],[Diameter]]/2)-Table3[[#This Row],[CornerRadius]]-0.012&gt;0,(Table3[[#This Row],[Diameter]]/2)-Table3[[#This Row],[CornerRadius]]-0.012,0),)</f>
        <v>0</v>
      </c>
      <c r="CE1006" s="6" t="str">
        <f>IF(Table3[[#This Row],[ShoulderLength]]="","",IF(Table3[[#This Row],[ShoulderLength]]&lt;Table3[[#This Row],[LOC]],"FIX",""))</f>
        <v/>
      </c>
    </row>
    <row r="1007" spans="1:83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v>0</v>
      </c>
      <c r="BN1007" s="6">
        <v>0</v>
      </c>
      <c r="BO1007" s="6">
        <v>0</v>
      </c>
      <c r="BP1007" s="6">
        <v>0</v>
      </c>
      <c r="BQ1007" s="6">
        <v>0</v>
      </c>
      <c r="BR1007" s="6">
        <v>0</v>
      </c>
      <c r="BS1007" s="6">
        <v>0</v>
      </c>
      <c r="BT1007" s="6">
        <v>0</v>
      </c>
      <c r="BU1007" s="6">
        <v>0</v>
      </c>
      <c r="BV1007" s="6">
        <v>0</v>
      </c>
      <c r="BW1007" s="6">
        <v>0</v>
      </c>
      <c r="BX1007" s="6">
        <v>0</v>
      </c>
      <c r="BY1007" s="6">
        <v>0</v>
      </c>
      <c r="BZ1007" s="6">
        <v>0</v>
      </c>
      <c r="CA1007" s="6">
        <v>0</v>
      </c>
      <c r="CB1007" s="6">
        <v>0</v>
      </c>
      <c r="CC1007" s="6">
        <f>IF(Table3[[#This Row],[Type]]="EM",IF((Table3[[#This Row],[Diameter]]/2)-Table3[[#This Row],[CornerRadius]]-0.012&gt;0,(Table3[[#This Row],[Diameter]]/2)-Table3[[#This Row],[CornerRadius]]-0.012,0),)</f>
        <v>0</v>
      </c>
      <c r="CE1007" s="6" t="str">
        <f>IF(Table3[[#This Row],[ShoulderLength]]="","",IF(Table3[[#This Row],[ShoulderLength]]&lt;Table3[[#This Row],[LOC]],"FIX",""))</f>
        <v/>
      </c>
    </row>
    <row r="1008" spans="1:83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v>0</v>
      </c>
      <c r="BN1008" s="6">
        <v>0</v>
      </c>
      <c r="BO1008" s="6">
        <v>0</v>
      </c>
      <c r="BP1008" s="6">
        <v>0</v>
      </c>
      <c r="BQ1008" s="6">
        <v>0</v>
      </c>
      <c r="BR1008" s="6">
        <v>0</v>
      </c>
      <c r="BS1008" s="6">
        <v>0</v>
      </c>
      <c r="BT1008" s="6">
        <v>0</v>
      </c>
      <c r="BU1008" s="6">
        <v>0</v>
      </c>
      <c r="BV1008" s="6">
        <v>0</v>
      </c>
      <c r="BW1008" s="6">
        <v>0</v>
      </c>
      <c r="BX1008" s="6">
        <v>0</v>
      </c>
      <c r="BY1008" s="6">
        <v>0</v>
      </c>
      <c r="BZ1008" s="6">
        <v>0</v>
      </c>
      <c r="CA1008" s="6">
        <v>0</v>
      </c>
      <c r="CB1008" s="6">
        <v>0</v>
      </c>
      <c r="CC1008" s="6">
        <f>IF(Table3[[#This Row],[Type]]="EM",IF((Table3[[#This Row],[Diameter]]/2)-Table3[[#This Row],[CornerRadius]]-0.012&gt;0,(Table3[[#This Row],[Diameter]]/2)-Table3[[#This Row],[CornerRadius]]-0.012,0),)</f>
        <v>0</v>
      </c>
      <c r="CE1008" s="6" t="str">
        <f>IF(Table3[[#This Row],[ShoulderLength]]="","",IF(Table3[[#This Row],[ShoulderLength]]&lt;Table3[[#This Row],[LOC]],"FIX",""))</f>
        <v/>
      </c>
    </row>
    <row r="1009" spans="1:83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v>0</v>
      </c>
      <c r="BN1009" s="6">
        <v>0</v>
      </c>
      <c r="BO1009" s="6">
        <v>0</v>
      </c>
      <c r="BP1009" s="6">
        <v>0</v>
      </c>
      <c r="BQ1009" s="6">
        <v>0</v>
      </c>
      <c r="BR1009" s="6">
        <v>0</v>
      </c>
      <c r="BS1009" s="6">
        <v>0</v>
      </c>
      <c r="BT1009" s="6">
        <v>0</v>
      </c>
      <c r="BU1009" s="6">
        <v>0</v>
      </c>
      <c r="BV1009" s="6">
        <v>0</v>
      </c>
      <c r="BW1009" s="6">
        <v>0</v>
      </c>
      <c r="BX1009" s="6">
        <v>0</v>
      </c>
      <c r="BY1009" s="6">
        <v>0</v>
      </c>
      <c r="BZ1009" s="6">
        <v>0</v>
      </c>
      <c r="CA1009" s="6">
        <v>0</v>
      </c>
      <c r="CB1009" s="6">
        <v>0</v>
      </c>
      <c r="CC1009" s="6">
        <f>IF(Table3[[#This Row],[Type]]="EM",IF((Table3[[#This Row],[Diameter]]/2)-Table3[[#This Row],[CornerRadius]]-0.012&gt;0,(Table3[[#This Row],[Diameter]]/2)-Table3[[#This Row],[CornerRadius]]-0.012,0),)</f>
        <v>0</v>
      </c>
      <c r="CE1009" s="6" t="str">
        <f>IF(Table3[[#This Row],[ShoulderLength]]="","",IF(Table3[[#This Row],[ShoulderLength]]&lt;Table3[[#This Row],[LOC]],"FIX",""))</f>
        <v/>
      </c>
    </row>
    <row r="1010" spans="1:83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v>0</v>
      </c>
      <c r="BN1010" s="6">
        <v>0</v>
      </c>
      <c r="BO1010" s="6">
        <v>0</v>
      </c>
      <c r="BP1010" s="6">
        <v>0</v>
      </c>
      <c r="BQ1010" s="6">
        <v>0</v>
      </c>
      <c r="BR1010" s="6">
        <v>0</v>
      </c>
      <c r="BS1010" s="6">
        <v>0</v>
      </c>
      <c r="BT1010" s="6">
        <v>0</v>
      </c>
      <c r="BU1010" s="6">
        <v>0</v>
      </c>
      <c r="BV1010" s="6">
        <v>0</v>
      </c>
      <c r="BW1010" s="6">
        <v>0</v>
      </c>
      <c r="BX1010" s="6">
        <v>0</v>
      </c>
      <c r="BY1010" s="6">
        <v>0</v>
      </c>
      <c r="BZ1010" s="6">
        <v>0</v>
      </c>
      <c r="CA1010" s="6">
        <v>0</v>
      </c>
      <c r="CB1010" s="6">
        <v>0</v>
      </c>
      <c r="CC1010" s="6">
        <f>IF(Table3[[#This Row],[Type]]="EM",IF((Table3[[#This Row],[Diameter]]/2)-Table3[[#This Row],[CornerRadius]]-0.012&gt;0,(Table3[[#This Row],[Diameter]]/2)-Table3[[#This Row],[CornerRadius]]-0.012,0),)</f>
        <v>0</v>
      </c>
      <c r="CE1010" s="6" t="str">
        <f>IF(Table3[[#This Row],[ShoulderLength]]="","",IF(Table3[[#This Row],[ShoulderLength]]&lt;Table3[[#This Row],[LOC]],"FIX",""))</f>
        <v/>
      </c>
    </row>
    <row r="1011" spans="1:83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v>0</v>
      </c>
      <c r="BN1011" s="6">
        <v>0</v>
      </c>
      <c r="BO1011" s="6">
        <v>0</v>
      </c>
      <c r="BP1011" s="6">
        <v>0</v>
      </c>
      <c r="BQ1011" s="6">
        <v>0</v>
      </c>
      <c r="BR1011" s="6">
        <v>0</v>
      </c>
      <c r="BS1011" s="6">
        <v>0</v>
      </c>
      <c r="BT1011" s="6">
        <v>0</v>
      </c>
      <c r="BU1011" s="6">
        <v>0</v>
      </c>
      <c r="BV1011" s="6">
        <v>0</v>
      </c>
      <c r="BW1011" s="6">
        <v>0</v>
      </c>
      <c r="BX1011" s="6">
        <v>0</v>
      </c>
      <c r="BY1011" s="6">
        <v>0</v>
      </c>
      <c r="BZ1011" s="6">
        <v>0</v>
      </c>
      <c r="CA1011" s="6">
        <v>0</v>
      </c>
      <c r="CB1011" s="6">
        <v>0</v>
      </c>
      <c r="CC1011" s="6">
        <f>IF(Table3[[#This Row],[Type]]="EM",IF((Table3[[#This Row],[Diameter]]/2)-Table3[[#This Row],[CornerRadius]]-0.012&gt;0,(Table3[[#This Row],[Diameter]]/2)-Table3[[#This Row],[CornerRadius]]-0.012,0),)</f>
        <v>0</v>
      </c>
      <c r="CE1011" s="6" t="str">
        <f>IF(Table3[[#This Row],[ShoulderLength]]="","",IF(Table3[[#This Row],[ShoulderLength]]&lt;Table3[[#This Row],[LOC]],"FIX",""))</f>
        <v/>
      </c>
    </row>
    <row r="1012" spans="1:83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v>0</v>
      </c>
      <c r="BN1012" s="6">
        <v>0</v>
      </c>
      <c r="BO1012" s="6">
        <v>0</v>
      </c>
      <c r="BP1012" s="6">
        <v>0</v>
      </c>
      <c r="BQ1012" s="6">
        <v>0</v>
      </c>
      <c r="BR1012" s="6">
        <v>0</v>
      </c>
      <c r="BS1012" s="6">
        <v>0</v>
      </c>
      <c r="BT1012" s="6">
        <v>0</v>
      </c>
      <c r="BU1012" s="6">
        <v>0</v>
      </c>
      <c r="BV1012" s="6">
        <v>0</v>
      </c>
      <c r="BW1012" s="6">
        <v>0</v>
      </c>
      <c r="BX1012" s="6">
        <v>0</v>
      </c>
      <c r="BY1012" s="6">
        <v>0</v>
      </c>
      <c r="BZ1012" s="6">
        <v>0</v>
      </c>
      <c r="CA1012" s="6">
        <v>0</v>
      </c>
      <c r="CB1012" s="6">
        <v>0</v>
      </c>
      <c r="CC1012" s="6">
        <f>IF(Table3[[#This Row],[Type]]="EM",IF((Table3[[#This Row],[Diameter]]/2)-Table3[[#This Row],[CornerRadius]]-0.012&gt;0,(Table3[[#This Row],[Diameter]]/2)-Table3[[#This Row],[CornerRadius]]-0.012,0),)</f>
        <v>0</v>
      </c>
      <c r="CE1012" s="6" t="str">
        <f>IF(Table3[[#This Row],[ShoulderLength]]="","",IF(Table3[[#This Row],[ShoulderLength]]&lt;Table3[[#This Row],[LOC]],"FIX",""))</f>
        <v/>
      </c>
    </row>
    <row r="1013" spans="1:83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v>0</v>
      </c>
      <c r="BN1013" s="6">
        <v>0</v>
      </c>
      <c r="BO1013" s="6">
        <v>0</v>
      </c>
      <c r="BP1013" s="6">
        <v>0</v>
      </c>
      <c r="BQ1013" s="6">
        <v>0</v>
      </c>
      <c r="BR1013" s="6">
        <v>0</v>
      </c>
      <c r="BS1013" s="6">
        <v>0</v>
      </c>
      <c r="BT1013" s="6">
        <v>0</v>
      </c>
      <c r="BU1013" s="6">
        <v>0</v>
      </c>
      <c r="BV1013" s="6">
        <v>0</v>
      </c>
      <c r="BW1013" s="6">
        <v>0</v>
      </c>
      <c r="BX1013" s="6">
        <v>0</v>
      </c>
      <c r="BY1013" s="6">
        <v>0</v>
      </c>
      <c r="BZ1013" s="6">
        <v>0</v>
      </c>
      <c r="CA1013" s="6">
        <v>0</v>
      </c>
      <c r="CB1013" s="6">
        <v>0</v>
      </c>
      <c r="CC1013" s="6">
        <f>IF(Table3[[#This Row],[Type]]="EM",IF((Table3[[#This Row],[Diameter]]/2)-Table3[[#This Row],[CornerRadius]]-0.012&gt;0,(Table3[[#This Row],[Diameter]]/2)-Table3[[#This Row],[CornerRadius]]-0.012,0),)</f>
        <v>0</v>
      </c>
      <c r="CE1013" s="6" t="str">
        <f>IF(Table3[[#This Row],[ShoulderLength]]="","",IF(Table3[[#This Row],[ShoulderLength]]&lt;Table3[[#This Row],[LOC]],"FIX",""))</f>
        <v/>
      </c>
    </row>
    <row r="1014" spans="1:83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v>0</v>
      </c>
      <c r="BN1014" s="6">
        <v>0</v>
      </c>
      <c r="BO1014" s="6">
        <v>0</v>
      </c>
      <c r="BP1014" s="6">
        <v>0</v>
      </c>
      <c r="BQ1014" s="6">
        <v>0</v>
      </c>
      <c r="BR1014" s="6">
        <v>0</v>
      </c>
      <c r="BS1014" s="6">
        <v>0</v>
      </c>
      <c r="BT1014" s="6">
        <v>0</v>
      </c>
      <c r="BU1014" s="6">
        <v>0</v>
      </c>
      <c r="BV1014" s="6">
        <v>0</v>
      </c>
      <c r="BW1014" s="6">
        <v>0</v>
      </c>
      <c r="BX1014" s="6">
        <v>0</v>
      </c>
      <c r="BY1014" s="6">
        <v>0</v>
      </c>
      <c r="BZ1014" s="6">
        <v>0</v>
      </c>
      <c r="CA1014" s="6">
        <v>0</v>
      </c>
      <c r="CB1014" s="6">
        <v>0</v>
      </c>
      <c r="CC1014" s="6">
        <f>IF(Table3[[#This Row],[Type]]="EM",IF((Table3[[#This Row],[Diameter]]/2)-Table3[[#This Row],[CornerRadius]]-0.012&gt;0,(Table3[[#This Row],[Diameter]]/2)-Table3[[#This Row],[CornerRadius]]-0.012,0),)</f>
        <v>0</v>
      </c>
      <c r="CE1014" s="6" t="str">
        <f>IF(Table3[[#This Row],[ShoulderLength]]="","",IF(Table3[[#This Row],[ShoulderLength]]&lt;Table3[[#This Row],[LOC]],"FIX",""))</f>
        <v/>
      </c>
    </row>
    <row r="1015" spans="1:83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v>0</v>
      </c>
      <c r="BN1015" s="6">
        <v>0</v>
      </c>
      <c r="BO1015" s="6">
        <v>0</v>
      </c>
      <c r="BP1015" s="6">
        <v>0</v>
      </c>
      <c r="BQ1015" s="6">
        <v>0</v>
      </c>
      <c r="BR1015" s="6">
        <v>0</v>
      </c>
      <c r="BS1015" s="6">
        <v>0</v>
      </c>
      <c r="BT1015" s="6">
        <v>0</v>
      </c>
      <c r="BU1015" s="6">
        <v>0</v>
      </c>
      <c r="BV1015" s="6">
        <v>0</v>
      </c>
      <c r="BW1015" s="6">
        <v>0</v>
      </c>
      <c r="BX1015" s="6">
        <v>0</v>
      </c>
      <c r="BY1015" s="6">
        <v>0</v>
      </c>
      <c r="BZ1015" s="6">
        <v>0</v>
      </c>
      <c r="CA1015" s="6">
        <v>0</v>
      </c>
      <c r="CB1015" s="6">
        <v>0</v>
      </c>
      <c r="CC1015" s="6">
        <f>IF(Table3[[#This Row],[Type]]="EM",IF((Table3[[#This Row],[Diameter]]/2)-Table3[[#This Row],[CornerRadius]]-0.012&gt;0,(Table3[[#This Row],[Diameter]]/2)-Table3[[#This Row],[CornerRadius]]-0.012,0),)</f>
        <v>0</v>
      </c>
      <c r="CE1015" s="6" t="str">
        <f>IF(Table3[[#This Row],[ShoulderLength]]="","",IF(Table3[[#This Row],[ShoulderLength]]&lt;Table3[[#This Row],[LOC]],"FIX",""))</f>
        <v/>
      </c>
    </row>
    <row r="1016" spans="1:83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v>0</v>
      </c>
      <c r="BN1016" s="6">
        <v>0</v>
      </c>
      <c r="BO1016" s="6">
        <v>0</v>
      </c>
      <c r="BP1016" s="6">
        <v>0</v>
      </c>
      <c r="BQ1016" s="6">
        <v>0</v>
      </c>
      <c r="BR1016" s="6">
        <v>0</v>
      </c>
      <c r="BS1016" s="6">
        <v>0</v>
      </c>
      <c r="BT1016" s="6">
        <v>0</v>
      </c>
      <c r="BU1016" s="6">
        <v>0</v>
      </c>
      <c r="BV1016" s="6">
        <v>0</v>
      </c>
      <c r="BW1016" s="6">
        <v>0</v>
      </c>
      <c r="BX1016" s="6">
        <v>0</v>
      </c>
      <c r="BY1016" s="6">
        <v>0</v>
      </c>
      <c r="BZ1016" s="6">
        <v>0</v>
      </c>
      <c r="CA1016" s="6">
        <v>0</v>
      </c>
      <c r="CB1016" s="6">
        <v>0</v>
      </c>
      <c r="CC1016" s="6">
        <f>IF(Table3[[#This Row],[Type]]="EM",IF((Table3[[#This Row],[Diameter]]/2)-Table3[[#This Row],[CornerRadius]]-0.012&gt;0,(Table3[[#This Row],[Diameter]]/2)-Table3[[#This Row],[CornerRadius]]-0.012,0),)</f>
        <v>0</v>
      </c>
      <c r="CE1016" s="6" t="str">
        <f>IF(Table3[[#This Row],[ShoulderLength]]="","",IF(Table3[[#This Row],[ShoulderLength]]&lt;Table3[[#This Row],[LOC]],"FIX",""))</f>
        <v/>
      </c>
    </row>
    <row r="1017" spans="1:83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v>0</v>
      </c>
      <c r="BN1017" s="6">
        <v>0</v>
      </c>
      <c r="BO1017" s="6">
        <v>0</v>
      </c>
      <c r="BP1017" s="6">
        <v>0</v>
      </c>
      <c r="BQ1017" s="6">
        <v>0</v>
      </c>
      <c r="BR1017" s="6">
        <v>0</v>
      </c>
      <c r="BS1017" s="6">
        <v>0</v>
      </c>
      <c r="BT1017" s="6">
        <v>0</v>
      </c>
      <c r="BU1017" s="6">
        <v>0</v>
      </c>
      <c r="BV1017" s="6">
        <v>0</v>
      </c>
      <c r="BW1017" s="6">
        <v>0</v>
      </c>
      <c r="BX1017" s="6">
        <v>0</v>
      </c>
      <c r="BY1017" s="6">
        <v>0</v>
      </c>
      <c r="BZ1017" s="6">
        <v>0</v>
      </c>
      <c r="CA1017" s="6">
        <v>0</v>
      </c>
      <c r="CB1017" s="6">
        <v>0</v>
      </c>
      <c r="CC1017" s="6">
        <f>IF(Table3[[#This Row],[Type]]="EM",IF((Table3[[#This Row],[Diameter]]/2)-Table3[[#This Row],[CornerRadius]]-0.012&gt;0,(Table3[[#This Row],[Diameter]]/2)-Table3[[#This Row],[CornerRadius]]-0.012,0),)</f>
        <v>0</v>
      </c>
      <c r="CE1017" s="6" t="str">
        <f>IF(Table3[[#This Row],[ShoulderLength]]="","",IF(Table3[[#This Row],[ShoulderLength]]&lt;Table3[[#This Row],[LOC]],"FIX",""))</f>
        <v/>
      </c>
    </row>
    <row r="1018" spans="1:83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v>0</v>
      </c>
      <c r="BN1018" s="6">
        <v>0</v>
      </c>
      <c r="BO1018" s="6">
        <v>0</v>
      </c>
      <c r="BP1018" s="6">
        <v>0</v>
      </c>
      <c r="BQ1018" s="6">
        <v>0</v>
      </c>
      <c r="BR1018" s="6">
        <v>0</v>
      </c>
      <c r="BS1018" s="6">
        <v>0</v>
      </c>
      <c r="BT1018" s="6">
        <v>0</v>
      </c>
      <c r="BU1018" s="6">
        <v>0</v>
      </c>
      <c r="BV1018" s="6">
        <v>0</v>
      </c>
      <c r="BW1018" s="6">
        <v>0</v>
      </c>
      <c r="BX1018" s="6">
        <v>0</v>
      </c>
      <c r="BY1018" s="6">
        <v>0</v>
      </c>
      <c r="BZ1018" s="6">
        <v>0</v>
      </c>
      <c r="CA1018" s="6">
        <v>0</v>
      </c>
      <c r="CB1018" s="6">
        <v>0</v>
      </c>
      <c r="CC1018" s="6">
        <f>IF(Table3[[#This Row],[Type]]="EM",IF((Table3[[#This Row],[Diameter]]/2)-Table3[[#This Row],[CornerRadius]]-0.012&gt;0,(Table3[[#This Row],[Diameter]]/2)-Table3[[#This Row],[CornerRadius]]-0.012,0),)</f>
        <v>0</v>
      </c>
      <c r="CE1018" s="6" t="str">
        <f>IF(Table3[[#This Row],[ShoulderLength]]="","",IF(Table3[[#This Row],[ShoulderLength]]&lt;Table3[[#This Row],[LOC]],"FIX",""))</f>
        <v/>
      </c>
    </row>
    <row r="1019" spans="1:83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v>0</v>
      </c>
      <c r="BN1019" s="6">
        <v>0</v>
      </c>
      <c r="BO1019" s="6">
        <v>0</v>
      </c>
      <c r="BP1019" s="6">
        <v>0</v>
      </c>
      <c r="BQ1019" s="6">
        <v>0</v>
      </c>
      <c r="BR1019" s="6">
        <v>0</v>
      </c>
      <c r="BS1019" s="6">
        <v>0</v>
      </c>
      <c r="BT1019" s="6">
        <v>0</v>
      </c>
      <c r="BU1019" s="6">
        <v>0</v>
      </c>
      <c r="BV1019" s="6">
        <v>0</v>
      </c>
      <c r="BW1019" s="6">
        <v>0</v>
      </c>
      <c r="BX1019" s="6">
        <v>0</v>
      </c>
      <c r="BY1019" s="6">
        <v>0</v>
      </c>
      <c r="BZ1019" s="6">
        <v>0</v>
      </c>
      <c r="CA1019" s="6">
        <v>0</v>
      </c>
      <c r="CB1019" s="6">
        <v>0</v>
      </c>
      <c r="CC1019" s="6">
        <f>IF(Table3[[#This Row],[Type]]="EM",IF((Table3[[#This Row],[Diameter]]/2)-Table3[[#This Row],[CornerRadius]]-0.012&gt;0,(Table3[[#This Row],[Diameter]]/2)-Table3[[#This Row],[CornerRadius]]-0.012,0),)</f>
        <v>0</v>
      </c>
      <c r="CE1019" s="6" t="str">
        <f>IF(Table3[[#This Row],[ShoulderLength]]="","",IF(Table3[[#This Row],[ShoulderLength]]&lt;Table3[[#This Row],[LOC]],"FIX",""))</f>
        <v/>
      </c>
    </row>
    <row r="1020" spans="1:83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v>0</v>
      </c>
      <c r="BN1020" s="6">
        <v>0</v>
      </c>
      <c r="BO1020" s="6">
        <v>0</v>
      </c>
      <c r="BP1020" s="6">
        <v>0</v>
      </c>
      <c r="BQ1020" s="6">
        <v>0</v>
      </c>
      <c r="BR1020" s="6">
        <v>0</v>
      </c>
      <c r="BS1020" s="6">
        <v>0</v>
      </c>
      <c r="BT1020" s="6">
        <v>0</v>
      </c>
      <c r="BU1020" s="6">
        <v>0</v>
      </c>
      <c r="BV1020" s="6">
        <v>0</v>
      </c>
      <c r="BW1020" s="6">
        <v>0</v>
      </c>
      <c r="BX1020" s="6">
        <v>0</v>
      </c>
      <c r="BY1020" s="6">
        <v>0</v>
      </c>
      <c r="BZ1020" s="6">
        <v>0</v>
      </c>
      <c r="CA1020" s="6">
        <v>0</v>
      </c>
      <c r="CB1020" s="6">
        <v>0</v>
      </c>
      <c r="CC1020" s="6">
        <f>IF(Table3[[#This Row],[Type]]="EM",IF((Table3[[#This Row],[Diameter]]/2)-Table3[[#This Row],[CornerRadius]]-0.012&gt;0,(Table3[[#This Row],[Diameter]]/2)-Table3[[#This Row],[CornerRadius]]-0.012,0),)</f>
        <v>0</v>
      </c>
      <c r="CE1020" s="6" t="str">
        <f>IF(Table3[[#This Row],[ShoulderLength]]="","",IF(Table3[[#This Row],[ShoulderLength]]&lt;Table3[[#This Row],[LOC]],"FIX",""))</f>
        <v/>
      </c>
    </row>
    <row r="1021" spans="1:83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v>0</v>
      </c>
      <c r="BN1021" s="6">
        <v>0</v>
      </c>
      <c r="BO1021" s="6">
        <v>0</v>
      </c>
      <c r="BP1021" s="6">
        <v>0</v>
      </c>
      <c r="BQ1021" s="6">
        <v>0</v>
      </c>
      <c r="BR1021" s="6">
        <v>0</v>
      </c>
      <c r="BS1021" s="6">
        <v>0</v>
      </c>
      <c r="BT1021" s="6">
        <v>0</v>
      </c>
      <c r="BU1021" s="6">
        <v>0</v>
      </c>
      <c r="BV1021" s="6">
        <v>0</v>
      </c>
      <c r="BW1021" s="6">
        <v>0</v>
      </c>
      <c r="BX1021" s="6">
        <v>0</v>
      </c>
      <c r="BY1021" s="6">
        <v>0</v>
      </c>
      <c r="BZ1021" s="6">
        <v>0</v>
      </c>
      <c r="CA1021" s="6">
        <v>0</v>
      </c>
      <c r="CB1021" s="6">
        <v>0</v>
      </c>
      <c r="CC1021" s="6">
        <f>IF(Table3[[#This Row],[Type]]="EM",IF((Table3[[#This Row],[Diameter]]/2)-Table3[[#This Row],[CornerRadius]]-0.012&gt;0,(Table3[[#This Row],[Diameter]]/2)-Table3[[#This Row],[CornerRadius]]-0.012,0),)</f>
        <v>0</v>
      </c>
      <c r="CE1021" s="6" t="str">
        <f>IF(Table3[[#This Row],[ShoulderLength]]="","",IF(Table3[[#This Row],[ShoulderLength]]&lt;Table3[[#This Row],[LOC]],"FIX",""))</f>
        <v/>
      </c>
    </row>
    <row r="1022" spans="1:83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v>0</v>
      </c>
      <c r="BN1022" s="6">
        <v>0</v>
      </c>
      <c r="BO1022" s="6">
        <v>0</v>
      </c>
      <c r="BP1022" s="6">
        <v>0</v>
      </c>
      <c r="BQ1022" s="6">
        <v>0</v>
      </c>
      <c r="BR1022" s="6">
        <v>0</v>
      </c>
      <c r="BS1022" s="6">
        <v>0</v>
      </c>
      <c r="BT1022" s="6">
        <v>0</v>
      </c>
      <c r="BU1022" s="6">
        <v>0</v>
      </c>
      <c r="BV1022" s="6">
        <v>0</v>
      </c>
      <c r="BW1022" s="6">
        <v>0</v>
      </c>
      <c r="BX1022" s="6">
        <v>0</v>
      </c>
      <c r="BY1022" s="6">
        <v>0</v>
      </c>
      <c r="BZ1022" s="6">
        <v>0</v>
      </c>
      <c r="CA1022" s="6">
        <v>0</v>
      </c>
      <c r="CB1022" s="6">
        <v>0</v>
      </c>
      <c r="CC1022" s="6">
        <f>IF(Table3[[#This Row],[Type]]="EM",IF((Table3[[#This Row],[Diameter]]/2)-Table3[[#This Row],[CornerRadius]]-0.012&gt;0,(Table3[[#This Row],[Diameter]]/2)-Table3[[#This Row],[CornerRadius]]-0.012,0),)</f>
        <v>0</v>
      </c>
      <c r="CE1022" s="6" t="str">
        <f>IF(Table3[[#This Row],[ShoulderLength]]="","",IF(Table3[[#This Row],[ShoulderLength]]&lt;Table3[[#This Row],[LOC]],"FIX",""))</f>
        <v/>
      </c>
    </row>
    <row r="1023" spans="1:83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v>0</v>
      </c>
      <c r="BN1023" s="6">
        <v>0</v>
      </c>
      <c r="BO1023" s="6">
        <v>0</v>
      </c>
      <c r="BP1023" s="6">
        <v>0</v>
      </c>
      <c r="BQ1023" s="6">
        <v>0</v>
      </c>
      <c r="BR1023" s="6">
        <v>0</v>
      </c>
      <c r="BS1023" s="6">
        <v>0</v>
      </c>
      <c r="BT1023" s="6">
        <v>0</v>
      </c>
      <c r="BU1023" s="6">
        <v>0</v>
      </c>
      <c r="BV1023" s="6">
        <v>0</v>
      </c>
      <c r="BW1023" s="6">
        <v>0</v>
      </c>
      <c r="BX1023" s="6">
        <v>0</v>
      </c>
      <c r="BY1023" s="6">
        <v>0</v>
      </c>
      <c r="BZ1023" s="6">
        <v>0</v>
      </c>
      <c r="CA1023" s="6">
        <v>0</v>
      </c>
      <c r="CB1023" s="6">
        <v>0</v>
      </c>
      <c r="CC1023" s="6">
        <f>IF(Table3[[#This Row],[Type]]="EM",IF((Table3[[#This Row],[Diameter]]/2)-Table3[[#This Row],[CornerRadius]]-0.012&gt;0,(Table3[[#This Row],[Diameter]]/2)-Table3[[#This Row],[CornerRadius]]-0.012,0),)</f>
        <v>0</v>
      </c>
      <c r="CE1023" s="6" t="str">
        <f>IF(Table3[[#This Row],[ShoulderLength]]="","",IF(Table3[[#This Row],[ShoulderLength]]&lt;Table3[[#This Row],[LOC]],"FIX",""))</f>
        <v/>
      </c>
    </row>
    <row r="1024" spans="1:83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v>0</v>
      </c>
      <c r="BN1024" s="6">
        <v>0</v>
      </c>
      <c r="BO1024" s="6">
        <v>0</v>
      </c>
      <c r="BP1024" s="6">
        <v>0</v>
      </c>
      <c r="BQ1024" s="6">
        <v>0</v>
      </c>
      <c r="BR1024" s="6">
        <v>0</v>
      </c>
      <c r="BS1024" s="6">
        <v>0</v>
      </c>
      <c r="BT1024" s="6">
        <v>0</v>
      </c>
      <c r="BU1024" s="6">
        <v>0</v>
      </c>
      <c r="BV1024" s="6">
        <v>0</v>
      </c>
      <c r="BW1024" s="6">
        <v>0</v>
      </c>
      <c r="BX1024" s="6">
        <v>0</v>
      </c>
      <c r="BY1024" s="6">
        <v>0</v>
      </c>
      <c r="BZ1024" s="6">
        <v>0</v>
      </c>
      <c r="CA1024" s="6">
        <v>0</v>
      </c>
      <c r="CB1024" s="6">
        <v>0</v>
      </c>
      <c r="CC1024" s="6">
        <f>IF(Table3[[#This Row],[Type]]="EM",IF((Table3[[#This Row],[Diameter]]/2)-Table3[[#This Row],[CornerRadius]]-0.012&gt;0,(Table3[[#This Row],[Diameter]]/2)-Table3[[#This Row],[CornerRadius]]-0.012,0),)</f>
        <v>0</v>
      </c>
      <c r="CE1024" s="6" t="str">
        <f>IF(Table3[[#This Row],[ShoulderLength]]="","",IF(Table3[[#This Row],[ShoulderLength]]&lt;Table3[[#This Row],[LOC]],"FIX",""))</f>
        <v/>
      </c>
    </row>
    <row r="1025" spans="1:83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v>0</v>
      </c>
      <c r="BN1025" s="6">
        <v>0</v>
      </c>
      <c r="BO1025" s="6">
        <v>0</v>
      </c>
      <c r="BP1025" s="6">
        <v>0</v>
      </c>
      <c r="BQ1025" s="6">
        <v>0</v>
      </c>
      <c r="BR1025" s="6">
        <v>0</v>
      </c>
      <c r="BS1025" s="6">
        <v>0</v>
      </c>
      <c r="BT1025" s="6">
        <v>0</v>
      </c>
      <c r="BU1025" s="6">
        <v>0</v>
      </c>
      <c r="BV1025" s="6">
        <v>0</v>
      </c>
      <c r="BW1025" s="6">
        <v>0</v>
      </c>
      <c r="BX1025" s="6">
        <v>0</v>
      </c>
      <c r="BY1025" s="6">
        <v>0</v>
      </c>
      <c r="BZ1025" s="6">
        <v>0</v>
      </c>
      <c r="CA1025" s="6">
        <v>0</v>
      </c>
      <c r="CB1025" s="6">
        <v>0</v>
      </c>
      <c r="CC1025" s="6">
        <f>IF(Table3[[#This Row],[Type]]="EM",IF((Table3[[#This Row],[Diameter]]/2)-Table3[[#This Row],[CornerRadius]]-0.012&gt;0,(Table3[[#This Row],[Diameter]]/2)-Table3[[#This Row],[CornerRadius]]-0.012,0),)</f>
        <v>0</v>
      </c>
      <c r="CE1025" s="6" t="str">
        <f>IF(Table3[[#This Row],[ShoulderLength]]="","",IF(Table3[[#This Row],[ShoulderLength]]&lt;Table3[[#This Row],[LOC]],"FIX",""))</f>
        <v/>
      </c>
    </row>
    <row r="1026" spans="1:83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v>0</v>
      </c>
      <c r="BN1026" s="6">
        <v>0</v>
      </c>
      <c r="BO1026" s="6">
        <v>0</v>
      </c>
      <c r="BP1026" s="6">
        <v>0</v>
      </c>
      <c r="BQ1026" s="6">
        <v>0</v>
      </c>
      <c r="BR1026" s="6">
        <v>0</v>
      </c>
      <c r="BS1026" s="6">
        <v>0</v>
      </c>
      <c r="BT1026" s="6">
        <v>0</v>
      </c>
      <c r="BU1026" s="6">
        <v>0</v>
      </c>
      <c r="BV1026" s="6">
        <v>0</v>
      </c>
      <c r="BW1026" s="6">
        <v>0</v>
      </c>
      <c r="BX1026" s="6">
        <v>0</v>
      </c>
      <c r="BY1026" s="6">
        <v>0</v>
      </c>
      <c r="BZ1026" s="6">
        <v>0</v>
      </c>
      <c r="CA1026" s="6">
        <v>0</v>
      </c>
      <c r="CB1026" s="6">
        <v>0</v>
      </c>
      <c r="CC1026" s="6">
        <f>IF(Table3[[#This Row],[Type]]="EM",IF((Table3[[#This Row],[Diameter]]/2)-Table3[[#This Row],[CornerRadius]]-0.012&gt;0,(Table3[[#This Row],[Diameter]]/2)-Table3[[#This Row],[CornerRadius]]-0.012,0),)</f>
        <v>0</v>
      </c>
      <c r="CE1026" s="6" t="str">
        <f>IF(Table3[[#This Row],[ShoulderLength]]="","",IF(Table3[[#This Row],[ShoulderLength]]&lt;Table3[[#This Row],[LOC]],"FIX",""))</f>
        <v/>
      </c>
    </row>
    <row r="1027" spans="1:83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v>0</v>
      </c>
      <c r="BN1027" s="6">
        <v>0</v>
      </c>
      <c r="BO1027" s="6">
        <v>0</v>
      </c>
      <c r="BP1027" s="6">
        <v>0</v>
      </c>
      <c r="BQ1027" s="6">
        <v>0</v>
      </c>
      <c r="BR1027" s="6">
        <v>0</v>
      </c>
      <c r="BS1027" s="6">
        <v>0</v>
      </c>
      <c r="BT1027" s="6">
        <v>0</v>
      </c>
      <c r="BU1027" s="6">
        <v>0</v>
      </c>
      <c r="BV1027" s="6">
        <v>0</v>
      </c>
      <c r="BW1027" s="6">
        <v>0</v>
      </c>
      <c r="BX1027" s="6">
        <v>0</v>
      </c>
      <c r="BY1027" s="6">
        <v>0</v>
      </c>
      <c r="BZ1027" s="6">
        <v>0</v>
      </c>
      <c r="CA1027" s="6">
        <v>0</v>
      </c>
      <c r="CB1027" s="6">
        <v>0</v>
      </c>
      <c r="CC1027" s="6">
        <f>IF(Table3[[#This Row],[Type]]="EM",IF((Table3[[#This Row],[Diameter]]/2)-Table3[[#This Row],[CornerRadius]]-0.012&gt;0,(Table3[[#This Row],[Diameter]]/2)-Table3[[#This Row],[CornerRadius]]-0.012,0),)</f>
        <v>0</v>
      </c>
      <c r="CE1027" s="6" t="str">
        <f>IF(Table3[[#This Row],[ShoulderLength]]="","",IF(Table3[[#This Row],[ShoulderLength]]&lt;Table3[[#This Row],[LOC]],"FIX",""))</f>
        <v/>
      </c>
    </row>
    <row r="1028" spans="1:83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v>0</v>
      </c>
      <c r="BN1028" s="6">
        <v>0</v>
      </c>
      <c r="BO1028" s="6">
        <v>0</v>
      </c>
      <c r="BP1028" s="6">
        <v>0</v>
      </c>
      <c r="BQ1028" s="6">
        <v>0</v>
      </c>
      <c r="BR1028" s="6">
        <v>0</v>
      </c>
      <c r="BS1028" s="6">
        <v>0</v>
      </c>
      <c r="BT1028" s="6">
        <v>0</v>
      </c>
      <c r="BU1028" s="6">
        <v>0</v>
      </c>
      <c r="BV1028" s="6">
        <v>0</v>
      </c>
      <c r="BW1028" s="6">
        <v>0</v>
      </c>
      <c r="BX1028" s="6">
        <v>0</v>
      </c>
      <c r="BY1028" s="6">
        <v>0</v>
      </c>
      <c r="BZ1028" s="6">
        <v>0</v>
      </c>
      <c r="CA1028" s="6">
        <v>0</v>
      </c>
      <c r="CB1028" s="6">
        <v>0</v>
      </c>
      <c r="CC1028" s="6">
        <f>IF(Table3[[#This Row],[Type]]="EM",IF((Table3[[#This Row],[Diameter]]/2)-Table3[[#This Row],[CornerRadius]]-0.012&gt;0,(Table3[[#This Row],[Diameter]]/2)-Table3[[#This Row],[CornerRadius]]-0.012,0),)</f>
        <v>0</v>
      </c>
      <c r="CE1028" s="6" t="str">
        <f>IF(Table3[[#This Row],[ShoulderLength]]="","",IF(Table3[[#This Row],[ShoulderLength]]&lt;Table3[[#This Row],[LOC]],"FIX",""))</f>
        <v/>
      </c>
    </row>
    <row r="1029" spans="1:83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v>0</v>
      </c>
      <c r="BN1029" s="6">
        <v>0</v>
      </c>
      <c r="BO1029" s="6">
        <v>0</v>
      </c>
      <c r="BP1029" s="6">
        <v>0</v>
      </c>
      <c r="BQ1029" s="6">
        <v>0</v>
      </c>
      <c r="BR1029" s="6">
        <v>0</v>
      </c>
      <c r="BS1029" s="6">
        <v>0</v>
      </c>
      <c r="BT1029" s="6">
        <v>0</v>
      </c>
      <c r="BU1029" s="6">
        <v>0</v>
      </c>
      <c r="BV1029" s="6">
        <v>0</v>
      </c>
      <c r="BW1029" s="6">
        <v>0</v>
      </c>
      <c r="BX1029" s="6">
        <v>0</v>
      </c>
      <c r="BY1029" s="6">
        <v>0</v>
      </c>
      <c r="BZ1029" s="6">
        <v>0</v>
      </c>
      <c r="CA1029" s="6">
        <v>0</v>
      </c>
      <c r="CB1029" s="6">
        <v>0</v>
      </c>
      <c r="CC1029" s="6">
        <f>IF(Table3[[#This Row],[Type]]="EM",IF((Table3[[#This Row],[Diameter]]/2)-Table3[[#This Row],[CornerRadius]]-0.012&gt;0,(Table3[[#This Row],[Diameter]]/2)-Table3[[#This Row],[CornerRadius]]-0.012,0),)</f>
        <v>0</v>
      </c>
      <c r="CE1029" s="6" t="str">
        <f>IF(Table3[[#This Row],[ShoulderLength]]="","",IF(Table3[[#This Row],[ShoulderLength]]&lt;Table3[[#This Row],[LOC]],"FIX",""))</f>
        <v/>
      </c>
    </row>
    <row r="1030" spans="1:83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v>0</v>
      </c>
      <c r="BN1030" s="6">
        <v>0</v>
      </c>
      <c r="BO1030" s="6">
        <v>0</v>
      </c>
      <c r="BP1030" s="6">
        <v>0</v>
      </c>
      <c r="BQ1030" s="6">
        <v>0</v>
      </c>
      <c r="BR1030" s="6">
        <v>0</v>
      </c>
      <c r="BS1030" s="6">
        <v>0</v>
      </c>
      <c r="BT1030" s="6">
        <v>0</v>
      </c>
      <c r="BU1030" s="6">
        <v>0</v>
      </c>
      <c r="BV1030" s="6">
        <v>0</v>
      </c>
      <c r="BW1030" s="6">
        <v>0</v>
      </c>
      <c r="BX1030" s="6">
        <v>0</v>
      </c>
      <c r="BY1030" s="6">
        <v>0</v>
      </c>
      <c r="BZ1030" s="6">
        <v>0</v>
      </c>
      <c r="CA1030" s="6">
        <v>0</v>
      </c>
      <c r="CB1030" s="6">
        <v>0</v>
      </c>
      <c r="CC1030" s="6">
        <f>IF(Table3[[#This Row],[Type]]="EM",IF((Table3[[#This Row],[Diameter]]/2)-Table3[[#This Row],[CornerRadius]]-0.012&gt;0,(Table3[[#This Row],[Diameter]]/2)-Table3[[#This Row],[CornerRadius]]-0.012,0),)</f>
        <v>0</v>
      </c>
      <c r="CE1030" s="6" t="str">
        <f>IF(Table3[[#This Row],[ShoulderLength]]="","",IF(Table3[[#This Row],[ShoulderLength]]&lt;Table3[[#This Row],[LOC]],"FIX",""))</f>
        <v/>
      </c>
    </row>
    <row r="1031" spans="1:83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v>0</v>
      </c>
      <c r="BN1031" s="6">
        <v>0</v>
      </c>
      <c r="BO1031" s="6">
        <v>0</v>
      </c>
      <c r="BP1031" s="6">
        <v>0</v>
      </c>
      <c r="BQ1031" s="6">
        <v>0</v>
      </c>
      <c r="BR1031" s="6">
        <v>0</v>
      </c>
      <c r="BS1031" s="6">
        <v>0</v>
      </c>
      <c r="BT1031" s="6">
        <v>0</v>
      </c>
      <c r="BU1031" s="6">
        <v>0</v>
      </c>
      <c r="BV1031" s="6">
        <v>0</v>
      </c>
      <c r="BW1031" s="6">
        <v>0</v>
      </c>
      <c r="BX1031" s="6">
        <v>0</v>
      </c>
      <c r="BY1031" s="6">
        <v>0</v>
      </c>
      <c r="BZ1031" s="6">
        <v>0</v>
      </c>
      <c r="CA1031" s="6">
        <v>0</v>
      </c>
      <c r="CB1031" s="6">
        <v>0</v>
      </c>
      <c r="CC1031" s="6">
        <f>IF(Table3[[#This Row],[Type]]="EM",IF((Table3[[#This Row],[Diameter]]/2)-Table3[[#This Row],[CornerRadius]]-0.012&gt;0,(Table3[[#This Row],[Diameter]]/2)-Table3[[#This Row],[CornerRadius]]-0.012,0),)</f>
        <v>0</v>
      </c>
      <c r="CE1031" s="6" t="str">
        <f>IF(Table3[[#This Row],[ShoulderLength]]="","",IF(Table3[[#This Row],[ShoulderLength]]&lt;Table3[[#This Row],[LOC]],"FIX",""))</f>
        <v/>
      </c>
    </row>
    <row r="1032" spans="1:83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v>0</v>
      </c>
      <c r="BN1032" s="6">
        <v>0</v>
      </c>
      <c r="BO1032" s="6">
        <v>0</v>
      </c>
      <c r="BP1032" s="6">
        <v>0</v>
      </c>
      <c r="BQ1032" s="6">
        <v>0</v>
      </c>
      <c r="BR1032" s="6">
        <v>0</v>
      </c>
      <c r="BS1032" s="6">
        <v>0</v>
      </c>
      <c r="BT1032" s="6">
        <v>0</v>
      </c>
      <c r="BU1032" s="6">
        <v>0</v>
      </c>
      <c r="BV1032" s="6">
        <v>0</v>
      </c>
      <c r="BW1032" s="6">
        <v>0</v>
      </c>
      <c r="BX1032" s="6">
        <v>0</v>
      </c>
      <c r="BY1032" s="6">
        <v>0</v>
      </c>
      <c r="BZ1032" s="6">
        <v>0</v>
      </c>
      <c r="CA1032" s="6">
        <v>0</v>
      </c>
      <c r="CB1032" s="6">
        <v>0</v>
      </c>
      <c r="CC1032" s="6">
        <f>IF(Table3[[#This Row],[Type]]="EM",IF((Table3[[#This Row],[Diameter]]/2)-Table3[[#This Row],[CornerRadius]]-0.012&gt;0,(Table3[[#This Row],[Diameter]]/2)-Table3[[#This Row],[CornerRadius]]-0.012,0),)</f>
        <v>0</v>
      </c>
      <c r="CE1032" s="6" t="str">
        <f>IF(Table3[[#This Row],[ShoulderLength]]="","",IF(Table3[[#This Row],[ShoulderLength]]&lt;Table3[[#This Row],[LOC]],"FIX",""))</f>
        <v/>
      </c>
    </row>
    <row r="1033" spans="1:83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v>0</v>
      </c>
      <c r="BN1033" s="6">
        <v>0</v>
      </c>
      <c r="BO1033" s="6">
        <v>0</v>
      </c>
      <c r="BP1033" s="6">
        <v>0</v>
      </c>
      <c r="BQ1033" s="6">
        <v>0</v>
      </c>
      <c r="BR1033" s="6">
        <v>0</v>
      </c>
      <c r="BS1033" s="6">
        <v>0</v>
      </c>
      <c r="BT1033" s="6">
        <v>0</v>
      </c>
      <c r="BU1033" s="6">
        <v>0</v>
      </c>
      <c r="BV1033" s="6">
        <v>0</v>
      </c>
      <c r="BW1033" s="6">
        <v>0</v>
      </c>
      <c r="BX1033" s="6">
        <v>0</v>
      </c>
      <c r="BY1033" s="6">
        <v>0</v>
      </c>
      <c r="BZ1033" s="6">
        <v>0</v>
      </c>
      <c r="CA1033" s="6">
        <v>0</v>
      </c>
      <c r="CB1033" s="6">
        <v>0</v>
      </c>
      <c r="CC1033" s="6">
        <f>IF(Table3[[#This Row],[Type]]="EM",IF((Table3[[#This Row],[Diameter]]/2)-Table3[[#This Row],[CornerRadius]]-0.012&gt;0,(Table3[[#This Row],[Diameter]]/2)-Table3[[#This Row],[CornerRadius]]-0.012,0),)</f>
        <v>0</v>
      </c>
      <c r="CE1033" s="6" t="str">
        <f>IF(Table3[[#This Row],[ShoulderLength]]="","",IF(Table3[[#This Row],[ShoulderLength]]&lt;Table3[[#This Row],[LOC]],"FIX",""))</f>
        <v/>
      </c>
    </row>
    <row r="1034" spans="1:83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v>0</v>
      </c>
      <c r="BN1034" s="6">
        <v>0</v>
      </c>
      <c r="BO1034" s="6">
        <v>0</v>
      </c>
      <c r="BP1034" s="6">
        <v>0</v>
      </c>
      <c r="BQ1034" s="6">
        <v>0</v>
      </c>
      <c r="BR1034" s="6">
        <v>0</v>
      </c>
      <c r="BS1034" s="6">
        <v>0</v>
      </c>
      <c r="BT1034" s="6">
        <v>0</v>
      </c>
      <c r="BU1034" s="6">
        <v>0</v>
      </c>
      <c r="BV1034" s="6">
        <v>0</v>
      </c>
      <c r="BW1034" s="6">
        <v>0</v>
      </c>
      <c r="BX1034" s="6">
        <v>0</v>
      </c>
      <c r="BY1034" s="6">
        <v>0</v>
      </c>
      <c r="BZ1034" s="6">
        <v>0</v>
      </c>
      <c r="CA1034" s="6">
        <v>0</v>
      </c>
      <c r="CB1034" s="6">
        <v>0</v>
      </c>
      <c r="CC1034" s="6">
        <f>IF(Table3[[#This Row],[Type]]="EM",IF((Table3[[#This Row],[Diameter]]/2)-Table3[[#This Row],[CornerRadius]]-0.012&gt;0,(Table3[[#This Row],[Diameter]]/2)-Table3[[#This Row],[CornerRadius]]-0.012,0),)</f>
        <v>0</v>
      </c>
      <c r="CE1034" s="6" t="str">
        <f>IF(Table3[[#This Row],[ShoulderLength]]="","",IF(Table3[[#This Row],[ShoulderLength]]&lt;Table3[[#This Row],[LOC]],"FIX",""))</f>
        <v/>
      </c>
    </row>
    <row r="1035" spans="1:83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v>0</v>
      </c>
      <c r="BN1035" s="6">
        <v>0</v>
      </c>
      <c r="BO1035" s="6">
        <v>0</v>
      </c>
      <c r="BP1035" s="6">
        <v>0</v>
      </c>
      <c r="BQ1035" s="6">
        <v>0</v>
      </c>
      <c r="BR1035" s="6">
        <v>0</v>
      </c>
      <c r="BS1035" s="6">
        <v>0</v>
      </c>
      <c r="BT1035" s="6">
        <v>0</v>
      </c>
      <c r="BU1035" s="6">
        <v>0</v>
      </c>
      <c r="BV1035" s="6">
        <v>0</v>
      </c>
      <c r="BW1035" s="6">
        <v>0</v>
      </c>
      <c r="BX1035" s="6">
        <v>0</v>
      </c>
      <c r="BY1035" s="6">
        <v>0</v>
      </c>
      <c r="BZ1035" s="6">
        <v>0</v>
      </c>
      <c r="CA1035" s="6">
        <v>0</v>
      </c>
      <c r="CB1035" s="6">
        <v>0</v>
      </c>
      <c r="CC1035" s="6">
        <f>IF(Table3[[#This Row],[Type]]="EM",IF((Table3[[#This Row],[Diameter]]/2)-Table3[[#This Row],[CornerRadius]]-0.012&gt;0,(Table3[[#This Row],[Diameter]]/2)-Table3[[#This Row],[CornerRadius]]-0.012,0),)</f>
        <v>0</v>
      </c>
      <c r="CE1035" s="6" t="str">
        <f>IF(Table3[[#This Row],[ShoulderLength]]="","",IF(Table3[[#This Row],[ShoulderLength]]&lt;Table3[[#This Row],[LOC]],"FIX",""))</f>
        <v/>
      </c>
    </row>
    <row r="1036" spans="1:83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v>0</v>
      </c>
      <c r="BN1036" s="6">
        <v>0</v>
      </c>
      <c r="BO1036" s="6">
        <v>0</v>
      </c>
      <c r="BP1036" s="6">
        <v>0</v>
      </c>
      <c r="BQ1036" s="6">
        <v>0</v>
      </c>
      <c r="BR1036" s="6">
        <v>0</v>
      </c>
      <c r="BS1036" s="6">
        <v>0</v>
      </c>
      <c r="BT1036" s="6">
        <v>0</v>
      </c>
      <c r="BU1036" s="6">
        <v>0</v>
      </c>
      <c r="BV1036" s="6">
        <v>0</v>
      </c>
      <c r="BW1036" s="6">
        <v>0</v>
      </c>
      <c r="BX1036" s="6">
        <v>0</v>
      </c>
      <c r="BY1036" s="6">
        <v>0</v>
      </c>
      <c r="BZ1036" s="6">
        <v>0</v>
      </c>
      <c r="CA1036" s="6">
        <v>0</v>
      </c>
      <c r="CB1036" s="6">
        <v>0</v>
      </c>
      <c r="CC1036" s="6">
        <f>IF(Table3[[#This Row],[Type]]="EM",IF((Table3[[#This Row],[Diameter]]/2)-Table3[[#This Row],[CornerRadius]]-0.012&gt;0,(Table3[[#This Row],[Diameter]]/2)-Table3[[#This Row],[CornerRadius]]-0.012,0),)</f>
        <v>0</v>
      </c>
      <c r="CE1036" s="6" t="str">
        <f>IF(Table3[[#This Row],[ShoulderLength]]="","",IF(Table3[[#This Row],[ShoulderLength]]&lt;Table3[[#This Row],[LOC]],"FIX",""))</f>
        <v/>
      </c>
    </row>
    <row r="1037" spans="1:83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v>0</v>
      </c>
      <c r="BN1037" s="6">
        <v>0</v>
      </c>
      <c r="BO1037" s="6">
        <v>0</v>
      </c>
      <c r="BP1037" s="6">
        <v>0</v>
      </c>
      <c r="BQ1037" s="6">
        <v>0</v>
      </c>
      <c r="BR1037" s="6">
        <v>0</v>
      </c>
      <c r="BS1037" s="6">
        <v>0</v>
      </c>
      <c r="BT1037" s="6">
        <v>0</v>
      </c>
      <c r="BU1037" s="6">
        <v>0</v>
      </c>
      <c r="BV1037" s="6">
        <v>0</v>
      </c>
      <c r="BW1037" s="6">
        <v>0</v>
      </c>
      <c r="BX1037" s="6">
        <v>0</v>
      </c>
      <c r="BY1037" s="6">
        <v>0</v>
      </c>
      <c r="BZ1037" s="6">
        <v>0</v>
      </c>
      <c r="CA1037" s="6">
        <v>0</v>
      </c>
      <c r="CB1037" s="6">
        <v>0</v>
      </c>
      <c r="CC1037" s="6">
        <f>IF(Table3[[#This Row],[Type]]="EM",IF((Table3[[#This Row],[Diameter]]/2)-Table3[[#This Row],[CornerRadius]]-0.012&gt;0,(Table3[[#This Row],[Diameter]]/2)-Table3[[#This Row],[CornerRadius]]-0.012,0),)</f>
        <v>0</v>
      </c>
      <c r="CE1037" s="6" t="str">
        <f>IF(Table3[[#This Row],[ShoulderLength]]="","",IF(Table3[[#This Row],[ShoulderLength]]&lt;Table3[[#This Row],[LOC]],"FIX",""))</f>
        <v/>
      </c>
    </row>
    <row r="1038" spans="1:83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v>0</v>
      </c>
      <c r="BN1038" s="6">
        <v>0</v>
      </c>
      <c r="BO1038" s="6">
        <v>0</v>
      </c>
      <c r="BP1038" s="6">
        <v>0</v>
      </c>
      <c r="BQ1038" s="6">
        <v>0</v>
      </c>
      <c r="BR1038" s="6">
        <v>0</v>
      </c>
      <c r="BS1038" s="6">
        <v>0</v>
      </c>
      <c r="BT1038" s="6">
        <v>0</v>
      </c>
      <c r="BU1038" s="6">
        <v>0</v>
      </c>
      <c r="BV1038" s="6">
        <v>0</v>
      </c>
      <c r="BW1038" s="6">
        <v>0</v>
      </c>
      <c r="BX1038" s="6">
        <v>0</v>
      </c>
      <c r="BY1038" s="6">
        <v>0</v>
      </c>
      <c r="BZ1038" s="6">
        <v>0</v>
      </c>
      <c r="CA1038" s="6">
        <v>0</v>
      </c>
      <c r="CB1038" s="6">
        <v>0</v>
      </c>
      <c r="CC1038" s="6">
        <f>IF(Table3[[#This Row],[Type]]="EM",IF((Table3[[#This Row],[Diameter]]/2)-Table3[[#This Row],[CornerRadius]]-0.012&gt;0,(Table3[[#This Row],[Diameter]]/2)-Table3[[#This Row],[CornerRadius]]-0.012,0),)</f>
        <v>0</v>
      </c>
      <c r="CE1038" s="6" t="str">
        <f>IF(Table3[[#This Row],[ShoulderLength]]="","",IF(Table3[[#This Row],[ShoulderLength]]&lt;Table3[[#This Row],[LOC]],"FIX",""))</f>
        <v/>
      </c>
    </row>
    <row r="1039" spans="1:83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v>0</v>
      </c>
      <c r="BN1039" s="6">
        <v>0</v>
      </c>
      <c r="BO1039" s="6">
        <v>0</v>
      </c>
      <c r="BP1039" s="6">
        <v>0</v>
      </c>
      <c r="BQ1039" s="6">
        <v>0</v>
      </c>
      <c r="BR1039" s="6">
        <v>0</v>
      </c>
      <c r="BS1039" s="6">
        <v>0</v>
      </c>
      <c r="BT1039" s="6">
        <v>0</v>
      </c>
      <c r="BU1039" s="6">
        <v>0</v>
      </c>
      <c r="BV1039" s="6">
        <v>0</v>
      </c>
      <c r="BW1039" s="6">
        <v>0</v>
      </c>
      <c r="BX1039" s="6">
        <v>0</v>
      </c>
      <c r="BY1039" s="6">
        <v>0</v>
      </c>
      <c r="BZ1039" s="6">
        <v>0</v>
      </c>
      <c r="CA1039" s="6">
        <v>0</v>
      </c>
      <c r="CB1039" s="6">
        <v>0</v>
      </c>
      <c r="CC1039" s="6">
        <f>IF(Table3[[#This Row],[Type]]="EM",IF((Table3[[#This Row],[Diameter]]/2)-Table3[[#This Row],[CornerRadius]]-0.012&gt;0,(Table3[[#This Row],[Diameter]]/2)-Table3[[#This Row],[CornerRadius]]-0.012,0),)</f>
        <v>0</v>
      </c>
      <c r="CE1039" s="6" t="str">
        <f>IF(Table3[[#This Row],[ShoulderLength]]="","",IF(Table3[[#This Row],[ShoulderLength]]&lt;Table3[[#This Row],[LOC]],"FIX",""))</f>
        <v/>
      </c>
    </row>
    <row r="1040" spans="1:83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v>0</v>
      </c>
      <c r="BN1040" s="6">
        <v>0</v>
      </c>
      <c r="BO1040" s="6">
        <v>0</v>
      </c>
      <c r="BP1040" s="6">
        <v>0</v>
      </c>
      <c r="BQ1040" s="6">
        <v>0</v>
      </c>
      <c r="BR1040" s="6">
        <v>0</v>
      </c>
      <c r="BS1040" s="6">
        <v>0</v>
      </c>
      <c r="BT1040" s="6">
        <v>0</v>
      </c>
      <c r="BU1040" s="6">
        <v>0</v>
      </c>
      <c r="BV1040" s="6">
        <v>0</v>
      </c>
      <c r="BW1040" s="6">
        <v>0</v>
      </c>
      <c r="BX1040" s="6">
        <v>0</v>
      </c>
      <c r="BY1040" s="6">
        <v>0</v>
      </c>
      <c r="BZ1040" s="6">
        <v>0</v>
      </c>
      <c r="CA1040" s="6">
        <v>0</v>
      </c>
      <c r="CB1040" s="6">
        <v>0</v>
      </c>
      <c r="CC1040" s="6">
        <f>IF(Table3[[#This Row],[Type]]="EM",IF((Table3[[#This Row],[Diameter]]/2)-Table3[[#This Row],[CornerRadius]]-0.012&gt;0,(Table3[[#This Row],[Diameter]]/2)-Table3[[#This Row],[CornerRadius]]-0.012,0),)</f>
        <v>0</v>
      </c>
      <c r="CE1040" s="6" t="str">
        <f>IF(Table3[[#This Row],[ShoulderLength]]="","",IF(Table3[[#This Row],[ShoulderLength]]&lt;Table3[[#This Row],[LOC]],"FIX",""))</f>
        <v/>
      </c>
    </row>
    <row r="1041" spans="1:83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v>0</v>
      </c>
      <c r="BN1041" s="6">
        <v>0</v>
      </c>
      <c r="BO1041" s="6">
        <v>0</v>
      </c>
      <c r="BP1041" s="6">
        <v>0</v>
      </c>
      <c r="BQ1041" s="6">
        <v>0</v>
      </c>
      <c r="BR1041" s="6">
        <v>0</v>
      </c>
      <c r="BS1041" s="6">
        <v>0</v>
      </c>
      <c r="BT1041" s="6">
        <v>0</v>
      </c>
      <c r="BU1041" s="6">
        <v>0</v>
      </c>
      <c r="BV1041" s="6">
        <v>0</v>
      </c>
      <c r="BW1041" s="6">
        <v>0</v>
      </c>
      <c r="BX1041" s="6">
        <v>0</v>
      </c>
      <c r="BY1041" s="6">
        <v>0</v>
      </c>
      <c r="BZ1041" s="6">
        <v>0</v>
      </c>
      <c r="CA1041" s="6">
        <v>0</v>
      </c>
      <c r="CB1041" s="6">
        <v>0</v>
      </c>
      <c r="CC1041" s="6">
        <f>IF(Table3[[#This Row],[Type]]="EM",IF((Table3[[#This Row],[Diameter]]/2)-Table3[[#This Row],[CornerRadius]]-0.012&gt;0,(Table3[[#This Row],[Diameter]]/2)-Table3[[#This Row],[CornerRadius]]-0.012,0),)</f>
        <v>0</v>
      </c>
      <c r="CE1041" s="6" t="str">
        <f>IF(Table3[[#This Row],[ShoulderLength]]="","",IF(Table3[[#This Row],[ShoulderLength]]&lt;Table3[[#This Row],[LOC]],"FIX",""))</f>
        <v/>
      </c>
    </row>
    <row r="1042" spans="1:83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v>0</v>
      </c>
      <c r="BN1042" s="6">
        <v>0</v>
      </c>
      <c r="BO1042" s="6">
        <v>0</v>
      </c>
      <c r="BP1042" s="6">
        <v>0</v>
      </c>
      <c r="BQ1042" s="6">
        <v>0</v>
      </c>
      <c r="BR1042" s="6">
        <v>0</v>
      </c>
      <c r="BS1042" s="6">
        <v>0</v>
      </c>
      <c r="BT1042" s="6">
        <v>0</v>
      </c>
      <c r="BU1042" s="6">
        <v>0</v>
      </c>
      <c r="BV1042" s="6">
        <v>0</v>
      </c>
      <c r="BW1042" s="6">
        <v>0</v>
      </c>
      <c r="BX1042" s="6">
        <v>0</v>
      </c>
      <c r="BY1042" s="6">
        <v>0</v>
      </c>
      <c r="BZ1042" s="6">
        <v>0</v>
      </c>
      <c r="CA1042" s="6">
        <v>0</v>
      </c>
      <c r="CB1042" s="6">
        <v>0</v>
      </c>
      <c r="CC1042" s="6">
        <f>IF(Table3[[#This Row],[Type]]="EM",IF((Table3[[#This Row],[Diameter]]/2)-Table3[[#This Row],[CornerRadius]]-0.012&gt;0,(Table3[[#This Row],[Diameter]]/2)-Table3[[#This Row],[CornerRadius]]-0.012,0),)</f>
        <v>0</v>
      </c>
      <c r="CE1042" s="6" t="str">
        <f>IF(Table3[[#This Row],[ShoulderLength]]="","",IF(Table3[[#This Row],[ShoulderLength]]&lt;Table3[[#This Row],[LOC]],"FIX",""))</f>
        <v/>
      </c>
    </row>
    <row r="1043" spans="1:83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v>0</v>
      </c>
      <c r="BN1043" s="6">
        <v>0</v>
      </c>
      <c r="BO1043" s="6">
        <v>0</v>
      </c>
      <c r="BP1043" s="6">
        <v>0</v>
      </c>
      <c r="BQ1043" s="6">
        <v>0</v>
      </c>
      <c r="BR1043" s="6">
        <v>0</v>
      </c>
      <c r="BS1043" s="6">
        <v>0</v>
      </c>
      <c r="BT1043" s="6">
        <v>0</v>
      </c>
      <c r="BU1043" s="6">
        <v>0</v>
      </c>
      <c r="BV1043" s="6">
        <v>0</v>
      </c>
      <c r="BW1043" s="6">
        <v>0</v>
      </c>
      <c r="BX1043" s="6">
        <v>0</v>
      </c>
      <c r="BY1043" s="6">
        <v>0</v>
      </c>
      <c r="BZ1043" s="6">
        <v>0</v>
      </c>
      <c r="CA1043" s="6">
        <v>0</v>
      </c>
      <c r="CB1043" s="6">
        <v>0</v>
      </c>
      <c r="CC1043" s="6">
        <f>IF(Table3[[#This Row],[Type]]="EM",IF((Table3[[#This Row],[Diameter]]/2)-Table3[[#This Row],[CornerRadius]]-0.012&gt;0,(Table3[[#This Row],[Diameter]]/2)-Table3[[#This Row],[CornerRadius]]-0.012,0),)</f>
        <v>0</v>
      </c>
      <c r="CE1043" s="6" t="str">
        <f>IF(Table3[[#This Row],[ShoulderLength]]="","",IF(Table3[[#This Row],[ShoulderLength]]&lt;Table3[[#This Row],[LOC]],"FIX",""))</f>
        <v/>
      </c>
    </row>
    <row r="1044" spans="1:83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v>0</v>
      </c>
      <c r="BN1044" s="6">
        <v>0</v>
      </c>
      <c r="BO1044" s="6">
        <v>0</v>
      </c>
      <c r="BP1044" s="6">
        <v>0</v>
      </c>
      <c r="BQ1044" s="6">
        <v>0</v>
      </c>
      <c r="BR1044" s="6">
        <v>0</v>
      </c>
      <c r="BS1044" s="6">
        <v>0</v>
      </c>
      <c r="BT1044" s="6">
        <v>0</v>
      </c>
      <c r="BU1044" s="6">
        <v>0</v>
      </c>
      <c r="BV1044" s="6">
        <v>0</v>
      </c>
      <c r="BW1044" s="6">
        <v>0</v>
      </c>
      <c r="BX1044" s="6">
        <v>0</v>
      </c>
      <c r="BY1044" s="6">
        <v>0</v>
      </c>
      <c r="BZ1044" s="6">
        <v>0</v>
      </c>
      <c r="CA1044" s="6">
        <v>0</v>
      </c>
      <c r="CB1044" s="6">
        <v>0</v>
      </c>
      <c r="CC1044" s="6">
        <f>IF(Table3[[#This Row],[Type]]="EM",IF((Table3[[#This Row],[Diameter]]/2)-Table3[[#This Row],[CornerRadius]]-0.012&gt;0,(Table3[[#This Row],[Diameter]]/2)-Table3[[#This Row],[CornerRadius]]-0.012,0),)</f>
        <v>0</v>
      </c>
      <c r="CE1044" s="6" t="str">
        <f>IF(Table3[[#This Row],[ShoulderLength]]="","",IF(Table3[[#This Row],[ShoulderLength]]&lt;Table3[[#This Row],[LOC]],"FIX",""))</f>
        <v/>
      </c>
    </row>
    <row r="1045" spans="1:83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v>0</v>
      </c>
      <c r="BN1045" s="6">
        <v>0</v>
      </c>
      <c r="BO1045" s="6">
        <v>0</v>
      </c>
      <c r="BP1045" s="6">
        <v>0</v>
      </c>
      <c r="BQ1045" s="6">
        <v>0</v>
      </c>
      <c r="BR1045" s="6">
        <v>0</v>
      </c>
      <c r="BS1045" s="6">
        <v>0</v>
      </c>
      <c r="BT1045" s="6">
        <v>0</v>
      </c>
      <c r="BU1045" s="6">
        <v>0</v>
      </c>
      <c r="BV1045" s="6">
        <v>0</v>
      </c>
      <c r="BW1045" s="6">
        <v>0</v>
      </c>
      <c r="BX1045" s="6">
        <v>0</v>
      </c>
      <c r="BY1045" s="6">
        <v>0</v>
      </c>
      <c r="BZ1045" s="6">
        <v>0</v>
      </c>
      <c r="CA1045" s="6">
        <v>0</v>
      </c>
      <c r="CB1045" s="6">
        <v>0</v>
      </c>
      <c r="CC1045" s="6">
        <f>IF(Table3[[#This Row],[Type]]="EM",IF((Table3[[#This Row],[Diameter]]/2)-Table3[[#This Row],[CornerRadius]]-0.012&gt;0,(Table3[[#This Row],[Diameter]]/2)-Table3[[#This Row],[CornerRadius]]-0.012,0),)</f>
        <v>0</v>
      </c>
      <c r="CE1045" s="6" t="str">
        <f>IF(Table3[[#This Row],[ShoulderLength]]="","",IF(Table3[[#This Row],[ShoulderLength]]&lt;Table3[[#This Row],[LOC]],"FIX",""))</f>
        <v/>
      </c>
    </row>
    <row r="1046" spans="1:83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v>0</v>
      </c>
      <c r="BN1046" s="6">
        <v>0</v>
      </c>
      <c r="BO1046" s="6">
        <v>0</v>
      </c>
      <c r="BP1046" s="6">
        <v>0</v>
      </c>
      <c r="BQ1046" s="6">
        <v>0</v>
      </c>
      <c r="BR1046" s="6">
        <v>0</v>
      </c>
      <c r="BS1046" s="6">
        <v>0</v>
      </c>
      <c r="BT1046" s="6">
        <v>0</v>
      </c>
      <c r="BU1046" s="6">
        <v>0</v>
      </c>
      <c r="BV1046" s="6">
        <v>0</v>
      </c>
      <c r="BW1046" s="6">
        <v>0</v>
      </c>
      <c r="BX1046" s="6">
        <v>0</v>
      </c>
      <c r="BY1046" s="6">
        <v>0</v>
      </c>
      <c r="BZ1046" s="6">
        <v>0</v>
      </c>
      <c r="CA1046" s="6">
        <v>0</v>
      </c>
      <c r="CB1046" s="6">
        <v>0</v>
      </c>
      <c r="CC1046" s="6">
        <f>IF(Table3[[#This Row],[Type]]="EM",IF((Table3[[#This Row],[Diameter]]/2)-Table3[[#This Row],[CornerRadius]]-0.012&gt;0,(Table3[[#This Row],[Diameter]]/2)-Table3[[#This Row],[CornerRadius]]-0.012,0),)</f>
        <v>0</v>
      </c>
      <c r="CE1046" s="6" t="str">
        <f>IF(Table3[[#This Row],[ShoulderLength]]="","",IF(Table3[[#This Row],[ShoulderLength]]&lt;Table3[[#This Row],[LOC]],"FIX",""))</f>
        <v/>
      </c>
    </row>
    <row r="1047" spans="1:83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v>0</v>
      </c>
      <c r="BN1047" s="6">
        <v>0</v>
      </c>
      <c r="BO1047" s="6">
        <v>0</v>
      </c>
      <c r="BP1047" s="6">
        <v>0</v>
      </c>
      <c r="BQ1047" s="6">
        <v>0</v>
      </c>
      <c r="BR1047" s="6">
        <v>0</v>
      </c>
      <c r="BS1047" s="6">
        <v>0</v>
      </c>
      <c r="BT1047" s="6">
        <v>0</v>
      </c>
      <c r="BU1047" s="6">
        <v>0</v>
      </c>
      <c r="BV1047" s="6">
        <v>0</v>
      </c>
      <c r="BW1047" s="6">
        <v>0</v>
      </c>
      <c r="BX1047" s="6">
        <v>0</v>
      </c>
      <c r="BY1047" s="6">
        <v>0</v>
      </c>
      <c r="BZ1047" s="6">
        <v>0</v>
      </c>
      <c r="CA1047" s="6">
        <v>0</v>
      </c>
      <c r="CB1047" s="6">
        <v>0</v>
      </c>
      <c r="CC1047" s="6">
        <f>IF(Table3[[#This Row],[Type]]="EM",IF((Table3[[#This Row],[Diameter]]/2)-Table3[[#This Row],[CornerRadius]]-0.012&gt;0,(Table3[[#This Row],[Diameter]]/2)-Table3[[#This Row],[CornerRadius]]-0.012,0),)</f>
        <v>0</v>
      </c>
      <c r="CE1047" s="6" t="str">
        <f>IF(Table3[[#This Row],[ShoulderLength]]="","",IF(Table3[[#This Row],[ShoulderLength]]&lt;Table3[[#This Row],[LOC]],"FIX",""))</f>
        <v/>
      </c>
    </row>
    <row r="1048" spans="1:83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v>0</v>
      </c>
      <c r="BN1048" s="6">
        <v>0</v>
      </c>
      <c r="BO1048" s="6">
        <v>0</v>
      </c>
      <c r="BP1048" s="6">
        <v>0</v>
      </c>
      <c r="BQ1048" s="6">
        <v>0</v>
      </c>
      <c r="BR1048" s="6">
        <v>0</v>
      </c>
      <c r="BS1048" s="6">
        <v>0</v>
      </c>
      <c r="BT1048" s="6">
        <v>0</v>
      </c>
      <c r="BU1048" s="6">
        <v>0</v>
      </c>
      <c r="BV1048" s="6">
        <v>0</v>
      </c>
      <c r="BW1048" s="6">
        <v>0</v>
      </c>
      <c r="BX1048" s="6">
        <v>0</v>
      </c>
      <c r="BY1048" s="6">
        <v>0</v>
      </c>
      <c r="BZ1048" s="6">
        <v>0</v>
      </c>
      <c r="CA1048" s="6">
        <v>0</v>
      </c>
      <c r="CB1048" s="6">
        <v>0</v>
      </c>
      <c r="CC1048" s="6">
        <f>IF(Table3[[#This Row],[Type]]="EM",IF((Table3[[#This Row],[Diameter]]/2)-Table3[[#This Row],[CornerRadius]]-0.012&gt;0,(Table3[[#This Row],[Diameter]]/2)-Table3[[#This Row],[CornerRadius]]-0.012,0),)</f>
        <v>0</v>
      </c>
      <c r="CE1048" s="6" t="str">
        <f>IF(Table3[[#This Row],[ShoulderLength]]="","",IF(Table3[[#This Row],[ShoulderLength]]&lt;Table3[[#This Row],[LOC]],"FIX",""))</f>
        <v/>
      </c>
    </row>
    <row r="1049" spans="1:83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v>0</v>
      </c>
      <c r="BN1049" s="6">
        <v>0</v>
      </c>
      <c r="BO1049" s="6">
        <v>0</v>
      </c>
      <c r="BP1049" s="6">
        <v>0</v>
      </c>
      <c r="BQ1049" s="6">
        <v>0</v>
      </c>
      <c r="BR1049" s="6">
        <v>0</v>
      </c>
      <c r="BS1049" s="6">
        <v>0</v>
      </c>
      <c r="BT1049" s="6">
        <v>0</v>
      </c>
      <c r="BU1049" s="6">
        <v>0</v>
      </c>
      <c r="BV1049" s="6">
        <v>0</v>
      </c>
      <c r="BW1049" s="6">
        <v>0</v>
      </c>
      <c r="BX1049" s="6">
        <v>0</v>
      </c>
      <c r="BY1049" s="6">
        <v>0</v>
      </c>
      <c r="BZ1049" s="6">
        <v>0</v>
      </c>
      <c r="CA1049" s="6">
        <v>0</v>
      </c>
      <c r="CB1049" s="6">
        <v>0</v>
      </c>
      <c r="CC1049" s="6">
        <f>IF(Table3[[#This Row],[Type]]="EM",IF((Table3[[#This Row],[Diameter]]/2)-Table3[[#This Row],[CornerRadius]]-0.012&gt;0,(Table3[[#This Row],[Diameter]]/2)-Table3[[#This Row],[CornerRadius]]-0.012,0),)</f>
        <v>0</v>
      </c>
      <c r="CE1049" s="6" t="str">
        <f>IF(Table3[[#This Row],[ShoulderLength]]="","",IF(Table3[[#This Row],[ShoulderLength]]&lt;Table3[[#This Row],[LOC]],"FIX",""))</f>
        <v/>
      </c>
    </row>
    <row r="1050" spans="1:83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v>0</v>
      </c>
      <c r="BN1050" s="6">
        <v>0</v>
      </c>
      <c r="BO1050" s="6">
        <v>0</v>
      </c>
      <c r="BP1050" s="6">
        <v>0</v>
      </c>
      <c r="BQ1050" s="6">
        <v>0</v>
      </c>
      <c r="BR1050" s="6">
        <v>0</v>
      </c>
      <c r="BS1050" s="6">
        <v>0</v>
      </c>
      <c r="BT1050" s="6">
        <v>0</v>
      </c>
      <c r="BU1050" s="6">
        <v>0</v>
      </c>
      <c r="BV1050" s="6">
        <v>0</v>
      </c>
      <c r="BW1050" s="6">
        <v>0</v>
      </c>
      <c r="BX1050" s="6">
        <v>0</v>
      </c>
      <c r="BY1050" s="6">
        <v>0</v>
      </c>
      <c r="BZ1050" s="6">
        <v>0</v>
      </c>
      <c r="CA1050" s="6">
        <v>0</v>
      </c>
      <c r="CB1050" s="6">
        <v>0</v>
      </c>
      <c r="CC1050" s="6">
        <f>IF(Table3[[#This Row],[Type]]="EM",IF((Table3[[#This Row],[Diameter]]/2)-Table3[[#This Row],[CornerRadius]]-0.012&gt;0,(Table3[[#This Row],[Diameter]]/2)-Table3[[#This Row],[CornerRadius]]-0.012,0),)</f>
        <v>0</v>
      </c>
      <c r="CE1050" s="6" t="str">
        <f>IF(Table3[[#This Row],[ShoulderLength]]="","",IF(Table3[[#This Row],[ShoulderLength]]&lt;Table3[[#This Row],[LOC]],"FIX",""))</f>
        <v/>
      </c>
    </row>
    <row r="1051" spans="1:83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v>0</v>
      </c>
      <c r="BN1051" s="6">
        <v>0</v>
      </c>
      <c r="BO1051" s="6">
        <v>0</v>
      </c>
      <c r="BP1051" s="6">
        <v>0</v>
      </c>
      <c r="BQ1051" s="6">
        <v>0</v>
      </c>
      <c r="BR1051" s="6">
        <v>0</v>
      </c>
      <c r="BS1051" s="6">
        <v>0</v>
      </c>
      <c r="BT1051" s="6">
        <v>0</v>
      </c>
      <c r="BU1051" s="6">
        <v>0</v>
      </c>
      <c r="BV1051" s="6">
        <v>0</v>
      </c>
      <c r="BW1051" s="6">
        <v>0</v>
      </c>
      <c r="BX1051" s="6">
        <v>0</v>
      </c>
      <c r="BY1051" s="6">
        <v>0</v>
      </c>
      <c r="BZ1051" s="6">
        <v>0</v>
      </c>
      <c r="CA1051" s="6">
        <v>0</v>
      </c>
      <c r="CB1051" s="6">
        <v>0</v>
      </c>
      <c r="CC1051" s="6">
        <f>IF(Table3[[#This Row],[Type]]="EM",IF((Table3[[#This Row],[Diameter]]/2)-Table3[[#This Row],[CornerRadius]]-0.012&gt;0,(Table3[[#This Row],[Diameter]]/2)-Table3[[#This Row],[CornerRadius]]-0.012,0),)</f>
        <v>0</v>
      </c>
      <c r="CE1051" s="6" t="str">
        <f>IF(Table3[[#This Row],[ShoulderLength]]="","",IF(Table3[[#This Row],[ShoulderLength]]&lt;Table3[[#This Row],[LOC]],"FIX",""))</f>
        <v/>
      </c>
    </row>
    <row r="1052" spans="1:83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v>0</v>
      </c>
      <c r="BN1052" s="6">
        <v>0</v>
      </c>
      <c r="BO1052" s="6">
        <v>0</v>
      </c>
      <c r="BP1052" s="6">
        <v>0</v>
      </c>
      <c r="BQ1052" s="6">
        <v>0</v>
      </c>
      <c r="BR1052" s="6">
        <v>0</v>
      </c>
      <c r="BS1052" s="6">
        <v>0</v>
      </c>
      <c r="BT1052" s="6">
        <v>0</v>
      </c>
      <c r="BU1052" s="6">
        <v>0</v>
      </c>
      <c r="BV1052" s="6">
        <v>0</v>
      </c>
      <c r="BW1052" s="6">
        <v>0</v>
      </c>
      <c r="BX1052" s="6">
        <v>0</v>
      </c>
      <c r="BY1052" s="6">
        <v>0</v>
      </c>
      <c r="BZ1052" s="6">
        <v>0</v>
      </c>
      <c r="CA1052" s="6">
        <v>0</v>
      </c>
      <c r="CB1052" s="6">
        <v>0</v>
      </c>
      <c r="CC1052" s="6">
        <f>IF(Table3[[#This Row],[Type]]="EM",IF((Table3[[#This Row],[Diameter]]/2)-Table3[[#This Row],[CornerRadius]]-0.012&gt;0,(Table3[[#This Row],[Diameter]]/2)-Table3[[#This Row],[CornerRadius]]-0.012,0),)</f>
        <v>0</v>
      </c>
      <c r="CE1052" s="6" t="str">
        <f>IF(Table3[[#This Row],[ShoulderLength]]="","",IF(Table3[[#This Row],[ShoulderLength]]&lt;Table3[[#This Row],[LOC]],"FIX",""))</f>
        <v/>
      </c>
    </row>
    <row r="1053" spans="1:83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v>0</v>
      </c>
      <c r="BN1053" s="6">
        <v>0</v>
      </c>
      <c r="BO1053" s="6">
        <v>0</v>
      </c>
      <c r="BP1053" s="6">
        <v>0</v>
      </c>
      <c r="BQ1053" s="6">
        <v>0</v>
      </c>
      <c r="BR1053" s="6">
        <v>0</v>
      </c>
      <c r="BS1053" s="6">
        <v>0</v>
      </c>
      <c r="BT1053" s="6">
        <v>0</v>
      </c>
      <c r="BU1053" s="6">
        <v>0</v>
      </c>
      <c r="BV1053" s="6">
        <v>0</v>
      </c>
      <c r="BW1053" s="6">
        <v>0</v>
      </c>
      <c r="BX1053" s="6">
        <v>0</v>
      </c>
      <c r="BY1053" s="6">
        <v>0</v>
      </c>
      <c r="BZ1053" s="6">
        <v>0</v>
      </c>
      <c r="CA1053" s="6">
        <v>0</v>
      </c>
      <c r="CB1053" s="6">
        <v>0</v>
      </c>
      <c r="CC1053" s="6">
        <f>IF(Table3[[#This Row],[Type]]="EM",IF((Table3[[#This Row],[Diameter]]/2)-Table3[[#This Row],[CornerRadius]]-0.012&gt;0,(Table3[[#This Row],[Diameter]]/2)-Table3[[#This Row],[CornerRadius]]-0.012,0),)</f>
        <v>0</v>
      </c>
      <c r="CE1053" s="6" t="str">
        <f>IF(Table3[[#This Row],[ShoulderLength]]="","",IF(Table3[[#This Row],[ShoulderLength]]&lt;Table3[[#This Row],[LOC]],"FIX",""))</f>
        <v/>
      </c>
    </row>
    <row r="1054" spans="1:83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v>0</v>
      </c>
      <c r="BN1054" s="6">
        <v>0</v>
      </c>
      <c r="BO1054" s="6">
        <v>0</v>
      </c>
      <c r="BP1054" s="6">
        <v>0</v>
      </c>
      <c r="BQ1054" s="6">
        <v>0</v>
      </c>
      <c r="BR1054" s="6">
        <v>0</v>
      </c>
      <c r="BS1054" s="6">
        <v>0</v>
      </c>
      <c r="BT1054" s="6">
        <v>0</v>
      </c>
      <c r="BU1054" s="6">
        <v>0</v>
      </c>
      <c r="BV1054" s="6">
        <v>0</v>
      </c>
      <c r="BW1054" s="6">
        <v>0</v>
      </c>
      <c r="BX1054" s="6">
        <v>0</v>
      </c>
      <c r="BY1054" s="6">
        <v>0</v>
      </c>
      <c r="BZ1054" s="6">
        <v>0</v>
      </c>
      <c r="CA1054" s="6">
        <v>0</v>
      </c>
      <c r="CB1054" s="6">
        <v>0</v>
      </c>
      <c r="CC1054" s="6">
        <f>IF(Table3[[#This Row],[Type]]="EM",IF((Table3[[#This Row],[Diameter]]/2)-Table3[[#This Row],[CornerRadius]]-0.012&gt;0,(Table3[[#This Row],[Diameter]]/2)-Table3[[#This Row],[CornerRadius]]-0.012,0),)</f>
        <v>0</v>
      </c>
      <c r="CE1054" s="6" t="str">
        <f>IF(Table3[[#This Row],[ShoulderLength]]="","",IF(Table3[[#This Row],[ShoulderLength]]&lt;Table3[[#This Row],[LOC]],"FIX",""))</f>
        <v/>
      </c>
    </row>
    <row r="1055" spans="1:83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v>0</v>
      </c>
      <c r="BN1055" s="6">
        <v>0</v>
      </c>
      <c r="BO1055" s="6">
        <v>0</v>
      </c>
      <c r="BP1055" s="6">
        <v>0</v>
      </c>
      <c r="BQ1055" s="6">
        <v>0</v>
      </c>
      <c r="BR1055" s="6">
        <v>0</v>
      </c>
      <c r="BS1055" s="6">
        <v>0</v>
      </c>
      <c r="BT1055" s="6">
        <v>0</v>
      </c>
      <c r="BU1055" s="6">
        <v>0</v>
      </c>
      <c r="BV1055" s="6">
        <v>0</v>
      </c>
      <c r="BW1055" s="6">
        <v>0</v>
      </c>
      <c r="BX1055" s="6">
        <v>0</v>
      </c>
      <c r="BY1055" s="6">
        <v>0</v>
      </c>
      <c r="BZ1055" s="6">
        <v>0</v>
      </c>
      <c r="CA1055" s="6">
        <v>0</v>
      </c>
      <c r="CB1055" s="6">
        <v>0</v>
      </c>
      <c r="CC1055" s="6">
        <f>IF(Table3[[#This Row],[Type]]="EM",IF((Table3[[#This Row],[Diameter]]/2)-Table3[[#This Row],[CornerRadius]]-0.012&gt;0,(Table3[[#This Row],[Diameter]]/2)-Table3[[#This Row],[CornerRadius]]-0.012,0),)</f>
        <v>0</v>
      </c>
      <c r="CE1055" s="6" t="str">
        <f>IF(Table3[[#This Row],[ShoulderLength]]="","",IF(Table3[[#This Row],[ShoulderLength]]&lt;Table3[[#This Row],[LOC]],"FIX",""))</f>
        <v/>
      </c>
    </row>
    <row r="1056" spans="1:83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v>0</v>
      </c>
      <c r="BN1056" s="6">
        <v>0</v>
      </c>
      <c r="BO1056" s="6">
        <v>0</v>
      </c>
      <c r="BP1056" s="6">
        <v>0</v>
      </c>
      <c r="BQ1056" s="6">
        <v>0</v>
      </c>
      <c r="BR1056" s="6">
        <v>0</v>
      </c>
      <c r="BS1056" s="6">
        <v>0</v>
      </c>
      <c r="BT1056" s="6">
        <v>0</v>
      </c>
      <c r="BU1056" s="6">
        <v>0</v>
      </c>
      <c r="BV1056" s="6">
        <v>0</v>
      </c>
      <c r="BW1056" s="6">
        <v>0</v>
      </c>
      <c r="BX1056" s="6">
        <v>0</v>
      </c>
      <c r="BY1056" s="6">
        <v>0</v>
      </c>
      <c r="BZ1056" s="6">
        <v>0</v>
      </c>
      <c r="CA1056" s="6">
        <v>0</v>
      </c>
      <c r="CB1056" s="6">
        <v>0</v>
      </c>
      <c r="CC1056" s="6">
        <f>IF(Table3[[#This Row],[Type]]="EM",IF((Table3[[#This Row],[Diameter]]/2)-Table3[[#This Row],[CornerRadius]]-0.012&gt;0,(Table3[[#This Row],[Diameter]]/2)-Table3[[#This Row],[CornerRadius]]-0.012,0),)</f>
        <v>0</v>
      </c>
      <c r="CE1056" s="6" t="str">
        <f>IF(Table3[[#This Row],[ShoulderLength]]="","",IF(Table3[[#This Row],[ShoulderLength]]&lt;Table3[[#This Row],[LOC]],"FIX",""))</f>
        <v/>
      </c>
    </row>
    <row r="1057" spans="1:83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v>0</v>
      </c>
      <c r="BN1057" s="6">
        <v>0</v>
      </c>
      <c r="BO1057" s="6">
        <v>0</v>
      </c>
      <c r="BP1057" s="6">
        <v>0</v>
      </c>
      <c r="BQ1057" s="6">
        <v>0</v>
      </c>
      <c r="BR1057" s="6">
        <v>0</v>
      </c>
      <c r="BS1057" s="6">
        <v>0</v>
      </c>
      <c r="BT1057" s="6">
        <v>0</v>
      </c>
      <c r="BU1057" s="6">
        <v>0</v>
      </c>
      <c r="BV1057" s="6">
        <v>0</v>
      </c>
      <c r="BW1057" s="6">
        <v>0</v>
      </c>
      <c r="BX1057" s="6">
        <v>0</v>
      </c>
      <c r="BY1057" s="6">
        <v>0</v>
      </c>
      <c r="BZ1057" s="6">
        <v>0</v>
      </c>
      <c r="CA1057" s="6">
        <v>0</v>
      </c>
      <c r="CB1057" s="6">
        <v>0</v>
      </c>
      <c r="CC1057" s="6">
        <f>IF(Table3[[#This Row],[Type]]="EM",IF((Table3[[#This Row],[Diameter]]/2)-Table3[[#This Row],[CornerRadius]]-0.012&gt;0,(Table3[[#This Row],[Diameter]]/2)-Table3[[#This Row],[CornerRadius]]-0.012,0),)</f>
        <v>0</v>
      </c>
      <c r="CE1057" s="6" t="str">
        <f>IF(Table3[[#This Row],[ShoulderLength]]="","",IF(Table3[[#This Row],[ShoulderLength]]&lt;Table3[[#This Row],[LOC]],"FIX",""))</f>
        <v/>
      </c>
    </row>
    <row r="1058" spans="1:83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v>0</v>
      </c>
      <c r="BN1058" s="6">
        <v>0</v>
      </c>
      <c r="BO1058" s="6">
        <v>0</v>
      </c>
      <c r="BP1058" s="6">
        <v>0</v>
      </c>
      <c r="BQ1058" s="6">
        <v>0</v>
      </c>
      <c r="BR1058" s="6">
        <v>0</v>
      </c>
      <c r="BS1058" s="6">
        <v>0</v>
      </c>
      <c r="BT1058" s="6">
        <v>0</v>
      </c>
      <c r="BU1058" s="6">
        <v>0</v>
      </c>
      <c r="BV1058" s="6">
        <v>0</v>
      </c>
      <c r="BW1058" s="6">
        <v>0</v>
      </c>
      <c r="BX1058" s="6">
        <v>0</v>
      </c>
      <c r="BY1058" s="6">
        <v>0</v>
      </c>
      <c r="BZ1058" s="6">
        <v>0</v>
      </c>
      <c r="CA1058" s="6">
        <v>0</v>
      </c>
      <c r="CB1058" s="6">
        <v>0</v>
      </c>
      <c r="CC1058" s="6">
        <f>IF(Table3[[#This Row],[Type]]="EM",IF((Table3[[#This Row],[Diameter]]/2)-Table3[[#This Row],[CornerRadius]]-0.012&gt;0,(Table3[[#This Row],[Diameter]]/2)-Table3[[#This Row],[CornerRadius]]-0.012,0),)</f>
        <v>0</v>
      </c>
      <c r="CE1058" s="6" t="str">
        <f>IF(Table3[[#This Row],[ShoulderLength]]="","",IF(Table3[[#This Row],[ShoulderLength]]&lt;Table3[[#This Row],[LOC]],"FIX",""))</f>
        <v/>
      </c>
    </row>
    <row r="1059" spans="1:83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v>0</v>
      </c>
      <c r="BN1059" s="6">
        <v>0</v>
      </c>
      <c r="BO1059" s="6">
        <v>0</v>
      </c>
      <c r="BP1059" s="6">
        <v>0</v>
      </c>
      <c r="BQ1059" s="6">
        <v>0</v>
      </c>
      <c r="BR1059" s="6">
        <v>0</v>
      </c>
      <c r="BS1059" s="6">
        <v>0</v>
      </c>
      <c r="BT1059" s="6">
        <v>0</v>
      </c>
      <c r="BU1059" s="6">
        <v>0</v>
      </c>
      <c r="BV1059" s="6">
        <v>0</v>
      </c>
      <c r="BW1059" s="6">
        <v>0</v>
      </c>
      <c r="BX1059" s="6">
        <v>0</v>
      </c>
      <c r="BY1059" s="6">
        <v>0</v>
      </c>
      <c r="BZ1059" s="6">
        <v>0</v>
      </c>
      <c r="CA1059" s="6">
        <v>0</v>
      </c>
      <c r="CB1059" s="6">
        <v>0</v>
      </c>
      <c r="CC1059" s="6">
        <f>IF(Table3[[#This Row],[Type]]="EM",IF((Table3[[#This Row],[Diameter]]/2)-Table3[[#This Row],[CornerRadius]]-0.012&gt;0,(Table3[[#This Row],[Diameter]]/2)-Table3[[#This Row],[CornerRadius]]-0.012,0),)</f>
        <v>0</v>
      </c>
      <c r="CE1059" s="6" t="str">
        <f>IF(Table3[[#This Row],[ShoulderLength]]="","",IF(Table3[[#This Row],[ShoulderLength]]&lt;Table3[[#This Row],[LOC]],"FIX",""))</f>
        <v/>
      </c>
    </row>
    <row r="1060" spans="1:83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v>0</v>
      </c>
      <c r="BN1060" s="6">
        <v>0</v>
      </c>
      <c r="BO1060" s="6">
        <v>0</v>
      </c>
      <c r="BP1060" s="6">
        <v>0</v>
      </c>
      <c r="BQ1060" s="6">
        <v>0</v>
      </c>
      <c r="BR1060" s="6">
        <v>0</v>
      </c>
      <c r="BS1060" s="6">
        <v>0</v>
      </c>
      <c r="BT1060" s="6">
        <v>0</v>
      </c>
      <c r="BU1060" s="6">
        <v>0</v>
      </c>
      <c r="BV1060" s="6">
        <v>0</v>
      </c>
      <c r="BW1060" s="6">
        <v>0</v>
      </c>
      <c r="BX1060" s="6">
        <v>0</v>
      </c>
      <c r="BY1060" s="6">
        <v>0</v>
      </c>
      <c r="BZ1060" s="6">
        <v>0</v>
      </c>
      <c r="CA1060" s="6">
        <v>0</v>
      </c>
      <c r="CB1060" s="6">
        <v>0</v>
      </c>
      <c r="CC1060" s="6">
        <f>IF(Table3[[#This Row],[Type]]="EM",IF((Table3[[#This Row],[Diameter]]/2)-Table3[[#This Row],[CornerRadius]]-0.012&gt;0,(Table3[[#This Row],[Diameter]]/2)-Table3[[#This Row],[CornerRadius]]-0.012,0),)</f>
        <v>0</v>
      </c>
      <c r="CE1060" s="6" t="str">
        <f>IF(Table3[[#This Row],[ShoulderLength]]="","",IF(Table3[[#This Row],[ShoulderLength]]&lt;Table3[[#This Row],[LOC]],"FIX",""))</f>
        <v>FIX</v>
      </c>
    </row>
    <row r="1061" spans="1:83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v>0</v>
      </c>
      <c r="BN1061" s="6">
        <v>0</v>
      </c>
      <c r="BO1061" s="6">
        <v>0</v>
      </c>
      <c r="BP1061" s="6">
        <v>0</v>
      </c>
      <c r="BQ1061" s="6">
        <v>0</v>
      </c>
      <c r="BR1061" s="6">
        <v>0</v>
      </c>
      <c r="BS1061" s="6">
        <v>0</v>
      </c>
      <c r="BT1061" s="6">
        <v>0</v>
      </c>
      <c r="BU1061" s="6">
        <v>0</v>
      </c>
      <c r="BV1061" s="6">
        <v>0</v>
      </c>
      <c r="BW1061" s="6">
        <v>0</v>
      </c>
      <c r="BX1061" s="6">
        <v>0</v>
      </c>
      <c r="BY1061" s="6">
        <v>0</v>
      </c>
      <c r="BZ1061" s="6">
        <v>0</v>
      </c>
      <c r="CA1061" s="6">
        <v>0</v>
      </c>
      <c r="CB1061" s="6">
        <v>0</v>
      </c>
      <c r="CC1061" s="6">
        <f>IF(Table3[[#This Row],[Type]]="EM",IF((Table3[[#This Row],[Diameter]]/2)-Table3[[#This Row],[CornerRadius]]-0.012&gt;0,(Table3[[#This Row],[Diameter]]/2)-Table3[[#This Row],[CornerRadius]]-0.012,0),)</f>
        <v>0</v>
      </c>
      <c r="CE1061" s="6" t="str">
        <f>IF(Table3[[#This Row],[ShoulderLength]]="","",IF(Table3[[#This Row],[ShoulderLength]]&lt;Table3[[#This Row],[LOC]],"FIX",""))</f>
        <v/>
      </c>
    </row>
    <row r="1062" spans="1:83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v>0</v>
      </c>
      <c r="BN1062" s="6">
        <v>0</v>
      </c>
      <c r="BO1062" s="6">
        <v>0</v>
      </c>
      <c r="BP1062" s="6">
        <v>0</v>
      </c>
      <c r="BQ1062" s="6">
        <v>0</v>
      </c>
      <c r="BR1062" s="6">
        <v>0</v>
      </c>
      <c r="BS1062" s="6">
        <v>0</v>
      </c>
      <c r="BT1062" s="6">
        <v>0</v>
      </c>
      <c r="BU1062" s="6">
        <v>0</v>
      </c>
      <c r="BV1062" s="6">
        <v>0</v>
      </c>
      <c r="BW1062" s="6">
        <v>0</v>
      </c>
      <c r="BX1062" s="6">
        <v>0</v>
      </c>
      <c r="BY1062" s="6">
        <v>0</v>
      </c>
      <c r="BZ1062" s="6">
        <v>0</v>
      </c>
      <c r="CA1062" s="6">
        <v>0</v>
      </c>
      <c r="CB1062" s="6">
        <v>0</v>
      </c>
      <c r="CC1062" s="6">
        <f>IF(Table3[[#This Row],[Type]]="EM",IF((Table3[[#This Row],[Diameter]]/2)-Table3[[#This Row],[CornerRadius]]-0.012&gt;0,(Table3[[#This Row],[Diameter]]/2)-Table3[[#This Row],[CornerRadius]]-0.012,0),)</f>
        <v>0</v>
      </c>
      <c r="CE1062" s="6" t="str">
        <f>IF(Table3[[#This Row],[ShoulderLength]]="","",IF(Table3[[#This Row],[ShoulderLength]]&lt;Table3[[#This Row],[LOC]],"FIX",""))</f>
        <v/>
      </c>
    </row>
    <row r="1063" spans="1:83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v>0</v>
      </c>
      <c r="BN1063" s="6">
        <v>0</v>
      </c>
      <c r="BO1063" s="6">
        <v>0</v>
      </c>
      <c r="BP1063" s="6">
        <v>0</v>
      </c>
      <c r="BQ1063" s="6">
        <v>0</v>
      </c>
      <c r="BR1063" s="6">
        <v>0</v>
      </c>
      <c r="BS1063" s="6">
        <v>0</v>
      </c>
      <c r="BT1063" s="6">
        <v>0</v>
      </c>
      <c r="BU1063" s="6">
        <v>0</v>
      </c>
      <c r="BV1063" s="6">
        <v>0</v>
      </c>
      <c r="BW1063" s="6">
        <v>0</v>
      </c>
      <c r="BX1063" s="6">
        <v>0</v>
      </c>
      <c r="BY1063" s="6">
        <v>0</v>
      </c>
      <c r="BZ1063" s="6">
        <v>0</v>
      </c>
      <c r="CA1063" s="6">
        <v>0</v>
      </c>
      <c r="CB1063" s="6">
        <v>0</v>
      </c>
      <c r="CC1063" s="6">
        <f>IF(Table3[[#This Row],[Type]]="EM",IF((Table3[[#This Row],[Diameter]]/2)-Table3[[#This Row],[CornerRadius]]-0.012&gt;0,(Table3[[#This Row],[Diameter]]/2)-Table3[[#This Row],[CornerRadius]]-0.012,0),)</f>
        <v>0</v>
      </c>
      <c r="CE1063" s="6" t="str">
        <f>IF(Table3[[#This Row],[ShoulderLength]]="","",IF(Table3[[#This Row],[ShoulderLength]]&lt;Table3[[#This Row],[LOC]],"FIX",""))</f>
        <v/>
      </c>
    </row>
    <row r="1064" spans="1:83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v>0</v>
      </c>
      <c r="BN1064" s="6">
        <v>0</v>
      </c>
      <c r="BO1064" s="6">
        <v>0</v>
      </c>
      <c r="BP1064" s="6">
        <v>0</v>
      </c>
      <c r="BQ1064" s="6">
        <v>0</v>
      </c>
      <c r="BR1064" s="6">
        <v>0</v>
      </c>
      <c r="BS1064" s="6">
        <v>0</v>
      </c>
      <c r="BT1064" s="6">
        <v>0</v>
      </c>
      <c r="BU1064" s="6">
        <v>0</v>
      </c>
      <c r="BV1064" s="6">
        <v>0</v>
      </c>
      <c r="BW1064" s="6">
        <v>0</v>
      </c>
      <c r="BX1064" s="6">
        <v>0</v>
      </c>
      <c r="BY1064" s="6">
        <v>0</v>
      </c>
      <c r="BZ1064" s="6">
        <v>0</v>
      </c>
      <c r="CA1064" s="6">
        <v>0</v>
      </c>
      <c r="CB1064" s="6">
        <v>0</v>
      </c>
      <c r="CC1064" s="6">
        <f>IF(Table3[[#This Row],[Type]]="EM",IF((Table3[[#This Row],[Diameter]]/2)-Table3[[#This Row],[CornerRadius]]-0.012&gt;0,(Table3[[#This Row],[Diameter]]/2)-Table3[[#This Row],[CornerRadius]]-0.012,0),)</f>
        <v>0</v>
      </c>
      <c r="CE1064" s="6" t="str">
        <f>IF(Table3[[#This Row],[ShoulderLength]]="","",IF(Table3[[#This Row],[ShoulderLength]]&lt;Table3[[#This Row],[LOC]],"FIX",""))</f>
        <v/>
      </c>
    </row>
    <row r="1065" spans="1:83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v>0</v>
      </c>
      <c r="BN1065" s="6">
        <v>0</v>
      </c>
      <c r="BO1065" s="6">
        <v>0</v>
      </c>
      <c r="BP1065" s="6">
        <v>0</v>
      </c>
      <c r="BQ1065" s="6">
        <v>0</v>
      </c>
      <c r="BR1065" s="6">
        <v>0</v>
      </c>
      <c r="BS1065" s="6">
        <v>0</v>
      </c>
      <c r="BT1065" s="6">
        <v>0</v>
      </c>
      <c r="BU1065" s="6">
        <v>0</v>
      </c>
      <c r="BV1065" s="6">
        <v>0</v>
      </c>
      <c r="BW1065" s="6">
        <v>0</v>
      </c>
      <c r="BX1065" s="6">
        <v>0</v>
      </c>
      <c r="BY1065" s="6">
        <v>0</v>
      </c>
      <c r="BZ1065" s="6">
        <v>0</v>
      </c>
      <c r="CA1065" s="6">
        <v>0</v>
      </c>
      <c r="CB1065" s="6">
        <v>0</v>
      </c>
      <c r="CC1065" s="6">
        <f>IF(Table3[[#This Row],[Type]]="EM",IF((Table3[[#This Row],[Diameter]]/2)-Table3[[#This Row],[CornerRadius]]-0.012&gt;0,(Table3[[#This Row],[Diameter]]/2)-Table3[[#This Row],[CornerRadius]]-0.012,0),)</f>
        <v>0</v>
      </c>
      <c r="CE1065" s="6" t="str">
        <f>IF(Table3[[#This Row],[ShoulderLength]]="","",IF(Table3[[#This Row],[ShoulderLength]]&lt;Table3[[#This Row],[LOC]],"FIX",""))</f>
        <v/>
      </c>
    </row>
    <row r="1066" spans="1:83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v>0</v>
      </c>
      <c r="BN1066" s="6">
        <v>0</v>
      </c>
      <c r="BO1066" s="6">
        <v>0</v>
      </c>
      <c r="BP1066" s="6">
        <v>0</v>
      </c>
      <c r="BQ1066" s="6">
        <v>0</v>
      </c>
      <c r="BR1066" s="6">
        <v>0</v>
      </c>
      <c r="BS1066" s="6">
        <v>0</v>
      </c>
      <c r="BT1066" s="6">
        <v>0</v>
      </c>
      <c r="BU1066" s="6">
        <v>0</v>
      </c>
      <c r="BV1066" s="6">
        <v>0</v>
      </c>
      <c r="BW1066" s="6">
        <v>0</v>
      </c>
      <c r="BX1066" s="6">
        <v>0</v>
      </c>
      <c r="BY1066" s="6">
        <v>0</v>
      </c>
      <c r="BZ1066" s="6">
        <v>0</v>
      </c>
      <c r="CA1066" s="6">
        <v>0</v>
      </c>
      <c r="CB1066" s="6">
        <v>0</v>
      </c>
      <c r="CC1066" s="6">
        <f>IF(Table3[[#This Row],[Type]]="EM",IF((Table3[[#This Row],[Diameter]]/2)-Table3[[#This Row],[CornerRadius]]-0.012&gt;0,(Table3[[#This Row],[Diameter]]/2)-Table3[[#This Row],[CornerRadius]]-0.012,0),)</f>
        <v>0</v>
      </c>
      <c r="CE1066" s="6" t="str">
        <f>IF(Table3[[#This Row],[ShoulderLength]]="","",IF(Table3[[#This Row],[ShoulderLength]]&lt;Table3[[#This Row],[LOC]],"FIX",""))</f>
        <v/>
      </c>
    </row>
    <row r="1067" spans="1:83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v>0</v>
      </c>
      <c r="BN1067" s="6">
        <v>0</v>
      </c>
      <c r="BO1067" s="6">
        <v>0</v>
      </c>
      <c r="BP1067" s="6">
        <v>0</v>
      </c>
      <c r="BQ1067" s="6">
        <v>0</v>
      </c>
      <c r="BR1067" s="6">
        <v>0</v>
      </c>
      <c r="BS1067" s="6">
        <v>0</v>
      </c>
      <c r="BT1067" s="6">
        <v>0</v>
      </c>
      <c r="BU1067" s="6">
        <v>0</v>
      </c>
      <c r="BV1067" s="6">
        <v>0</v>
      </c>
      <c r="BW1067" s="6">
        <v>0</v>
      </c>
      <c r="BX1067" s="6">
        <v>0</v>
      </c>
      <c r="BY1067" s="6">
        <v>0</v>
      </c>
      <c r="BZ1067" s="6">
        <v>0</v>
      </c>
      <c r="CA1067" s="6">
        <v>0</v>
      </c>
      <c r="CB1067" s="6">
        <v>0</v>
      </c>
      <c r="CC1067" s="6">
        <f>IF(Table3[[#This Row],[Type]]="EM",IF((Table3[[#This Row],[Diameter]]/2)-Table3[[#This Row],[CornerRadius]]-0.012&gt;0,(Table3[[#This Row],[Diameter]]/2)-Table3[[#This Row],[CornerRadius]]-0.012,0),)</f>
        <v>0</v>
      </c>
      <c r="CE1067" s="6" t="str">
        <f>IF(Table3[[#This Row],[ShoulderLength]]="","",IF(Table3[[#This Row],[ShoulderLength]]&lt;Table3[[#This Row],[LOC]],"FIX",""))</f>
        <v/>
      </c>
    </row>
    <row r="1068" spans="1:83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v>0</v>
      </c>
      <c r="BN1068" s="6">
        <v>0</v>
      </c>
      <c r="BO1068" s="6">
        <v>0</v>
      </c>
      <c r="BP1068" s="6">
        <v>0</v>
      </c>
      <c r="BQ1068" s="6">
        <v>0</v>
      </c>
      <c r="BR1068" s="6">
        <v>0</v>
      </c>
      <c r="BS1068" s="6">
        <v>0</v>
      </c>
      <c r="BT1068" s="6">
        <v>0</v>
      </c>
      <c r="BU1068" s="6">
        <v>0</v>
      </c>
      <c r="BV1068" s="6">
        <v>0</v>
      </c>
      <c r="BW1068" s="6">
        <v>0</v>
      </c>
      <c r="BX1068" s="6">
        <v>0</v>
      </c>
      <c r="BY1068" s="6">
        <v>0</v>
      </c>
      <c r="BZ1068" s="6">
        <v>0</v>
      </c>
      <c r="CA1068" s="6">
        <v>0</v>
      </c>
      <c r="CB1068" s="6">
        <v>0</v>
      </c>
      <c r="CC1068" s="6">
        <f>IF(Table3[[#This Row],[Type]]="EM",IF((Table3[[#This Row],[Diameter]]/2)-Table3[[#This Row],[CornerRadius]]-0.012&gt;0,(Table3[[#This Row],[Diameter]]/2)-Table3[[#This Row],[CornerRadius]]-0.012,0),)</f>
        <v>0</v>
      </c>
      <c r="CE1068" s="6" t="str">
        <f>IF(Table3[[#This Row],[ShoulderLength]]="","",IF(Table3[[#This Row],[ShoulderLength]]&lt;Table3[[#This Row],[LOC]],"FIX",""))</f>
        <v/>
      </c>
    </row>
    <row r="1069" spans="1:83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v>0</v>
      </c>
      <c r="BN1069" s="6">
        <v>0</v>
      </c>
      <c r="BO1069" s="6">
        <v>0</v>
      </c>
      <c r="BP1069" s="6">
        <v>0</v>
      </c>
      <c r="BQ1069" s="6">
        <v>0</v>
      </c>
      <c r="BR1069" s="6">
        <v>0</v>
      </c>
      <c r="BS1069" s="6">
        <v>0</v>
      </c>
      <c r="BT1069" s="6">
        <v>0</v>
      </c>
      <c r="BU1069" s="6">
        <v>0</v>
      </c>
      <c r="BV1069" s="6">
        <v>0</v>
      </c>
      <c r="BW1069" s="6">
        <v>0</v>
      </c>
      <c r="BX1069" s="6">
        <v>0</v>
      </c>
      <c r="BY1069" s="6">
        <v>0</v>
      </c>
      <c r="BZ1069" s="6">
        <v>0</v>
      </c>
      <c r="CA1069" s="6">
        <v>0</v>
      </c>
      <c r="CB1069" s="6">
        <v>0</v>
      </c>
      <c r="CC1069" s="6">
        <f>IF(Table3[[#This Row],[Type]]="EM",IF((Table3[[#This Row],[Diameter]]/2)-Table3[[#This Row],[CornerRadius]]-0.012&gt;0,(Table3[[#This Row],[Diameter]]/2)-Table3[[#This Row],[CornerRadius]]-0.012,0),)</f>
        <v>0</v>
      </c>
      <c r="CE1069" s="6" t="str">
        <f>IF(Table3[[#This Row],[ShoulderLength]]="","",IF(Table3[[#This Row],[ShoulderLength]]&lt;Table3[[#This Row],[LOC]],"FIX",""))</f>
        <v/>
      </c>
    </row>
    <row r="1070" spans="1:83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v>0</v>
      </c>
      <c r="BN1070" s="6">
        <v>0</v>
      </c>
      <c r="BO1070" s="6">
        <v>0</v>
      </c>
      <c r="BP1070" s="6">
        <v>0</v>
      </c>
      <c r="BQ1070" s="6">
        <v>0</v>
      </c>
      <c r="BR1070" s="6">
        <v>0</v>
      </c>
      <c r="BS1070" s="6">
        <v>0</v>
      </c>
      <c r="BT1070" s="6">
        <v>0</v>
      </c>
      <c r="BU1070" s="6">
        <v>0</v>
      </c>
      <c r="BV1070" s="6">
        <v>0</v>
      </c>
      <c r="BW1070" s="6">
        <v>0</v>
      </c>
      <c r="BX1070" s="6">
        <v>0</v>
      </c>
      <c r="BY1070" s="6">
        <v>0</v>
      </c>
      <c r="BZ1070" s="6">
        <v>0</v>
      </c>
      <c r="CA1070" s="6">
        <v>0</v>
      </c>
      <c r="CB1070" s="6">
        <v>0</v>
      </c>
      <c r="CC1070" s="6">
        <f>IF(Table3[[#This Row],[Type]]="EM",IF((Table3[[#This Row],[Diameter]]/2)-Table3[[#This Row],[CornerRadius]]-0.012&gt;0,(Table3[[#This Row],[Diameter]]/2)-Table3[[#This Row],[CornerRadius]]-0.012,0),)</f>
        <v>0</v>
      </c>
      <c r="CE1070" s="6" t="str">
        <f>IF(Table3[[#This Row],[ShoulderLength]]="","",IF(Table3[[#This Row],[ShoulderLength]]&lt;Table3[[#This Row],[LOC]],"FIX",""))</f>
        <v/>
      </c>
    </row>
    <row r="1071" spans="1:83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v>0</v>
      </c>
      <c r="BN1071" s="6">
        <v>0</v>
      </c>
      <c r="BO1071" s="6">
        <v>0</v>
      </c>
      <c r="BP1071" s="6">
        <v>0</v>
      </c>
      <c r="BQ1071" s="6">
        <v>0</v>
      </c>
      <c r="BR1071" s="6">
        <v>0</v>
      </c>
      <c r="BS1071" s="6">
        <v>0</v>
      </c>
      <c r="BT1071" s="6">
        <v>0</v>
      </c>
      <c r="BU1071" s="6">
        <v>0</v>
      </c>
      <c r="BV1071" s="6">
        <v>0</v>
      </c>
      <c r="BW1071" s="6">
        <v>0</v>
      </c>
      <c r="BX1071" s="6">
        <v>0</v>
      </c>
      <c r="BY1071" s="6">
        <v>0</v>
      </c>
      <c r="BZ1071" s="6">
        <v>0</v>
      </c>
      <c r="CA1071" s="6">
        <v>0</v>
      </c>
      <c r="CB1071" s="6">
        <v>0</v>
      </c>
      <c r="CC1071" s="6">
        <f>IF(Table3[[#This Row],[Type]]="EM",IF((Table3[[#This Row],[Diameter]]/2)-Table3[[#This Row],[CornerRadius]]-0.012&gt;0,(Table3[[#This Row],[Diameter]]/2)-Table3[[#This Row],[CornerRadius]]-0.012,0),)</f>
        <v>0</v>
      </c>
      <c r="CE1071" s="6" t="str">
        <f>IF(Table3[[#This Row],[ShoulderLength]]="","",IF(Table3[[#This Row],[ShoulderLength]]&lt;Table3[[#This Row],[LOC]],"FIX",""))</f>
        <v/>
      </c>
    </row>
    <row r="1072" spans="1:83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v>0</v>
      </c>
      <c r="BN1072" s="6">
        <v>0</v>
      </c>
      <c r="BO1072" s="6">
        <v>0</v>
      </c>
      <c r="BP1072" s="6">
        <v>0</v>
      </c>
      <c r="BQ1072" s="6">
        <v>0</v>
      </c>
      <c r="BR1072" s="6">
        <v>0</v>
      </c>
      <c r="BS1072" s="6">
        <v>0</v>
      </c>
      <c r="BT1072" s="6">
        <v>0</v>
      </c>
      <c r="BU1072" s="6">
        <v>0</v>
      </c>
      <c r="BV1072" s="6">
        <v>0</v>
      </c>
      <c r="BW1072" s="6">
        <v>0</v>
      </c>
      <c r="BX1072" s="6">
        <v>0</v>
      </c>
      <c r="BY1072" s="6">
        <v>0</v>
      </c>
      <c r="BZ1072" s="6">
        <v>0</v>
      </c>
      <c r="CA1072" s="6">
        <v>0</v>
      </c>
      <c r="CB1072" s="6">
        <v>0</v>
      </c>
      <c r="CC1072" s="6">
        <f>IF(Table3[[#This Row],[Type]]="EM",IF((Table3[[#This Row],[Diameter]]/2)-Table3[[#This Row],[CornerRadius]]-0.012&gt;0,(Table3[[#This Row],[Diameter]]/2)-Table3[[#This Row],[CornerRadius]]-0.012,0),)</f>
        <v>0</v>
      </c>
      <c r="CE1072" s="6" t="str">
        <f>IF(Table3[[#This Row],[ShoulderLength]]="","",IF(Table3[[#This Row],[ShoulderLength]]&lt;Table3[[#This Row],[LOC]],"FIX",""))</f>
        <v/>
      </c>
    </row>
    <row r="1073" spans="1:83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v>0</v>
      </c>
      <c r="BN1073" s="6">
        <v>0</v>
      </c>
      <c r="BO1073" s="6">
        <v>0</v>
      </c>
      <c r="BP1073" s="6">
        <v>0</v>
      </c>
      <c r="BQ1073" s="6">
        <v>0</v>
      </c>
      <c r="BR1073" s="6">
        <v>0</v>
      </c>
      <c r="BS1073" s="6">
        <v>0</v>
      </c>
      <c r="BT1073" s="6">
        <v>0</v>
      </c>
      <c r="BU1073" s="6">
        <v>0</v>
      </c>
      <c r="BV1073" s="6">
        <v>0</v>
      </c>
      <c r="BW1073" s="6">
        <v>0</v>
      </c>
      <c r="BX1073" s="6">
        <v>0</v>
      </c>
      <c r="BY1073" s="6">
        <v>0</v>
      </c>
      <c r="BZ1073" s="6">
        <v>0</v>
      </c>
      <c r="CA1073" s="6">
        <v>0</v>
      </c>
      <c r="CB1073" s="6">
        <v>0</v>
      </c>
      <c r="CC1073" s="6">
        <f>IF(Table3[[#This Row],[Type]]="EM",IF((Table3[[#This Row],[Diameter]]/2)-Table3[[#This Row],[CornerRadius]]-0.012&gt;0,(Table3[[#This Row],[Diameter]]/2)-Table3[[#This Row],[CornerRadius]]-0.012,0),)</f>
        <v>0</v>
      </c>
      <c r="CE1073" s="6" t="str">
        <f>IF(Table3[[#This Row],[ShoulderLength]]="","",IF(Table3[[#This Row],[ShoulderLength]]&lt;Table3[[#This Row],[LOC]],"FIX",""))</f>
        <v/>
      </c>
    </row>
    <row r="1074" spans="1:83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v>0</v>
      </c>
      <c r="BN1074" s="6">
        <v>0</v>
      </c>
      <c r="BO1074" s="6">
        <v>0</v>
      </c>
      <c r="BP1074" s="6">
        <v>0</v>
      </c>
      <c r="BQ1074" s="6">
        <v>0</v>
      </c>
      <c r="BR1074" s="6">
        <v>0</v>
      </c>
      <c r="BS1074" s="6">
        <v>0</v>
      </c>
      <c r="BT1074" s="6">
        <v>0</v>
      </c>
      <c r="BU1074" s="6">
        <v>0</v>
      </c>
      <c r="BV1074" s="6">
        <v>0</v>
      </c>
      <c r="BW1074" s="6">
        <v>0</v>
      </c>
      <c r="BX1074" s="6">
        <v>0</v>
      </c>
      <c r="BY1074" s="6">
        <v>0</v>
      </c>
      <c r="BZ1074" s="6">
        <v>0</v>
      </c>
      <c r="CA1074" s="6">
        <v>0</v>
      </c>
      <c r="CB1074" s="6">
        <v>0</v>
      </c>
      <c r="CC1074" s="6">
        <f>IF(Table3[[#This Row],[Type]]="EM",IF((Table3[[#This Row],[Diameter]]/2)-Table3[[#This Row],[CornerRadius]]-0.012&gt;0,(Table3[[#This Row],[Diameter]]/2)-Table3[[#This Row],[CornerRadius]]-0.012,0),)</f>
        <v>0</v>
      </c>
      <c r="CE1074" s="6" t="str">
        <f>IF(Table3[[#This Row],[ShoulderLength]]="","",IF(Table3[[#This Row],[ShoulderLength]]&lt;Table3[[#This Row],[LOC]],"FIX",""))</f>
        <v/>
      </c>
    </row>
    <row r="1075" spans="1:83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v>0</v>
      </c>
      <c r="BN1075" s="6">
        <v>0</v>
      </c>
      <c r="BO1075" s="6">
        <v>0</v>
      </c>
      <c r="BP1075" s="6">
        <v>0</v>
      </c>
      <c r="BQ1075" s="6">
        <v>0</v>
      </c>
      <c r="BR1075" s="6">
        <v>0</v>
      </c>
      <c r="BS1075" s="6">
        <v>0</v>
      </c>
      <c r="BT1075" s="6">
        <v>0</v>
      </c>
      <c r="BU1075" s="6">
        <v>0</v>
      </c>
      <c r="BV1075" s="6">
        <v>0</v>
      </c>
      <c r="BW1075" s="6">
        <v>0</v>
      </c>
      <c r="BX1075" s="6">
        <v>0</v>
      </c>
      <c r="BY1075" s="6">
        <v>0</v>
      </c>
      <c r="BZ1075" s="6">
        <v>0</v>
      </c>
      <c r="CA1075" s="6">
        <v>0</v>
      </c>
      <c r="CB1075" s="6">
        <v>0</v>
      </c>
      <c r="CC1075" s="6">
        <f>IF(Table3[[#This Row],[Type]]="EM",IF((Table3[[#This Row],[Diameter]]/2)-Table3[[#This Row],[CornerRadius]]-0.012&gt;0,(Table3[[#This Row],[Diameter]]/2)-Table3[[#This Row],[CornerRadius]]-0.012,0),)</f>
        <v>0</v>
      </c>
      <c r="CE1075" s="6" t="str">
        <f>IF(Table3[[#This Row],[ShoulderLength]]="","",IF(Table3[[#This Row],[ShoulderLength]]&lt;Table3[[#This Row],[LOC]],"FIX",""))</f>
        <v/>
      </c>
    </row>
    <row r="1076" spans="1:83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v>0</v>
      </c>
      <c r="BN1076" s="6">
        <v>0</v>
      </c>
      <c r="BO1076" s="6">
        <v>0</v>
      </c>
      <c r="BP1076" s="6">
        <v>0</v>
      </c>
      <c r="BQ1076" s="6">
        <v>0</v>
      </c>
      <c r="BR1076" s="6">
        <v>0</v>
      </c>
      <c r="BS1076" s="6">
        <v>0</v>
      </c>
      <c r="BT1076" s="6">
        <v>0</v>
      </c>
      <c r="BU1076" s="6">
        <v>0</v>
      </c>
      <c r="BV1076" s="6">
        <v>0</v>
      </c>
      <c r="BW1076" s="6">
        <v>0</v>
      </c>
      <c r="BX1076" s="6">
        <v>0</v>
      </c>
      <c r="BY1076" s="6">
        <v>0</v>
      </c>
      <c r="BZ1076" s="6">
        <v>0</v>
      </c>
      <c r="CA1076" s="6">
        <v>0</v>
      </c>
      <c r="CB1076" s="6">
        <v>0</v>
      </c>
      <c r="CC1076" s="6">
        <f>IF(Table3[[#This Row],[Type]]="EM",IF((Table3[[#This Row],[Diameter]]/2)-Table3[[#This Row],[CornerRadius]]-0.012&gt;0,(Table3[[#This Row],[Diameter]]/2)-Table3[[#This Row],[CornerRadius]]-0.012,0),)</f>
        <v>0</v>
      </c>
      <c r="CE1076" s="6" t="str">
        <f>IF(Table3[[#This Row],[ShoulderLength]]="","",IF(Table3[[#This Row],[ShoulderLength]]&lt;Table3[[#This Row],[LOC]],"FIX",""))</f>
        <v/>
      </c>
    </row>
    <row r="1077" spans="1:83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v>0</v>
      </c>
      <c r="BN1077" s="6">
        <v>0</v>
      </c>
      <c r="BO1077" s="6">
        <v>0</v>
      </c>
      <c r="BP1077" s="6">
        <v>0</v>
      </c>
      <c r="BQ1077" s="6">
        <v>0</v>
      </c>
      <c r="BR1077" s="6">
        <v>0</v>
      </c>
      <c r="BS1077" s="6">
        <v>0</v>
      </c>
      <c r="BT1077" s="6">
        <v>0</v>
      </c>
      <c r="BU1077" s="6">
        <v>0</v>
      </c>
      <c r="BV1077" s="6">
        <v>0</v>
      </c>
      <c r="BW1077" s="6">
        <v>0</v>
      </c>
      <c r="BX1077" s="6">
        <v>0</v>
      </c>
      <c r="BY1077" s="6">
        <v>0</v>
      </c>
      <c r="BZ1077" s="6">
        <v>0</v>
      </c>
      <c r="CA1077" s="6">
        <v>0</v>
      </c>
      <c r="CB1077" s="6">
        <v>0</v>
      </c>
      <c r="CC1077" s="6">
        <f>IF(Table3[[#This Row],[Type]]="EM",IF((Table3[[#This Row],[Diameter]]/2)-Table3[[#This Row],[CornerRadius]]-0.012&gt;0,(Table3[[#This Row],[Diameter]]/2)-Table3[[#This Row],[CornerRadius]]-0.012,0),)</f>
        <v>0</v>
      </c>
      <c r="CE1077" s="6" t="str">
        <f>IF(Table3[[#This Row],[ShoulderLength]]="","",IF(Table3[[#This Row],[ShoulderLength]]&lt;Table3[[#This Row],[LOC]],"FIX",""))</f>
        <v/>
      </c>
    </row>
    <row r="1078" spans="1:83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v>0</v>
      </c>
      <c r="BN1078" s="6">
        <v>0</v>
      </c>
      <c r="BO1078" s="6">
        <v>0</v>
      </c>
      <c r="BP1078" s="6">
        <v>0</v>
      </c>
      <c r="BQ1078" s="6">
        <v>0</v>
      </c>
      <c r="BR1078" s="6">
        <v>0</v>
      </c>
      <c r="BS1078" s="6">
        <v>0</v>
      </c>
      <c r="BT1078" s="6">
        <v>0</v>
      </c>
      <c r="BU1078" s="6">
        <v>0</v>
      </c>
      <c r="BV1078" s="6">
        <v>0</v>
      </c>
      <c r="BW1078" s="6">
        <v>0</v>
      </c>
      <c r="BX1078" s="6">
        <v>0</v>
      </c>
      <c r="BY1078" s="6">
        <v>0</v>
      </c>
      <c r="BZ1078" s="6">
        <v>0</v>
      </c>
      <c r="CA1078" s="6">
        <v>0</v>
      </c>
      <c r="CB1078" s="6">
        <v>0</v>
      </c>
      <c r="CC1078" s="6">
        <f>IF(Table3[[#This Row],[Type]]="EM",IF((Table3[[#This Row],[Diameter]]/2)-Table3[[#This Row],[CornerRadius]]-0.012&gt;0,(Table3[[#This Row],[Diameter]]/2)-Table3[[#This Row],[CornerRadius]]-0.012,0),)</f>
        <v>0</v>
      </c>
      <c r="CE1078" s="6" t="str">
        <f>IF(Table3[[#This Row],[ShoulderLength]]="","",IF(Table3[[#This Row],[ShoulderLength]]&lt;Table3[[#This Row],[LOC]],"FIX",""))</f>
        <v/>
      </c>
    </row>
    <row r="1079" spans="1:83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v>0</v>
      </c>
      <c r="BN1079" s="6">
        <v>0</v>
      </c>
      <c r="BO1079" s="6">
        <v>0</v>
      </c>
      <c r="BP1079" s="6">
        <v>0</v>
      </c>
      <c r="BQ1079" s="6">
        <v>0</v>
      </c>
      <c r="BR1079" s="6">
        <v>0</v>
      </c>
      <c r="BS1079" s="6">
        <v>0</v>
      </c>
      <c r="BT1079" s="6">
        <v>0</v>
      </c>
      <c r="BU1079" s="6">
        <v>0</v>
      </c>
      <c r="BV1079" s="6">
        <v>0</v>
      </c>
      <c r="BW1079" s="6">
        <v>0</v>
      </c>
      <c r="BX1079" s="6">
        <v>0</v>
      </c>
      <c r="BY1079" s="6">
        <v>0</v>
      </c>
      <c r="BZ1079" s="6">
        <v>0</v>
      </c>
      <c r="CA1079" s="6">
        <v>0</v>
      </c>
      <c r="CB1079" s="6">
        <v>0</v>
      </c>
      <c r="CC1079" s="6">
        <f>IF(Table3[[#This Row],[Type]]="EM",IF((Table3[[#This Row],[Diameter]]/2)-Table3[[#This Row],[CornerRadius]]-0.012&gt;0,(Table3[[#This Row],[Diameter]]/2)-Table3[[#This Row],[CornerRadius]]-0.012,0),)</f>
        <v>0</v>
      </c>
      <c r="CE1079" s="6" t="str">
        <f>IF(Table3[[#This Row],[ShoulderLength]]="","",IF(Table3[[#This Row],[ShoulderLength]]&lt;Table3[[#This Row],[LOC]],"FIX",""))</f>
        <v/>
      </c>
    </row>
    <row r="1080" spans="1:83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v>0</v>
      </c>
      <c r="BN1080" s="6">
        <v>0</v>
      </c>
      <c r="BO1080" s="6">
        <v>0</v>
      </c>
      <c r="BP1080" s="6">
        <v>0</v>
      </c>
      <c r="BQ1080" s="6">
        <v>0</v>
      </c>
      <c r="BR1080" s="6">
        <v>0</v>
      </c>
      <c r="BS1080" s="6">
        <v>0</v>
      </c>
      <c r="BT1080" s="6">
        <v>0</v>
      </c>
      <c r="BU1080" s="6">
        <v>0</v>
      </c>
      <c r="BV1080" s="6">
        <v>0</v>
      </c>
      <c r="BW1080" s="6">
        <v>0</v>
      </c>
      <c r="BX1080" s="6">
        <v>0</v>
      </c>
      <c r="BY1080" s="6">
        <v>0</v>
      </c>
      <c r="BZ1080" s="6">
        <v>0</v>
      </c>
      <c r="CA1080" s="6">
        <v>0</v>
      </c>
      <c r="CB1080" s="6">
        <v>0</v>
      </c>
      <c r="CC1080" s="6">
        <f>IF(Table3[[#This Row],[Type]]="EM",IF((Table3[[#This Row],[Diameter]]/2)-Table3[[#This Row],[CornerRadius]]-0.012&gt;0,(Table3[[#This Row],[Diameter]]/2)-Table3[[#This Row],[CornerRadius]]-0.012,0),)</f>
        <v>0</v>
      </c>
      <c r="CE1080" s="6" t="str">
        <f>IF(Table3[[#This Row],[ShoulderLength]]="","",IF(Table3[[#This Row],[ShoulderLength]]&lt;Table3[[#This Row],[LOC]],"FIX",""))</f>
        <v/>
      </c>
    </row>
    <row r="1081" spans="1:83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v>0</v>
      </c>
      <c r="BN1081" s="6">
        <v>0</v>
      </c>
      <c r="BO1081" s="6">
        <v>0</v>
      </c>
      <c r="BP1081" s="6">
        <v>0</v>
      </c>
      <c r="BQ1081" s="6">
        <v>0</v>
      </c>
      <c r="BR1081" s="6">
        <v>0</v>
      </c>
      <c r="BS1081" s="6">
        <v>0</v>
      </c>
      <c r="BT1081" s="6">
        <v>0</v>
      </c>
      <c r="BU1081" s="6">
        <v>0</v>
      </c>
      <c r="BV1081" s="6">
        <v>0</v>
      </c>
      <c r="BW1081" s="6">
        <v>0</v>
      </c>
      <c r="BX1081" s="6">
        <v>0</v>
      </c>
      <c r="BY1081" s="6">
        <v>0</v>
      </c>
      <c r="BZ1081" s="6">
        <v>0</v>
      </c>
      <c r="CA1081" s="6">
        <v>0</v>
      </c>
      <c r="CB1081" s="6">
        <v>0</v>
      </c>
      <c r="CC1081" s="6">
        <f>IF(Table3[[#This Row],[Type]]="EM",IF((Table3[[#This Row],[Diameter]]/2)-Table3[[#This Row],[CornerRadius]]-0.012&gt;0,(Table3[[#This Row],[Diameter]]/2)-Table3[[#This Row],[CornerRadius]]-0.012,0),)</f>
        <v>0</v>
      </c>
      <c r="CE1081" s="6" t="str">
        <f>IF(Table3[[#This Row],[ShoulderLength]]="","",IF(Table3[[#This Row],[ShoulderLength]]&lt;Table3[[#This Row],[LOC]],"FIX",""))</f>
        <v/>
      </c>
    </row>
    <row r="1082" spans="1:83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v>0</v>
      </c>
      <c r="BN1082" s="6">
        <v>0</v>
      </c>
      <c r="BO1082" s="6">
        <v>0</v>
      </c>
      <c r="BP1082" s="6">
        <v>0</v>
      </c>
      <c r="BQ1082" s="6">
        <v>0</v>
      </c>
      <c r="BR1082" s="6">
        <v>0</v>
      </c>
      <c r="BS1082" s="6">
        <v>0</v>
      </c>
      <c r="BT1082" s="6">
        <v>0</v>
      </c>
      <c r="BU1082" s="6">
        <v>0</v>
      </c>
      <c r="BV1082" s="6">
        <v>0</v>
      </c>
      <c r="BW1082" s="6">
        <v>0</v>
      </c>
      <c r="BX1082" s="6">
        <v>0</v>
      </c>
      <c r="BY1082" s="6">
        <v>0</v>
      </c>
      <c r="BZ1082" s="6">
        <v>0</v>
      </c>
      <c r="CA1082" s="6">
        <v>0</v>
      </c>
      <c r="CB1082" s="6">
        <v>0</v>
      </c>
      <c r="CC1082" s="6">
        <f>IF(Table3[[#This Row],[Type]]="EM",IF((Table3[[#This Row],[Diameter]]/2)-Table3[[#This Row],[CornerRadius]]-0.012&gt;0,(Table3[[#This Row],[Diameter]]/2)-Table3[[#This Row],[CornerRadius]]-0.012,0),)</f>
        <v>0</v>
      </c>
      <c r="CE1082" s="6" t="str">
        <f>IF(Table3[[#This Row],[ShoulderLength]]="","",IF(Table3[[#This Row],[ShoulderLength]]&lt;Table3[[#This Row],[LOC]],"FIX",""))</f>
        <v/>
      </c>
    </row>
    <row r="1083" spans="1:83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v>0</v>
      </c>
      <c r="BN1083" s="6">
        <v>0</v>
      </c>
      <c r="BO1083" s="6">
        <v>0</v>
      </c>
      <c r="BP1083" s="6">
        <v>0</v>
      </c>
      <c r="BQ1083" s="6">
        <v>0</v>
      </c>
      <c r="BR1083" s="6">
        <v>0</v>
      </c>
      <c r="BS1083" s="6">
        <v>0</v>
      </c>
      <c r="BT1083" s="6">
        <v>0</v>
      </c>
      <c r="BU1083" s="6">
        <v>0</v>
      </c>
      <c r="BV1083" s="6">
        <v>0</v>
      </c>
      <c r="BW1083" s="6">
        <v>0</v>
      </c>
      <c r="BX1083" s="6">
        <v>0</v>
      </c>
      <c r="BY1083" s="6">
        <v>0</v>
      </c>
      <c r="BZ1083" s="6">
        <v>0</v>
      </c>
      <c r="CA1083" s="6">
        <v>0</v>
      </c>
      <c r="CB1083" s="6">
        <v>0</v>
      </c>
      <c r="CC1083" s="6">
        <f>IF(Table3[[#This Row],[Type]]="EM",IF((Table3[[#This Row],[Diameter]]/2)-Table3[[#This Row],[CornerRadius]]-0.012&gt;0,(Table3[[#This Row],[Diameter]]/2)-Table3[[#This Row],[CornerRadius]]-0.012,0),)</f>
        <v>0</v>
      </c>
      <c r="CE1083" s="6" t="str">
        <f>IF(Table3[[#This Row],[ShoulderLength]]="","",IF(Table3[[#This Row],[ShoulderLength]]&lt;Table3[[#This Row],[LOC]],"FIX",""))</f>
        <v/>
      </c>
    </row>
    <row r="1084" spans="1:83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v>0</v>
      </c>
      <c r="BN1084" s="6">
        <v>0</v>
      </c>
      <c r="BO1084" s="6">
        <v>0</v>
      </c>
      <c r="BP1084" s="6">
        <v>0</v>
      </c>
      <c r="BQ1084" s="6">
        <v>0</v>
      </c>
      <c r="BR1084" s="6">
        <v>0</v>
      </c>
      <c r="BS1084" s="6">
        <v>0</v>
      </c>
      <c r="BT1084" s="6">
        <v>0</v>
      </c>
      <c r="BU1084" s="6">
        <v>0</v>
      </c>
      <c r="BV1084" s="6">
        <v>0</v>
      </c>
      <c r="BW1084" s="6">
        <v>0</v>
      </c>
      <c r="BX1084" s="6">
        <v>0</v>
      </c>
      <c r="BY1084" s="6">
        <v>0</v>
      </c>
      <c r="BZ1084" s="6">
        <v>0</v>
      </c>
      <c r="CA1084" s="6">
        <v>0</v>
      </c>
      <c r="CB1084" s="6">
        <v>0</v>
      </c>
      <c r="CC1084" s="6">
        <f>IF(Table3[[#This Row],[Type]]="EM",IF((Table3[[#This Row],[Diameter]]/2)-Table3[[#This Row],[CornerRadius]]-0.012&gt;0,(Table3[[#This Row],[Diameter]]/2)-Table3[[#This Row],[CornerRadius]]-0.012,0),)</f>
        <v>0</v>
      </c>
      <c r="CE1084" s="6" t="str">
        <f>IF(Table3[[#This Row],[ShoulderLength]]="","",IF(Table3[[#This Row],[ShoulderLength]]&lt;Table3[[#This Row],[LOC]],"FIX",""))</f>
        <v/>
      </c>
    </row>
    <row r="1085" spans="1:83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v>0</v>
      </c>
      <c r="BN1085" s="6">
        <v>0</v>
      </c>
      <c r="BO1085" s="6">
        <v>0</v>
      </c>
      <c r="BP1085" s="6">
        <v>0</v>
      </c>
      <c r="BQ1085" s="6">
        <v>0</v>
      </c>
      <c r="BR1085" s="6">
        <v>0</v>
      </c>
      <c r="BS1085" s="6">
        <v>0</v>
      </c>
      <c r="BT1085" s="6">
        <v>0</v>
      </c>
      <c r="BU1085" s="6">
        <v>0</v>
      </c>
      <c r="BV1085" s="6">
        <v>0</v>
      </c>
      <c r="BW1085" s="6">
        <v>0</v>
      </c>
      <c r="BX1085" s="6">
        <v>0</v>
      </c>
      <c r="BY1085" s="6">
        <v>0</v>
      </c>
      <c r="BZ1085" s="6">
        <v>0</v>
      </c>
      <c r="CA1085" s="6">
        <v>0</v>
      </c>
      <c r="CB1085" s="6">
        <v>0</v>
      </c>
      <c r="CC1085" s="6">
        <f>IF(Table3[[#This Row],[Type]]="EM",IF((Table3[[#This Row],[Diameter]]/2)-Table3[[#This Row],[CornerRadius]]-0.012&gt;0,(Table3[[#This Row],[Diameter]]/2)-Table3[[#This Row],[CornerRadius]]-0.012,0),)</f>
        <v>0</v>
      </c>
      <c r="CE1085" s="6" t="str">
        <f>IF(Table3[[#This Row],[ShoulderLength]]="","",IF(Table3[[#This Row],[ShoulderLength]]&lt;Table3[[#This Row],[LOC]],"FIX",""))</f>
        <v/>
      </c>
    </row>
    <row r="1086" spans="1:83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v>0</v>
      </c>
      <c r="BN1086" s="6">
        <v>0</v>
      </c>
      <c r="BO1086" s="6">
        <v>0</v>
      </c>
      <c r="BP1086" s="6">
        <v>0</v>
      </c>
      <c r="BQ1086" s="6">
        <v>0</v>
      </c>
      <c r="BR1086" s="6">
        <v>0</v>
      </c>
      <c r="BS1086" s="6">
        <v>0</v>
      </c>
      <c r="BT1086" s="6">
        <v>0</v>
      </c>
      <c r="BU1086" s="6">
        <v>0</v>
      </c>
      <c r="BV1086" s="6">
        <v>0</v>
      </c>
      <c r="BW1086" s="6">
        <v>0</v>
      </c>
      <c r="BX1086" s="6">
        <v>0</v>
      </c>
      <c r="BY1086" s="6">
        <v>0</v>
      </c>
      <c r="BZ1086" s="6">
        <v>0</v>
      </c>
      <c r="CA1086" s="6">
        <v>0</v>
      </c>
      <c r="CB1086" s="6">
        <v>0</v>
      </c>
      <c r="CC1086" s="6">
        <f>IF(Table3[[#This Row],[Type]]="EM",IF((Table3[[#This Row],[Diameter]]/2)-Table3[[#This Row],[CornerRadius]]-0.012&gt;0,(Table3[[#This Row],[Diameter]]/2)-Table3[[#This Row],[CornerRadius]]-0.012,0),)</f>
        <v>0</v>
      </c>
      <c r="CE1086" s="6" t="str">
        <f>IF(Table3[[#This Row],[ShoulderLength]]="","",IF(Table3[[#This Row],[ShoulderLength]]&lt;Table3[[#This Row],[LOC]],"FIX",""))</f>
        <v/>
      </c>
    </row>
    <row r="1087" spans="1:83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v>0</v>
      </c>
      <c r="BN1087" s="6">
        <v>0</v>
      </c>
      <c r="BO1087" s="6">
        <v>0</v>
      </c>
      <c r="BP1087" s="6">
        <v>0</v>
      </c>
      <c r="BQ1087" s="6">
        <v>0</v>
      </c>
      <c r="BR1087" s="6">
        <v>0</v>
      </c>
      <c r="BS1087" s="6">
        <v>0</v>
      </c>
      <c r="BT1087" s="6">
        <v>0</v>
      </c>
      <c r="BU1087" s="6">
        <v>0</v>
      </c>
      <c r="BV1087" s="6">
        <v>0</v>
      </c>
      <c r="BW1087" s="6">
        <v>0</v>
      </c>
      <c r="BX1087" s="6">
        <v>0</v>
      </c>
      <c r="BY1087" s="6">
        <v>0</v>
      </c>
      <c r="BZ1087" s="6">
        <v>0</v>
      </c>
      <c r="CA1087" s="6">
        <v>0</v>
      </c>
      <c r="CB1087" s="6">
        <v>0</v>
      </c>
      <c r="CC1087" s="6">
        <f>IF(Table3[[#This Row],[Type]]="EM",IF((Table3[[#This Row],[Diameter]]/2)-Table3[[#This Row],[CornerRadius]]-0.012&gt;0,(Table3[[#This Row],[Diameter]]/2)-Table3[[#This Row],[CornerRadius]]-0.012,0),)</f>
        <v>0</v>
      </c>
      <c r="CE1087" s="6" t="str">
        <f>IF(Table3[[#This Row],[ShoulderLength]]="","",IF(Table3[[#This Row],[ShoulderLength]]&lt;Table3[[#This Row],[LOC]],"FIX",""))</f>
        <v/>
      </c>
    </row>
    <row r="1088" spans="1:83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v>0</v>
      </c>
      <c r="BN1088" s="6">
        <v>0</v>
      </c>
      <c r="BO1088" s="6">
        <v>0</v>
      </c>
      <c r="BP1088" s="6">
        <v>0</v>
      </c>
      <c r="BQ1088" s="6">
        <v>0</v>
      </c>
      <c r="BR1088" s="6">
        <v>0</v>
      </c>
      <c r="BS1088" s="6">
        <v>0</v>
      </c>
      <c r="BT1088" s="6">
        <v>0</v>
      </c>
      <c r="BU1088" s="6">
        <v>0</v>
      </c>
      <c r="BV1088" s="6">
        <v>0</v>
      </c>
      <c r="BW1088" s="6">
        <v>0</v>
      </c>
      <c r="BX1088" s="6">
        <v>0</v>
      </c>
      <c r="BY1088" s="6">
        <v>0</v>
      </c>
      <c r="BZ1088" s="6">
        <v>0</v>
      </c>
      <c r="CA1088" s="6">
        <v>0</v>
      </c>
      <c r="CB1088" s="6">
        <v>0</v>
      </c>
      <c r="CC1088" s="6">
        <f>IF(Table3[[#This Row],[Type]]="EM",IF((Table3[[#This Row],[Diameter]]/2)-Table3[[#This Row],[CornerRadius]]-0.012&gt;0,(Table3[[#This Row],[Diameter]]/2)-Table3[[#This Row],[CornerRadius]]-0.012,0),)</f>
        <v>0</v>
      </c>
      <c r="CE1088" s="6" t="str">
        <f>IF(Table3[[#This Row],[ShoulderLength]]="","",IF(Table3[[#This Row],[ShoulderLength]]&lt;Table3[[#This Row],[LOC]],"FIX",""))</f>
        <v/>
      </c>
    </row>
    <row r="1089" spans="1:83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v>0</v>
      </c>
      <c r="BN1089" s="6">
        <v>0</v>
      </c>
      <c r="BO1089" s="6">
        <v>0</v>
      </c>
      <c r="BP1089" s="6">
        <v>0</v>
      </c>
      <c r="BQ1089" s="6">
        <v>0</v>
      </c>
      <c r="BR1089" s="6">
        <v>0</v>
      </c>
      <c r="BS1089" s="6">
        <v>0</v>
      </c>
      <c r="BT1089" s="6">
        <v>0</v>
      </c>
      <c r="BU1089" s="6">
        <v>0</v>
      </c>
      <c r="BV1089" s="6">
        <v>0</v>
      </c>
      <c r="BW1089" s="6">
        <v>0</v>
      </c>
      <c r="BX1089" s="6">
        <v>0</v>
      </c>
      <c r="BY1089" s="6">
        <v>0</v>
      </c>
      <c r="BZ1089" s="6">
        <v>0</v>
      </c>
      <c r="CA1089" s="6">
        <v>0</v>
      </c>
      <c r="CB1089" s="6">
        <v>0</v>
      </c>
      <c r="CC1089" s="6">
        <f>IF(Table3[[#This Row],[Type]]="EM",IF((Table3[[#This Row],[Diameter]]/2)-Table3[[#This Row],[CornerRadius]]-0.012&gt;0,(Table3[[#This Row],[Diameter]]/2)-Table3[[#This Row],[CornerRadius]]-0.012,0),)</f>
        <v>0</v>
      </c>
      <c r="CE1089" s="6" t="str">
        <f>IF(Table3[[#This Row],[ShoulderLength]]="","",IF(Table3[[#This Row],[ShoulderLength]]&lt;Table3[[#This Row],[LOC]],"FIX",""))</f>
        <v/>
      </c>
    </row>
    <row r="1090" spans="1:83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v>0</v>
      </c>
      <c r="BN1090" s="6">
        <v>0</v>
      </c>
      <c r="BO1090" s="6">
        <v>0</v>
      </c>
      <c r="BP1090" s="6">
        <v>0</v>
      </c>
      <c r="BQ1090" s="6">
        <v>0</v>
      </c>
      <c r="BR1090" s="6">
        <v>0</v>
      </c>
      <c r="BS1090" s="6">
        <v>0</v>
      </c>
      <c r="BT1090" s="6">
        <v>0</v>
      </c>
      <c r="BU1090" s="6">
        <v>0</v>
      </c>
      <c r="BV1090" s="6">
        <v>0</v>
      </c>
      <c r="BW1090" s="6">
        <v>0</v>
      </c>
      <c r="BX1090" s="6">
        <v>0</v>
      </c>
      <c r="BY1090" s="6">
        <v>0</v>
      </c>
      <c r="BZ1090" s="6">
        <v>0</v>
      </c>
      <c r="CA1090" s="6">
        <v>0</v>
      </c>
      <c r="CB1090" s="6">
        <v>0</v>
      </c>
      <c r="CC1090" s="6">
        <f>IF(Table3[[#This Row],[Type]]="EM",IF((Table3[[#This Row],[Diameter]]/2)-Table3[[#This Row],[CornerRadius]]-0.012&gt;0,(Table3[[#This Row],[Diameter]]/2)-Table3[[#This Row],[CornerRadius]]-0.012,0),)</f>
        <v>0</v>
      </c>
      <c r="CE1090" s="6" t="str">
        <f>IF(Table3[[#This Row],[ShoulderLength]]="","",IF(Table3[[#This Row],[ShoulderLength]]&lt;Table3[[#This Row],[LOC]],"FIX",""))</f>
        <v/>
      </c>
    </row>
    <row r="1091" spans="1:83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v>0</v>
      </c>
      <c r="BN1091" s="6">
        <v>0</v>
      </c>
      <c r="BO1091" s="6">
        <v>0</v>
      </c>
      <c r="BP1091" s="6">
        <v>0</v>
      </c>
      <c r="BQ1091" s="6">
        <v>0</v>
      </c>
      <c r="BR1091" s="6">
        <v>0</v>
      </c>
      <c r="BS1091" s="6">
        <v>0</v>
      </c>
      <c r="BT1091" s="6">
        <v>0</v>
      </c>
      <c r="BU1091" s="6">
        <v>0</v>
      </c>
      <c r="BV1091" s="6">
        <v>0</v>
      </c>
      <c r="BW1091" s="6">
        <v>0</v>
      </c>
      <c r="BX1091" s="6">
        <v>0</v>
      </c>
      <c r="BY1091" s="6">
        <v>0</v>
      </c>
      <c r="BZ1091" s="6">
        <v>0</v>
      </c>
      <c r="CA1091" s="6">
        <v>0</v>
      </c>
      <c r="CB1091" s="6">
        <v>0</v>
      </c>
      <c r="CC1091" s="6">
        <f>IF(Table3[[#This Row],[Type]]="EM",IF((Table3[[#This Row],[Diameter]]/2)-Table3[[#This Row],[CornerRadius]]-0.012&gt;0,(Table3[[#This Row],[Diameter]]/2)-Table3[[#This Row],[CornerRadius]]-0.012,0),)</f>
        <v>0</v>
      </c>
      <c r="CE1091" s="6" t="str">
        <f>IF(Table3[[#This Row],[ShoulderLength]]="","",IF(Table3[[#This Row],[ShoulderLength]]&lt;Table3[[#This Row],[LOC]],"FIX",""))</f>
        <v>FIX</v>
      </c>
    </row>
    <row r="1092" spans="1:83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v>0</v>
      </c>
      <c r="BN1092" s="6">
        <v>0</v>
      </c>
      <c r="BO1092" s="6">
        <v>0</v>
      </c>
      <c r="BP1092" s="6">
        <v>0</v>
      </c>
      <c r="BQ1092" s="6">
        <v>0</v>
      </c>
      <c r="BR1092" s="6">
        <v>0</v>
      </c>
      <c r="BS1092" s="6">
        <v>0</v>
      </c>
      <c r="BT1092" s="6">
        <v>0</v>
      </c>
      <c r="BU1092" s="6">
        <v>0</v>
      </c>
      <c r="BV1092" s="6">
        <v>0</v>
      </c>
      <c r="BW1092" s="6">
        <v>0</v>
      </c>
      <c r="BX1092" s="6">
        <v>0</v>
      </c>
      <c r="BY1092" s="6">
        <v>0</v>
      </c>
      <c r="BZ1092" s="6">
        <v>0</v>
      </c>
      <c r="CA1092" s="6">
        <v>0</v>
      </c>
      <c r="CB1092" s="6">
        <v>0</v>
      </c>
      <c r="CC1092" s="6">
        <f>IF(Table3[[#This Row],[Type]]="EM",IF((Table3[[#This Row],[Diameter]]/2)-Table3[[#This Row],[CornerRadius]]-0.012&gt;0,(Table3[[#This Row],[Diameter]]/2)-Table3[[#This Row],[CornerRadius]]-0.012,0),)</f>
        <v>0</v>
      </c>
      <c r="CE1092" s="6" t="str">
        <f>IF(Table3[[#This Row],[ShoulderLength]]="","",IF(Table3[[#This Row],[ShoulderLength]]&lt;Table3[[#This Row],[LOC]],"FIX",""))</f>
        <v/>
      </c>
    </row>
    <row r="1093" spans="1:83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v>0</v>
      </c>
      <c r="BN1093" s="6">
        <v>0</v>
      </c>
      <c r="BO1093" s="6">
        <v>0</v>
      </c>
      <c r="BP1093" s="6">
        <v>0</v>
      </c>
      <c r="BQ1093" s="6">
        <v>0</v>
      </c>
      <c r="BR1093" s="6">
        <v>0</v>
      </c>
      <c r="BS1093" s="6">
        <v>0</v>
      </c>
      <c r="BT1093" s="6">
        <v>0</v>
      </c>
      <c r="BU1093" s="6">
        <v>0</v>
      </c>
      <c r="BV1093" s="6">
        <v>0</v>
      </c>
      <c r="BW1093" s="6">
        <v>0</v>
      </c>
      <c r="BX1093" s="6">
        <v>0</v>
      </c>
      <c r="BY1093" s="6">
        <v>0</v>
      </c>
      <c r="BZ1093" s="6">
        <v>0</v>
      </c>
      <c r="CA1093" s="6">
        <v>0</v>
      </c>
      <c r="CB1093" s="6">
        <v>0</v>
      </c>
      <c r="CC1093" s="6">
        <f>IF(Table3[[#This Row],[Type]]="EM",IF((Table3[[#This Row],[Diameter]]/2)-Table3[[#This Row],[CornerRadius]]-0.012&gt;0,(Table3[[#This Row],[Diameter]]/2)-Table3[[#This Row],[CornerRadius]]-0.012,0),)</f>
        <v>0</v>
      </c>
      <c r="CE1093" s="6" t="str">
        <f>IF(Table3[[#This Row],[ShoulderLength]]="","",IF(Table3[[#This Row],[ShoulderLength]]&lt;Table3[[#This Row],[LOC]],"FIX",""))</f>
        <v/>
      </c>
    </row>
    <row r="1094" spans="1:83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v>0</v>
      </c>
      <c r="BN1094" s="6">
        <v>0</v>
      </c>
      <c r="BO1094" s="6">
        <v>0</v>
      </c>
      <c r="BP1094" s="6">
        <v>0</v>
      </c>
      <c r="BQ1094" s="6">
        <v>0</v>
      </c>
      <c r="BR1094" s="6">
        <v>0</v>
      </c>
      <c r="BS1094" s="6">
        <v>0</v>
      </c>
      <c r="BT1094" s="6">
        <v>0</v>
      </c>
      <c r="BU1094" s="6">
        <v>0</v>
      </c>
      <c r="BV1094" s="6">
        <v>0</v>
      </c>
      <c r="BW1094" s="6">
        <v>0</v>
      </c>
      <c r="BX1094" s="6">
        <v>0</v>
      </c>
      <c r="BY1094" s="6">
        <v>0</v>
      </c>
      <c r="BZ1094" s="6">
        <v>0</v>
      </c>
      <c r="CA1094" s="6">
        <v>0</v>
      </c>
      <c r="CB1094" s="6">
        <v>0</v>
      </c>
      <c r="CC1094" s="6">
        <f>IF(Table3[[#This Row],[Type]]="EM",IF((Table3[[#This Row],[Diameter]]/2)-Table3[[#This Row],[CornerRadius]]-0.012&gt;0,(Table3[[#This Row],[Diameter]]/2)-Table3[[#This Row],[CornerRadius]]-0.012,0),)</f>
        <v>0</v>
      </c>
      <c r="CE1094" s="6" t="str">
        <f>IF(Table3[[#This Row],[ShoulderLength]]="","",IF(Table3[[#This Row],[ShoulderLength]]&lt;Table3[[#This Row],[LOC]],"FIX",""))</f>
        <v/>
      </c>
    </row>
    <row r="1095" spans="1:83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v>0</v>
      </c>
      <c r="BN1095" s="6">
        <v>0</v>
      </c>
      <c r="BO1095" s="6">
        <v>0</v>
      </c>
      <c r="BP1095" s="6">
        <v>0</v>
      </c>
      <c r="BQ1095" s="6">
        <v>0</v>
      </c>
      <c r="BR1095" s="6">
        <v>0</v>
      </c>
      <c r="BS1095" s="6">
        <v>0</v>
      </c>
      <c r="BT1095" s="6">
        <v>0</v>
      </c>
      <c r="BU1095" s="6">
        <v>0</v>
      </c>
      <c r="BV1095" s="6">
        <v>0</v>
      </c>
      <c r="BW1095" s="6">
        <v>0</v>
      </c>
      <c r="BX1095" s="6">
        <v>0</v>
      </c>
      <c r="BY1095" s="6">
        <v>0</v>
      </c>
      <c r="BZ1095" s="6">
        <v>0</v>
      </c>
      <c r="CA1095" s="6">
        <v>0</v>
      </c>
      <c r="CB1095" s="6">
        <v>0</v>
      </c>
      <c r="CC1095" s="6">
        <f>IF(Table3[[#This Row],[Type]]="EM",IF((Table3[[#This Row],[Diameter]]/2)-Table3[[#This Row],[CornerRadius]]-0.012&gt;0,(Table3[[#This Row],[Diameter]]/2)-Table3[[#This Row],[CornerRadius]]-0.012,0),)</f>
        <v>0</v>
      </c>
      <c r="CE1095" s="6" t="str">
        <f>IF(Table3[[#This Row],[ShoulderLength]]="","",IF(Table3[[#This Row],[ShoulderLength]]&lt;Table3[[#This Row],[LOC]],"FIX",""))</f>
        <v/>
      </c>
    </row>
    <row r="1096" spans="1:83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v>0</v>
      </c>
      <c r="BN1096" s="6">
        <v>0</v>
      </c>
      <c r="BO1096" s="6">
        <v>0</v>
      </c>
      <c r="BP1096" s="6">
        <v>0</v>
      </c>
      <c r="BQ1096" s="6">
        <v>0</v>
      </c>
      <c r="BR1096" s="6">
        <v>0</v>
      </c>
      <c r="BS1096" s="6">
        <v>0</v>
      </c>
      <c r="BT1096" s="6">
        <v>0</v>
      </c>
      <c r="BU1096" s="6">
        <v>0</v>
      </c>
      <c r="BV1096" s="6">
        <v>0</v>
      </c>
      <c r="BW1096" s="6">
        <v>0</v>
      </c>
      <c r="BX1096" s="6">
        <v>0</v>
      </c>
      <c r="BY1096" s="6">
        <v>0</v>
      </c>
      <c r="BZ1096" s="6">
        <v>0</v>
      </c>
      <c r="CA1096" s="6">
        <v>0</v>
      </c>
      <c r="CB1096" s="6">
        <v>0</v>
      </c>
      <c r="CC1096" s="6">
        <f>IF(Table3[[#This Row],[Type]]="EM",IF((Table3[[#This Row],[Diameter]]/2)-Table3[[#This Row],[CornerRadius]]-0.012&gt;0,(Table3[[#This Row],[Diameter]]/2)-Table3[[#This Row],[CornerRadius]]-0.012,0),)</f>
        <v>0</v>
      </c>
      <c r="CE1096" s="6" t="str">
        <f>IF(Table3[[#This Row],[ShoulderLength]]="","",IF(Table3[[#This Row],[ShoulderLength]]&lt;Table3[[#This Row],[LOC]],"FIX",""))</f>
        <v/>
      </c>
    </row>
    <row r="1097" spans="1:83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v>0</v>
      </c>
      <c r="BN1097" s="6">
        <v>0</v>
      </c>
      <c r="BO1097" s="6">
        <v>0</v>
      </c>
      <c r="BP1097" s="6">
        <v>0</v>
      </c>
      <c r="BQ1097" s="6">
        <v>0</v>
      </c>
      <c r="BR1097" s="6">
        <v>0</v>
      </c>
      <c r="BS1097" s="6">
        <v>0</v>
      </c>
      <c r="BT1097" s="6">
        <v>0</v>
      </c>
      <c r="BU1097" s="6">
        <v>0</v>
      </c>
      <c r="BV1097" s="6">
        <v>0</v>
      </c>
      <c r="BW1097" s="6">
        <v>0</v>
      </c>
      <c r="BX1097" s="6">
        <v>0</v>
      </c>
      <c r="BY1097" s="6">
        <v>0</v>
      </c>
      <c r="BZ1097" s="6">
        <v>0</v>
      </c>
      <c r="CA1097" s="6">
        <v>0</v>
      </c>
      <c r="CB1097" s="6">
        <v>0</v>
      </c>
      <c r="CC1097" s="6">
        <f>IF(Table3[[#This Row],[Type]]="EM",IF((Table3[[#This Row],[Diameter]]/2)-Table3[[#This Row],[CornerRadius]]-0.012&gt;0,(Table3[[#This Row],[Diameter]]/2)-Table3[[#This Row],[CornerRadius]]-0.012,0),)</f>
        <v>0</v>
      </c>
      <c r="CE1097" s="6" t="str">
        <f>IF(Table3[[#This Row],[ShoulderLength]]="","",IF(Table3[[#This Row],[ShoulderLength]]&lt;Table3[[#This Row],[LOC]],"FIX",""))</f>
        <v>FIX</v>
      </c>
    </row>
    <row r="1098" spans="1:83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v>0</v>
      </c>
      <c r="BN1098" s="6">
        <v>0</v>
      </c>
      <c r="BO1098" s="6">
        <v>0</v>
      </c>
      <c r="BP1098" s="6">
        <v>0</v>
      </c>
      <c r="BQ1098" s="6">
        <v>0</v>
      </c>
      <c r="BR1098" s="6">
        <v>0</v>
      </c>
      <c r="BS1098" s="6">
        <v>0</v>
      </c>
      <c r="BT1098" s="6">
        <v>0</v>
      </c>
      <c r="BU1098" s="6">
        <v>0</v>
      </c>
      <c r="BV1098" s="6">
        <v>0</v>
      </c>
      <c r="BW1098" s="6">
        <v>0</v>
      </c>
      <c r="BX1098" s="6">
        <v>0</v>
      </c>
      <c r="BY1098" s="6">
        <v>0</v>
      </c>
      <c r="BZ1098" s="6">
        <v>0</v>
      </c>
      <c r="CA1098" s="6">
        <v>0</v>
      </c>
      <c r="CB1098" s="6">
        <v>0</v>
      </c>
      <c r="CC1098" s="6">
        <f>IF(Table3[[#This Row],[Type]]="EM",IF((Table3[[#This Row],[Diameter]]/2)-Table3[[#This Row],[CornerRadius]]-0.012&gt;0,(Table3[[#This Row],[Diameter]]/2)-Table3[[#This Row],[CornerRadius]]-0.012,0),)</f>
        <v>0</v>
      </c>
      <c r="CE1098" s="6" t="str">
        <f>IF(Table3[[#This Row],[ShoulderLength]]="","",IF(Table3[[#This Row],[ShoulderLength]]&lt;Table3[[#This Row],[LOC]],"FIX",""))</f>
        <v/>
      </c>
    </row>
    <row r="1099" spans="1:83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v>0</v>
      </c>
      <c r="BN1099" s="6">
        <v>0</v>
      </c>
      <c r="BO1099" s="6">
        <v>0</v>
      </c>
      <c r="BP1099" s="6">
        <v>0</v>
      </c>
      <c r="BQ1099" s="6">
        <v>0</v>
      </c>
      <c r="BR1099" s="6">
        <v>0</v>
      </c>
      <c r="BS1099" s="6">
        <v>0</v>
      </c>
      <c r="BT1099" s="6">
        <v>0</v>
      </c>
      <c r="BU1099" s="6">
        <v>0</v>
      </c>
      <c r="BV1099" s="6">
        <v>0</v>
      </c>
      <c r="BW1099" s="6">
        <v>0</v>
      </c>
      <c r="BX1099" s="6">
        <v>0</v>
      </c>
      <c r="BY1099" s="6">
        <v>0</v>
      </c>
      <c r="BZ1099" s="6">
        <v>0</v>
      </c>
      <c r="CA1099" s="6">
        <v>0</v>
      </c>
      <c r="CB1099" s="6">
        <v>0</v>
      </c>
      <c r="CC1099" s="6">
        <f>IF(Table3[[#This Row],[Type]]="EM",IF((Table3[[#This Row],[Diameter]]/2)-Table3[[#This Row],[CornerRadius]]-0.012&gt;0,(Table3[[#This Row],[Diameter]]/2)-Table3[[#This Row],[CornerRadius]]-0.012,0),)</f>
        <v>0</v>
      </c>
      <c r="CE1099" s="6" t="str">
        <f>IF(Table3[[#This Row],[ShoulderLength]]="","",IF(Table3[[#This Row],[ShoulderLength]]&lt;Table3[[#This Row],[LOC]],"FIX",""))</f>
        <v/>
      </c>
    </row>
    <row r="1100" spans="1:83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v>0</v>
      </c>
      <c r="BN1100" s="6">
        <v>0</v>
      </c>
      <c r="BO1100" s="6">
        <v>0</v>
      </c>
      <c r="BP1100" s="6">
        <v>0</v>
      </c>
      <c r="BQ1100" s="6">
        <v>0</v>
      </c>
      <c r="BR1100" s="6">
        <v>0</v>
      </c>
      <c r="BS1100" s="6">
        <v>0</v>
      </c>
      <c r="BT1100" s="6">
        <v>0</v>
      </c>
      <c r="BU1100" s="6">
        <v>0</v>
      </c>
      <c r="BV1100" s="6">
        <v>0</v>
      </c>
      <c r="BW1100" s="6">
        <v>0</v>
      </c>
      <c r="BX1100" s="6">
        <v>0</v>
      </c>
      <c r="BY1100" s="6">
        <v>0</v>
      </c>
      <c r="BZ1100" s="6">
        <v>0</v>
      </c>
      <c r="CA1100" s="6">
        <v>0</v>
      </c>
      <c r="CB1100" s="6">
        <v>0</v>
      </c>
      <c r="CC1100" s="6">
        <f>IF(Table3[[#This Row],[Type]]="EM",IF((Table3[[#This Row],[Diameter]]/2)-Table3[[#This Row],[CornerRadius]]-0.012&gt;0,(Table3[[#This Row],[Diameter]]/2)-Table3[[#This Row],[CornerRadius]]-0.012,0),)</f>
        <v>0</v>
      </c>
      <c r="CE1100" s="6" t="str">
        <f>IF(Table3[[#This Row],[ShoulderLength]]="","",IF(Table3[[#This Row],[ShoulderLength]]&lt;Table3[[#This Row],[LOC]],"FIX",""))</f>
        <v/>
      </c>
    </row>
    <row r="1101" spans="1:83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v>0</v>
      </c>
      <c r="BN1101" s="6">
        <v>0</v>
      </c>
      <c r="BO1101" s="6">
        <v>0</v>
      </c>
      <c r="BP1101" s="6">
        <v>0</v>
      </c>
      <c r="BQ1101" s="6">
        <v>0</v>
      </c>
      <c r="BR1101" s="6">
        <v>0</v>
      </c>
      <c r="BS1101" s="6">
        <v>0</v>
      </c>
      <c r="BT1101" s="6">
        <v>0</v>
      </c>
      <c r="BU1101" s="6">
        <v>0</v>
      </c>
      <c r="BV1101" s="6">
        <v>0</v>
      </c>
      <c r="BW1101" s="6">
        <v>0</v>
      </c>
      <c r="BX1101" s="6">
        <v>0</v>
      </c>
      <c r="BY1101" s="6">
        <v>0</v>
      </c>
      <c r="BZ1101" s="6">
        <v>0</v>
      </c>
      <c r="CA1101" s="6">
        <v>0</v>
      </c>
      <c r="CB1101" s="6">
        <v>0</v>
      </c>
      <c r="CC1101" s="6">
        <f>IF(Table3[[#This Row],[Type]]="EM",IF((Table3[[#This Row],[Diameter]]/2)-Table3[[#This Row],[CornerRadius]]-0.012&gt;0,(Table3[[#This Row],[Diameter]]/2)-Table3[[#This Row],[CornerRadius]]-0.012,0),)</f>
        <v>0</v>
      </c>
      <c r="CE1101" s="6" t="str">
        <f>IF(Table3[[#This Row],[ShoulderLength]]="","",IF(Table3[[#This Row],[ShoulderLength]]&lt;Table3[[#This Row],[LOC]],"FIX",""))</f>
        <v/>
      </c>
    </row>
    <row r="1102" spans="1:83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v>0</v>
      </c>
      <c r="BN1102" s="6">
        <v>0</v>
      </c>
      <c r="BO1102" s="6">
        <v>0</v>
      </c>
      <c r="BP1102" s="6">
        <v>0</v>
      </c>
      <c r="BQ1102" s="6">
        <v>0</v>
      </c>
      <c r="BR1102" s="6">
        <v>0</v>
      </c>
      <c r="BS1102" s="6">
        <v>0</v>
      </c>
      <c r="BT1102" s="6">
        <v>0</v>
      </c>
      <c r="BU1102" s="6">
        <v>0</v>
      </c>
      <c r="BV1102" s="6">
        <v>0</v>
      </c>
      <c r="BW1102" s="6">
        <v>0</v>
      </c>
      <c r="BX1102" s="6">
        <v>0</v>
      </c>
      <c r="BY1102" s="6">
        <v>0</v>
      </c>
      <c r="BZ1102" s="6">
        <v>0</v>
      </c>
      <c r="CA1102" s="6">
        <v>0</v>
      </c>
      <c r="CB1102" s="6">
        <v>0</v>
      </c>
      <c r="CC1102" s="6">
        <f>IF(Table3[[#This Row],[Type]]="EM",IF((Table3[[#This Row],[Diameter]]/2)-Table3[[#This Row],[CornerRadius]]-0.012&gt;0,(Table3[[#This Row],[Diameter]]/2)-Table3[[#This Row],[CornerRadius]]-0.012,0),)</f>
        <v>0</v>
      </c>
      <c r="CE1102" s="6" t="str">
        <f>IF(Table3[[#This Row],[ShoulderLength]]="","",IF(Table3[[#This Row],[ShoulderLength]]&lt;Table3[[#This Row],[LOC]],"FIX",""))</f>
        <v/>
      </c>
    </row>
    <row r="1103" spans="1:83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v>0</v>
      </c>
      <c r="BN1103" s="6">
        <v>0</v>
      </c>
      <c r="BO1103" s="6">
        <v>0</v>
      </c>
      <c r="BP1103" s="6">
        <v>0</v>
      </c>
      <c r="BQ1103" s="6">
        <v>0</v>
      </c>
      <c r="BR1103" s="6">
        <v>0</v>
      </c>
      <c r="BS1103" s="6">
        <v>0</v>
      </c>
      <c r="BT1103" s="6">
        <v>0</v>
      </c>
      <c r="BU1103" s="6">
        <v>0</v>
      </c>
      <c r="BV1103" s="6">
        <v>0</v>
      </c>
      <c r="BW1103" s="6">
        <v>0</v>
      </c>
      <c r="BX1103" s="6">
        <v>0</v>
      </c>
      <c r="BY1103" s="6">
        <v>0</v>
      </c>
      <c r="BZ1103" s="6">
        <v>0</v>
      </c>
      <c r="CA1103" s="6">
        <v>0</v>
      </c>
      <c r="CB1103" s="6">
        <v>0</v>
      </c>
      <c r="CC1103" s="6">
        <f>IF(Table3[[#This Row],[Type]]="EM",IF((Table3[[#This Row],[Diameter]]/2)-Table3[[#This Row],[CornerRadius]]-0.012&gt;0,(Table3[[#This Row],[Diameter]]/2)-Table3[[#This Row],[CornerRadius]]-0.012,0),)</f>
        <v>0</v>
      </c>
      <c r="CE1103" s="6" t="str">
        <f>IF(Table3[[#This Row],[ShoulderLength]]="","",IF(Table3[[#This Row],[ShoulderLength]]&lt;Table3[[#This Row],[LOC]],"FIX",""))</f>
        <v/>
      </c>
    </row>
    <row r="1104" spans="1:83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v>0</v>
      </c>
      <c r="BN1104" s="6">
        <v>0</v>
      </c>
      <c r="BO1104" s="6">
        <v>0</v>
      </c>
      <c r="BP1104" s="6">
        <v>0</v>
      </c>
      <c r="BQ1104" s="6">
        <v>0</v>
      </c>
      <c r="BR1104" s="6">
        <v>0</v>
      </c>
      <c r="BS1104" s="6">
        <v>0</v>
      </c>
      <c r="BT1104" s="6">
        <v>0</v>
      </c>
      <c r="BU1104" s="6">
        <v>0</v>
      </c>
      <c r="BV1104" s="6">
        <v>0</v>
      </c>
      <c r="BW1104" s="6">
        <v>0</v>
      </c>
      <c r="BX1104" s="6">
        <v>0</v>
      </c>
      <c r="BY1104" s="6">
        <v>0</v>
      </c>
      <c r="BZ1104" s="6">
        <v>0</v>
      </c>
      <c r="CA1104" s="6">
        <v>0</v>
      </c>
      <c r="CB1104" s="6">
        <v>0</v>
      </c>
      <c r="CC1104" s="6">
        <f>IF(Table3[[#This Row],[Type]]="EM",IF((Table3[[#This Row],[Diameter]]/2)-Table3[[#This Row],[CornerRadius]]-0.012&gt;0,(Table3[[#This Row],[Diameter]]/2)-Table3[[#This Row],[CornerRadius]]-0.012,0),)</f>
        <v>0</v>
      </c>
      <c r="CE1104" s="6" t="str">
        <f>IF(Table3[[#This Row],[ShoulderLength]]="","",IF(Table3[[#This Row],[ShoulderLength]]&lt;Table3[[#This Row],[LOC]],"FIX",""))</f>
        <v/>
      </c>
    </row>
    <row r="1105" spans="1:83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v>0</v>
      </c>
      <c r="BN1105" s="6">
        <v>0</v>
      </c>
      <c r="BO1105" s="6">
        <v>0</v>
      </c>
      <c r="BP1105" s="6">
        <v>0</v>
      </c>
      <c r="BQ1105" s="6">
        <v>0</v>
      </c>
      <c r="BR1105" s="6">
        <v>0</v>
      </c>
      <c r="BS1105" s="6">
        <v>0</v>
      </c>
      <c r="BT1105" s="6">
        <v>0</v>
      </c>
      <c r="BU1105" s="6">
        <v>0</v>
      </c>
      <c r="BV1105" s="6">
        <v>0</v>
      </c>
      <c r="BW1105" s="6">
        <v>0</v>
      </c>
      <c r="BX1105" s="6">
        <v>0</v>
      </c>
      <c r="BY1105" s="6">
        <v>0</v>
      </c>
      <c r="BZ1105" s="6">
        <v>0</v>
      </c>
      <c r="CA1105" s="6">
        <v>0</v>
      </c>
      <c r="CB1105" s="6">
        <v>0</v>
      </c>
      <c r="CC1105" s="6">
        <f>IF(Table3[[#This Row],[Type]]="EM",IF((Table3[[#This Row],[Diameter]]/2)-Table3[[#This Row],[CornerRadius]]-0.012&gt;0,(Table3[[#This Row],[Diameter]]/2)-Table3[[#This Row],[CornerRadius]]-0.012,0),)</f>
        <v>0</v>
      </c>
      <c r="CE1105" s="6" t="str">
        <f>IF(Table3[[#This Row],[ShoulderLength]]="","",IF(Table3[[#This Row],[ShoulderLength]]&lt;Table3[[#This Row],[LOC]],"FIX",""))</f>
        <v/>
      </c>
    </row>
    <row r="1106" spans="1:83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v>0</v>
      </c>
      <c r="BN1106" s="6">
        <v>0</v>
      </c>
      <c r="BO1106" s="6">
        <v>0</v>
      </c>
      <c r="BP1106" s="6">
        <v>0</v>
      </c>
      <c r="BQ1106" s="6">
        <v>0</v>
      </c>
      <c r="BR1106" s="6">
        <v>0</v>
      </c>
      <c r="BS1106" s="6">
        <v>0</v>
      </c>
      <c r="BT1106" s="6">
        <v>0</v>
      </c>
      <c r="BU1106" s="6">
        <v>0</v>
      </c>
      <c r="BV1106" s="6">
        <v>0</v>
      </c>
      <c r="BW1106" s="6">
        <v>0</v>
      </c>
      <c r="BX1106" s="6">
        <v>0</v>
      </c>
      <c r="BY1106" s="6">
        <v>0</v>
      </c>
      <c r="BZ1106" s="6">
        <v>0</v>
      </c>
      <c r="CA1106" s="6">
        <v>0</v>
      </c>
      <c r="CB1106" s="6">
        <v>0</v>
      </c>
      <c r="CC1106" s="6">
        <f>IF(Table3[[#This Row],[Type]]="EM",IF((Table3[[#This Row],[Diameter]]/2)-Table3[[#This Row],[CornerRadius]]-0.012&gt;0,(Table3[[#This Row],[Diameter]]/2)-Table3[[#This Row],[CornerRadius]]-0.012,0),)</f>
        <v>0</v>
      </c>
      <c r="CE1106" s="6" t="str">
        <f>IF(Table3[[#This Row],[ShoulderLength]]="","",IF(Table3[[#This Row],[ShoulderLength]]&lt;Table3[[#This Row],[LOC]],"FIX",""))</f>
        <v/>
      </c>
    </row>
    <row r="1107" spans="1:83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v>0</v>
      </c>
      <c r="BN1107" s="6">
        <v>0</v>
      </c>
      <c r="BO1107" s="6">
        <v>0</v>
      </c>
      <c r="BP1107" s="6">
        <v>0</v>
      </c>
      <c r="BQ1107" s="6">
        <v>0</v>
      </c>
      <c r="BR1107" s="6">
        <v>0</v>
      </c>
      <c r="BS1107" s="6">
        <v>0</v>
      </c>
      <c r="BT1107" s="6">
        <v>0</v>
      </c>
      <c r="BU1107" s="6">
        <v>0</v>
      </c>
      <c r="BV1107" s="6">
        <v>0</v>
      </c>
      <c r="BW1107" s="6">
        <v>0</v>
      </c>
      <c r="BX1107" s="6">
        <v>0</v>
      </c>
      <c r="BY1107" s="6">
        <v>0</v>
      </c>
      <c r="BZ1107" s="6">
        <v>0</v>
      </c>
      <c r="CA1107" s="6">
        <v>0</v>
      </c>
      <c r="CB1107" s="6">
        <v>0</v>
      </c>
      <c r="CC1107" s="6">
        <f>IF(Table3[[#This Row],[Type]]="EM",IF((Table3[[#This Row],[Diameter]]/2)-Table3[[#This Row],[CornerRadius]]-0.012&gt;0,(Table3[[#This Row],[Diameter]]/2)-Table3[[#This Row],[CornerRadius]]-0.012,0),)</f>
        <v>0</v>
      </c>
      <c r="CE1107" s="6" t="str">
        <f>IF(Table3[[#This Row],[ShoulderLength]]="","",IF(Table3[[#This Row],[ShoulderLength]]&lt;Table3[[#This Row],[LOC]],"FIX",""))</f>
        <v/>
      </c>
    </row>
    <row r="1108" spans="1:83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v>0</v>
      </c>
      <c r="BN1108" s="6">
        <v>0</v>
      </c>
      <c r="BO1108" s="6">
        <v>0</v>
      </c>
      <c r="BP1108" s="6">
        <v>0</v>
      </c>
      <c r="BQ1108" s="6">
        <v>0</v>
      </c>
      <c r="BR1108" s="6">
        <v>0</v>
      </c>
      <c r="BS1108" s="6">
        <v>0</v>
      </c>
      <c r="BT1108" s="6">
        <v>0</v>
      </c>
      <c r="BU1108" s="6">
        <v>0</v>
      </c>
      <c r="BV1108" s="6">
        <v>0</v>
      </c>
      <c r="BW1108" s="6">
        <v>0</v>
      </c>
      <c r="BX1108" s="6">
        <v>0</v>
      </c>
      <c r="BY1108" s="6">
        <v>0</v>
      </c>
      <c r="BZ1108" s="6">
        <v>0</v>
      </c>
      <c r="CA1108" s="6">
        <v>0</v>
      </c>
      <c r="CB1108" s="6">
        <v>0</v>
      </c>
      <c r="CC1108" s="6">
        <f>IF(Table3[[#This Row],[Type]]="EM",IF((Table3[[#This Row],[Diameter]]/2)-Table3[[#This Row],[CornerRadius]]-0.012&gt;0,(Table3[[#This Row],[Diameter]]/2)-Table3[[#This Row],[CornerRadius]]-0.012,0),)</f>
        <v>0</v>
      </c>
      <c r="CE1108" s="6" t="str">
        <f>IF(Table3[[#This Row],[ShoulderLength]]="","",IF(Table3[[#This Row],[ShoulderLength]]&lt;Table3[[#This Row],[LOC]],"FIX",""))</f>
        <v>FIX</v>
      </c>
    </row>
    <row r="1109" spans="1:83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v>0</v>
      </c>
      <c r="BN1109" s="6">
        <v>0</v>
      </c>
      <c r="BO1109" s="6">
        <v>0</v>
      </c>
      <c r="BP1109" s="6">
        <v>0</v>
      </c>
      <c r="BQ1109" s="6">
        <v>0</v>
      </c>
      <c r="BR1109" s="6">
        <v>0</v>
      </c>
      <c r="BS1109" s="6">
        <v>0</v>
      </c>
      <c r="BT1109" s="6">
        <v>0</v>
      </c>
      <c r="BU1109" s="6">
        <v>0</v>
      </c>
      <c r="BV1109" s="6">
        <v>0</v>
      </c>
      <c r="BW1109" s="6">
        <v>0</v>
      </c>
      <c r="BX1109" s="6">
        <v>0</v>
      </c>
      <c r="BY1109" s="6">
        <v>0</v>
      </c>
      <c r="BZ1109" s="6">
        <v>0</v>
      </c>
      <c r="CA1109" s="6">
        <v>0</v>
      </c>
      <c r="CB1109" s="6">
        <v>0</v>
      </c>
      <c r="CC1109" s="6">
        <f>IF(Table3[[#This Row],[Type]]="EM",IF((Table3[[#This Row],[Diameter]]/2)-Table3[[#This Row],[CornerRadius]]-0.012&gt;0,(Table3[[#This Row],[Diameter]]/2)-Table3[[#This Row],[CornerRadius]]-0.012,0),)</f>
        <v>0</v>
      </c>
      <c r="CE1109" s="6" t="str">
        <f>IF(Table3[[#This Row],[ShoulderLength]]="","",IF(Table3[[#This Row],[ShoulderLength]]&lt;Table3[[#This Row],[LOC]],"FIX",""))</f>
        <v/>
      </c>
    </row>
    <row r="1110" spans="1:83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v>0</v>
      </c>
      <c r="BN1110" s="6">
        <v>0</v>
      </c>
      <c r="BO1110" s="6">
        <v>0</v>
      </c>
      <c r="BP1110" s="6">
        <v>0</v>
      </c>
      <c r="BQ1110" s="6">
        <v>0</v>
      </c>
      <c r="BR1110" s="6">
        <v>0</v>
      </c>
      <c r="BS1110" s="6">
        <v>0</v>
      </c>
      <c r="BT1110" s="6">
        <v>0</v>
      </c>
      <c r="BU1110" s="6">
        <v>0</v>
      </c>
      <c r="BV1110" s="6">
        <v>0</v>
      </c>
      <c r="BW1110" s="6">
        <v>0</v>
      </c>
      <c r="BX1110" s="6">
        <v>0</v>
      </c>
      <c r="BY1110" s="6">
        <v>0</v>
      </c>
      <c r="BZ1110" s="6">
        <v>0</v>
      </c>
      <c r="CA1110" s="6">
        <v>0</v>
      </c>
      <c r="CB1110" s="6">
        <v>0</v>
      </c>
      <c r="CC1110" s="6">
        <f>IF(Table3[[#This Row],[Type]]="EM",IF((Table3[[#This Row],[Diameter]]/2)-Table3[[#This Row],[CornerRadius]]-0.012&gt;0,(Table3[[#This Row],[Diameter]]/2)-Table3[[#This Row],[CornerRadius]]-0.012,0),)</f>
        <v>0</v>
      </c>
      <c r="CE1110" s="6" t="str">
        <f>IF(Table3[[#This Row],[ShoulderLength]]="","",IF(Table3[[#This Row],[ShoulderLength]]&lt;Table3[[#This Row],[LOC]],"FIX",""))</f>
        <v/>
      </c>
    </row>
    <row r="1111" spans="1:83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v>0</v>
      </c>
      <c r="BN1111" s="6">
        <v>0</v>
      </c>
      <c r="BO1111" s="6">
        <v>0</v>
      </c>
      <c r="BP1111" s="6">
        <v>0</v>
      </c>
      <c r="BQ1111" s="6">
        <v>0</v>
      </c>
      <c r="BR1111" s="6">
        <v>0</v>
      </c>
      <c r="BS1111" s="6">
        <v>0</v>
      </c>
      <c r="BT1111" s="6">
        <v>0</v>
      </c>
      <c r="BU1111" s="6">
        <v>0</v>
      </c>
      <c r="BV1111" s="6">
        <v>0</v>
      </c>
      <c r="BW1111" s="6">
        <v>0</v>
      </c>
      <c r="BX1111" s="6">
        <v>0</v>
      </c>
      <c r="BY1111" s="6">
        <v>0</v>
      </c>
      <c r="BZ1111" s="6">
        <v>0</v>
      </c>
      <c r="CA1111" s="6">
        <v>0</v>
      </c>
      <c r="CB1111" s="6">
        <v>0</v>
      </c>
      <c r="CC1111" s="6">
        <f>IF(Table3[[#This Row],[Type]]="EM",IF((Table3[[#This Row],[Diameter]]/2)-Table3[[#This Row],[CornerRadius]]-0.012&gt;0,(Table3[[#This Row],[Diameter]]/2)-Table3[[#This Row],[CornerRadius]]-0.012,0),)</f>
        <v>0</v>
      </c>
      <c r="CE1111" s="6" t="str">
        <f>IF(Table3[[#This Row],[ShoulderLength]]="","",IF(Table3[[#This Row],[ShoulderLength]]&lt;Table3[[#This Row],[LOC]],"FIX",""))</f>
        <v/>
      </c>
    </row>
    <row r="1112" spans="1:83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v>0</v>
      </c>
      <c r="BN1112" s="6">
        <v>0</v>
      </c>
      <c r="BO1112" s="6">
        <v>0</v>
      </c>
      <c r="BP1112" s="6">
        <v>0</v>
      </c>
      <c r="BQ1112" s="6">
        <v>0</v>
      </c>
      <c r="BR1112" s="6">
        <v>0</v>
      </c>
      <c r="BS1112" s="6">
        <v>0</v>
      </c>
      <c r="BT1112" s="6">
        <v>0</v>
      </c>
      <c r="BU1112" s="6">
        <v>0</v>
      </c>
      <c r="BV1112" s="6">
        <v>0</v>
      </c>
      <c r="BW1112" s="6">
        <v>0</v>
      </c>
      <c r="BX1112" s="6">
        <v>0</v>
      </c>
      <c r="BY1112" s="6">
        <v>0</v>
      </c>
      <c r="BZ1112" s="6">
        <v>0</v>
      </c>
      <c r="CA1112" s="6">
        <v>0</v>
      </c>
      <c r="CB1112" s="6">
        <v>0</v>
      </c>
      <c r="CC1112" s="6">
        <f>IF(Table3[[#This Row],[Type]]="EM",IF((Table3[[#This Row],[Diameter]]/2)-Table3[[#This Row],[CornerRadius]]-0.012&gt;0,(Table3[[#This Row],[Diameter]]/2)-Table3[[#This Row],[CornerRadius]]-0.012,0),)</f>
        <v>0</v>
      </c>
      <c r="CE1112" s="6" t="str">
        <f>IF(Table3[[#This Row],[ShoulderLength]]="","",IF(Table3[[#This Row],[ShoulderLength]]&lt;Table3[[#This Row],[LOC]],"FIX",""))</f>
        <v/>
      </c>
    </row>
    <row r="1113" spans="1:83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v>0</v>
      </c>
      <c r="BN1113" s="6">
        <v>0</v>
      </c>
      <c r="BO1113" s="6">
        <v>0</v>
      </c>
      <c r="BP1113" s="6">
        <v>0</v>
      </c>
      <c r="BQ1113" s="6">
        <v>0</v>
      </c>
      <c r="BR1113" s="6">
        <v>0</v>
      </c>
      <c r="BS1113" s="6">
        <v>0</v>
      </c>
      <c r="BT1113" s="6">
        <v>0</v>
      </c>
      <c r="BU1113" s="6">
        <v>0</v>
      </c>
      <c r="BV1113" s="6">
        <v>0</v>
      </c>
      <c r="BW1113" s="6">
        <v>0</v>
      </c>
      <c r="BX1113" s="6">
        <v>0</v>
      </c>
      <c r="BY1113" s="6">
        <v>0</v>
      </c>
      <c r="BZ1113" s="6">
        <v>0</v>
      </c>
      <c r="CA1113" s="6">
        <v>0</v>
      </c>
      <c r="CB1113" s="6">
        <v>0</v>
      </c>
      <c r="CC1113" s="6">
        <f>IF(Table3[[#This Row],[Type]]="EM",IF((Table3[[#This Row],[Diameter]]/2)-Table3[[#This Row],[CornerRadius]]-0.012&gt;0,(Table3[[#This Row],[Diameter]]/2)-Table3[[#This Row],[CornerRadius]]-0.012,0),)</f>
        <v>0</v>
      </c>
      <c r="CE1113" s="6" t="str">
        <f>IF(Table3[[#This Row],[ShoulderLength]]="","",IF(Table3[[#This Row],[ShoulderLength]]&lt;Table3[[#This Row],[LOC]],"FIX",""))</f>
        <v/>
      </c>
    </row>
    <row r="1114" spans="1:83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v>0</v>
      </c>
      <c r="BN1114" s="6">
        <v>0</v>
      </c>
      <c r="BO1114" s="6">
        <v>0</v>
      </c>
      <c r="BP1114" s="6">
        <v>0</v>
      </c>
      <c r="BQ1114" s="6">
        <v>0</v>
      </c>
      <c r="BR1114" s="6">
        <v>0</v>
      </c>
      <c r="BS1114" s="6">
        <v>0</v>
      </c>
      <c r="BT1114" s="6">
        <v>0</v>
      </c>
      <c r="BU1114" s="6">
        <v>0</v>
      </c>
      <c r="BV1114" s="6">
        <v>0</v>
      </c>
      <c r="BW1114" s="6">
        <v>0</v>
      </c>
      <c r="BX1114" s="6">
        <v>0</v>
      </c>
      <c r="BY1114" s="6">
        <v>0</v>
      </c>
      <c r="BZ1114" s="6">
        <v>0</v>
      </c>
      <c r="CA1114" s="6">
        <v>0</v>
      </c>
      <c r="CB1114" s="6">
        <v>0</v>
      </c>
      <c r="CC1114" s="6">
        <f>IF(Table3[[#This Row],[Type]]="EM",IF((Table3[[#This Row],[Diameter]]/2)-Table3[[#This Row],[CornerRadius]]-0.012&gt;0,(Table3[[#This Row],[Diameter]]/2)-Table3[[#This Row],[CornerRadius]]-0.012,0),)</f>
        <v>0</v>
      </c>
      <c r="CE1114" s="6" t="str">
        <f>IF(Table3[[#This Row],[ShoulderLength]]="","",IF(Table3[[#This Row],[ShoulderLength]]&lt;Table3[[#This Row],[LOC]],"FIX",""))</f>
        <v/>
      </c>
    </row>
    <row r="1115" spans="1:83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v>0</v>
      </c>
      <c r="BN1115" s="6">
        <v>0</v>
      </c>
      <c r="BO1115" s="6">
        <v>0</v>
      </c>
      <c r="BP1115" s="6">
        <v>0</v>
      </c>
      <c r="BQ1115" s="6">
        <v>0</v>
      </c>
      <c r="BR1115" s="6">
        <v>0</v>
      </c>
      <c r="BS1115" s="6">
        <v>0</v>
      </c>
      <c r="BT1115" s="6">
        <v>0</v>
      </c>
      <c r="BU1115" s="6">
        <v>0</v>
      </c>
      <c r="BV1115" s="6">
        <v>0</v>
      </c>
      <c r="BW1115" s="6">
        <v>0</v>
      </c>
      <c r="BX1115" s="6">
        <v>0</v>
      </c>
      <c r="BY1115" s="6">
        <v>0</v>
      </c>
      <c r="BZ1115" s="6">
        <v>0</v>
      </c>
      <c r="CA1115" s="6">
        <v>0</v>
      </c>
      <c r="CB1115" s="6">
        <v>0</v>
      </c>
      <c r="CC1115" s="6">
        <f>IF(Table3[[#This Row],[Type]]="EM",IF((Table3[[#This Row],[Diameter]]/2)-Table3[[#This Row],[CornerRadius]]-0.012&gt;0,(Table3[[#This Row],[Diameter]]/2)-Table3[[#This Row],[CornerRadius]]-0.012,0),)</f>
        <v>0</v>
      </c>
      <c r="CE1115" s="6" t="str">
        <f>IF(Table3[[#This Row],[ShoulderLength]]="","",IF(Table3[[#This Row],[ShoulderLength]]&lt;Table3[[#This Row],[LOC]],"FIX",""))</f>
        <v/>
      </c>
    </row>
    <row r="1116" spans="1:83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v>0</v>
      </c>
      <c r="BN1116" s="6">
        <v>0</v>
      </c>
      <c r="BO1116" s="6">
        <v>0</v>
      </c>
      <c r="BP1116" s="6">
        <v>0</v>
      </c>
      <c r="BQ1116" s="6">
        <v>0</v>
      </c>
      <c r="BR1116" s="6">
        <v>0</v>
      </c>
      <c r="BS1116" s="6">
        <v>0</v>
      </c>
      <c r="BT1116" s="6">
        <v>0</v>
      </c>
      <c r="BU1116" s="6">
        <v>0</v>
      </c>
      <c r="BV1116" s="6">
        <v>0</v>
      </c>
      <c r="BW1116" s="6">
        <v>0</v>
      </c>
      <c r="BX1116" s="6">
        <v>0</v>
      </c>
      <c r="BY1116" s="6">
        <v>0</v>
      </c>
      <c r="BZ1116" s="6">
        <v>0</v>
      </c>
      <c r="CA1116" s="6">
        <v>0</v>
      </c>
      <c r="CB1116" s="6">
        <v>0</v>
      </c>
      <c r="CC1116" s="6">
        <f>IF(Table3[[#This Row],[Type]]="EM",IF((Table3[[#This Row],[Diameter]]/2)-Table3[[#This Row],[CornerRadius]]-0.012&gt;0,(Table3[[#This Row],[Diameter]]/2)-Table3[[#This Row],[CornerRadius]]-0.012,0),)</f>
        <v>0</v>
      </c>
      <c r="CE1116" s="6" t="str">
        <f>IF(Table3[[#This Row],[ShoulderLength]]="","",IF(Table3[[#This Row],[ShoulderLength]]&lt;Table3[[#This Row],[LOC]],"FIX",""))</f>
        <v/>
      </c>
    </row>
    <row r="1117" spans="1:83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v>0</v>
      </c>
      <c r="BN1117" s="6">
        <v>0</v>
      </c>
      <c r="BO1117" s="6">
        <v>0</v>
      </c>
      <c r="BP1117" s="6">
        <v>0</v>
      </c>
      <c r="BQ1117" s="6">
        <v>0</v>
      </c>
      <c r="BR1117" s="6">
        <v>0</v>
      </c>
      <c r="BS1117" s="6">
        <v>0</v>
      </c>
      <c r="BT1117" s="6">
        <v>0</v>
      </c>
      <c r="BU1117" s="6">
        <v>0</v>
      </c>
      <c r="BV1117" s="6">
        <v>0</v>
      </c>
      <c r="BW1117" s="6">
        <v>0</v>
      </c>
      <c r="BX1117" s="6">
        <v>0</v>
      </c>
      <c r="BY1117" s="6">
        <v>0</v>
      </c>
      <c r="BZ1117" s="6">
        <v>0</v>
      </c>
      <c r="CA1117" s="6">
        <v>0</v>
      </c>
      <c r="CB1117" s="6">
        <v>0</v>
      </c>
      <c r="CC1117" s="6">
        <f>IF(Table3[[#This Row],[Type]]="EM",IF((Table3[[#This Row],[Diameter]]/2)-Table3[[#This Row],[CornerRadius]]-0.012&gt;0,(Table3[[#This Row],[Diameter]]/2)-Table3[[#This Row],[CornerRadius]]-0.012,0),)</f>
        <v>0</v>
      </c>
      <c r="CE1117" s="6" t="str">
        <f>IF(Table3[[#This Row],[ShoulderLength]]="","",IF(Table3[[#This Row],[ShoulderLength]]&lt;Table3[[#This Row],[LOC]],"FIX",""))</f>
        <v/>
      </c>
    </row>
    <row r="1118" spans="1:83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v>0</v>
      </c>
      <c r="BN1118" s="6">
        <v>0</v>
      </c>
      <c r="BO1118" s="6">
        <v>0</v>
      </c>
      <c r="BP1118" s="6">
        <v>0</v>
      </c>
      <c r="BQ1118" s="6">
        <v>0</v>
      </c>
      <c r="BR1118" s="6">
        <v>0</v>
      </c>
      <c r="BS1118" s="6">
        <v>0</v>
      </c>
      <c r="BT1118" s="6">
        <v>0</v>
      </c>
      <c r="BU1118" s="6">
        <v>0</v>
      </c>
      <c r="BV1118" s="6">
        <v>0</v>
      </c>
      <c r="BW1118" s="6">
        <v>0</v>
      </c>
      <c r="BX1118" s="6">
        <v>0</v>
      </c>
      <c r="BY1118" s="6">
        <v>0</v>
      </c>
      <c r="BZ1118" s="6">
        <v>0</v>
      </c>
      <c r="CA1118" s="6">
        <v>0</v>
      </c>
      <c r="CB1118" s="6">
        <v>0</v>
      </c>
      <c r="CC1118" s="6">
        <f>IF(Table3[[#This Row],[Type]]="EM",IF((Table3[[#This Row],[Diameter]]/2)-Table3[[#This Row],[CornerRadius]]-0.012&gt;0,(Table3[[#This Row],[Diameter]]/2)-Table3[[#This Row],[CornerRadius]]-0.012,0),)</f>
        <v>0</v>
      </c>
      <c r="CE1118" s="6" t="str">
        <f>IF(Table3[[#This Row],[ShoulderLength]]="","",IF(Table3[[#This Row],[ShoulderLength]]&lt;Table3[[#This Row],[LOC]],"FIX",""))</f>
        <v>FIX</v>
      </c>
    </row>
    <row r="1119" spans="1:83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v>0</v>
      </c>
      <c r="BN1119" s="6">
        <v>0</v>
      </c>
      <c r="BO1119" s="6">
        <v>0</v>
      </c>
      <c r="BP1119" s="6">
        <v>0</v>
      </c>
      <c r="BQ1119" s="6">
        <v>0</v>
      </c>
      <c r="BR1119" s="6">
        <v>0</v>
      </c>
      <c r="BS1119" s="6">
        <v>0</v>
      </c>
      <c r="BT1119" s="6">
        <v>0</v>
      </c>
      <c r="BU1119" s="6">
        <v>0</v>
      </c>
      <c r="BV1119" s="6">
        <v>0</v>
      </c>
      <c r="BW1119" s="6">
        <v>0</v>
      </c>
      <c r="BX1119" s="6">
        <v>0</v>
      </c>
      <c r="BY1119" s="6">
        <v>0</v>
      </c>
      <c r="BZ1119" s="6">
        <v>0</v>
      </c>
      <c r="CA1119" s="6">
        <v>0</v>
      </c>
      <c r="CB1119" s="6">
        <v>0</v>
      </c>
      <c r="CC1119" s="6">
        <f>IF(Table3[[#This Row],[Type]]="EM",IF((Table3[[#This Row],[Diameter]]/2)-Table3[[#This Row],[CornerRadius]]-0.012&gt;0,(Table3[[#This Row],[Diameter]]/2)-Table3[[#This Row],[CornerRadius]]-0.012,0),)</f>
        <v>0</v>
      </c>
      <c r="CE1119" s="6" t="str">
        <f>IF(Table3[[#This Row],[ShoulderLength]]="","",IF(Table3[[#This Row],[ShoulderLength]]&lt;Table3[[#This Row],[LOC]],"FIX",""))</f>
        <v/>
      </c>
    </row>
    <row r="1120" spans="1:83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v>0</v>
      </c>
      <c r="BN1120" s="6">
        <v>0</v>
      </c>
      <c r="BO1120" s="6">
        <v>0</v>
      </c>
      <c r="BP1120" s="6">
        <v>0</v>
      </c>
      <c r="BQ1120" s="6">
        <v>0</v>
      </c>
      <c r="BR1120" s="6">
        <v>0</v>
      </c>
      <c r="BS1120" s="6">
        <v>0</v>
      </c>
      <c r="BT1120" s="6">
        <v>0</v>
      </c>
      <c r="BU1120" s="6">
        <v>0</v>
      </c>
      <c r="BV1120" s="6">
        <v>0</v>
      </c>
      <c r="BW1120" s="6">
        <v>0</v>
      </c>
      <c r="BX1120" s="6">
        <v>0</v>
      </c>
      <c r="BY1120" s="6">
        <v>0</v>
      </c>
      <c r="BZ1120" s="6">
        <v>0</v>
      </c>
      <c r="CA1120" s="6">
        <v>0</v>
      </c>
      <c r="CB1120" s="6">
        <v>0</v>
      </c>
      <c r="CC1120" s="6">
        <f>IF(Table3[[#This Row],[Type]]="EM",IF((Table3[[#This Row],[Diameter]]/2)-Table3[[#This Row],[CornerRadius]]-0.012&gt;0,(Table3[[#This Row],[Diameter]]/2)-Table3[[#This Row],[CornerRadius]]-0.012,0),)</f>
        <v>0</v>
      </c>
      <c r="CE1120" s="6" t="str">
        <f>IF(Table3[[#This Row],[ShoulderLength]]="","",IF(Table3[[#This Row],[ShoulderLength]]&lt;Table3[[#This Row],[LOC]],"FIX",""))</f>
        <v/>
      </c>
    </row>
    <row r="1121" spans="1:83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v>0</v>
      </c>
      <c r="BN1121" s="6">
        <v>0</v>
      </c>
      <c r="BO1121" s="6">
        <v>0</v>
      </c>
      <c r="BP1121" s="6">
        <v>0</v>
      </c>
      <c r="BQ1121" s="6">
        <v>0</v>
      </c>
      <c r="BR1121" s="6">
        <v>0</v>
      </c>
      <c r="BS1121" s="6">
        <v>0</v>
      </c>
      <c r="BT1121" s="6">
        <v>0</v>
      </c>
      <c r="BU1121" s="6">
        <v>0</v>
      </c>
      <c r="BV1121" s="6">
        <v>0</v>
      </c>
      <c r="BW1121" s="6">
        <v>0</v>
      </c>
      <c r="BX1121" s="6">
        <v>0</v>
      </c>
      <c r="BY1121" s="6">
        <v>0</v>
      </c>
      <c r="BZ1121" s="6">
        <v>0</v>
      </c>
      <c r="CA1121" s="6">
        <v>0</v>
      </c>
      <c r="CB1121" s="6">
        <v>0</v>
      </c>
      <c r="CC1121" s="6">
        <f>IF(Table3[[#This Row],[Type]]="EM",IF((Table3[[#This Row],[Diameter]]/2)-Table3[[#This Row],[CornerRadius]]-0.012&gt;0,(Table3[[#This Row],[Diameter]]/2)-Table3[[#This Row],[CornerRadius]]-0.012,0),)</f>
        <v>0</v>
      </c>
      <c r="CE1121" s="6" t="str">
        <f>IF(Table3[[#This Row],[ShoulderLength]]="","",IF(Table3[[#This Row],[ShoulderLength]]&lt;Table3[[#This Row],[LOC]],"FIX",""))</f>
        <v/>
      </c>
    </row>
    <row r="1122" spans="1:83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v>0</v>
      </c>
      <c r="BN1122" s="6">
        <v>0</v>
      </c>
      <c r="BO1122" s="6">
        <v>0</v>
      </c>
      <c r="BP1122" s="6">
        <v>0</v>
      </c>
      <c r="BQ1122" s="6">
        <v>0</v>
      </c>
      <c r="BR1122" s="6">
        <v>0</v>
      </c>
      <c r="BS1122" s="6">
        <v>0</v>
      </c>
      <c r="BT1122" s="6">
        <v>0</v>
      </c>
      <c r="BU1122" s="6">
        <v>0</v>
      </c>
      <c r="BV1122" s="6">
        <v>0</v>
      </c>
      <c r="BW1122" s="6">
        <v>0</v>
      </c>
      <c r="BX1122" s="6">
        <v>0</v>
      </c>
      <c r="BY1122" s="6">
        <v>0</v>
      </c>
      <c r="BZ1122" s="6">
        <v>0</v>
      </c>
      <c r="CA1122" s="6">
        <v>0</v>
      </c>
      <c r="CB1122" s="6">
        <v>0</v>
      </c>
      <c r="CC1122" s="6">
        <f>IF(Table3[[#This Row],[Type]]="EM",IF((Table3[[#This Row],[Diameter]]/2)-Table3[[#This Row],[CornerRadius]]-0.012&gt;0,(Table3[[#This Row],[Diameter]]/2)-Table3[[#This Row],[CornerRadius]]-0.012,0),)</f>
        <v>0</v>
      </c>
      <c r="CE1122" s="6" t="str">
        <f>IF(Table3[[#This Row],[ShoulderLength]]="","",IF(Table3[[#This Row],[ShoulderLength]]&lt;Table3[[#This Row],[LOC]],"FIX",""))</f>
        <v>FIX</v>
      </c>
    </row>
    <row r="1123" spans="1:83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v>0</v>
      </c>
      <c r="BN1123" s="6">
        <v>0</v>
      </c>
      <c r="BO1123" s="6">
        <v>0</v>
      </c>
      <c r="BP1123" s="6">
        <v>0</v>
      </c>
      <c r="BQ1123" s="6">
        <v>0</v>
      </c>
      <c r="BR1123" s="6">
        <v>0</v>
      </c>
      <c r="BS1123" s="6">
        <v>0</v>
      </c>
      <c r="BT1123" s="6">
        <v>0</v>
      </c>
      <c r="BU1123" s="6">
        <v>0</v>
      </c>
      <c r="BV1123" s="6">
        <v>0</v>
      </c>
      <c r="BW1123" s="6">
        <v>0</v>
      </c>
      <c r="BX1123" s="6">
        <v>0</v>
      </c>
      <c r="BY1123" s="6">
        <v>0</v>
      </c>
      <c r="BZ1123" s="6">
        <v>0</v>
      </c>
      <c r="CA1123" s="6">
        <v>0</v>
      </c>
      <c r="CB1123" s="6">
        <v>0</v>
      </c>
      <c r="CC1123" s="6">
        <f>IF(Table3[[#This Row],[Type]]="EM",IF((Table3[[#This Row],[Diameter]]/2)-Table3[[#This Row],[CornerRadius]]-0.012&gt;0,(Table3[[#This Row],[Diameter]]/2)-Table3[[#This Row],[CornerRadius]]-0.012,0),)</f>
        <v>0</v>
      </c>
      <c r="CE1123" s="6" t="str">
        <f>IF(Table3[[#This Row],[ShoulderLength]]="","",IF(Table3[[#This Row],[ShoulderLength]]&lt;Table3[[#This Row],[LOC]],"FIX",""))</f>
        <v/>
      </c>
    </row>
    <row r="1124" spans="1:83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v>0</v>
      </c>
      <c r="BN1124" s="6">
        <v>0</v>
      </c>
      <c r="BO1124" s="6">
        <v>0</v>
      </c>
      <c r="BP1124" s="6">
        <v>0</v>
      </c>
      <c r="BQ1124" s="6">
        <v>0</v>
      </c>
      <c r="BR1124" s="6">
        <v>0</v>
      </c>
      <c r="BS1124" s="6">
        <v>0</v>
      </c>
      <c r="BT1124" s="6">
        <v>0</v>
      </c>
      <c r="BU1124" s="6">
        <v>0</v>
      </c>
      <c r="BV1124" s="6">
        <v>0</v>
      </c>
      <c r="BW1124" s="6">
        <v>0</v>
      </c>
      <c r="BX1124" s="6">
        <v>0</v>
      </c>
      <c r="BY1124" s="6">
        <v>0</v>
      </c>
      <c r="BZ1124" s="6">
        <v>0</v>
      </c>
      <c r="CA1124" s="6">
        <v>0</v>
      </c>
      <c r="CB1124" s="6">
        <v>0</v>
      </c>
      <c r="CC1124" s="6">
        <f>IF(Table3[[#This Row],[Type]]="EM",IF((Table3[[#This Row],[Diameter]]/2)-Table3[[#This Row],[CornerRadius]]-0.012&gt;0,(Table3[[#This Row],[Diameter]]/2)-Table3[[#This Row],[CornerRadius]]-0.012,0),)</f>
        <v>0</v>
      </c>
      <c r="CE1124" s="6" t="str">
        <f>IF(Table3[[#This Row],[ShoulderLength]]="","",IF(Table3[[#This Row],[ShoulderLength]]&lt;Table3[[#This Row],[LOC]],"FIX",""))</f>
        <v/>
      </c>
    </row>
    <row r="1125" spans="1:83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v>0</v>
      </c>
      <c r="BN1125" s="6">
        <v>0</v>
      </c>
      <c r="BO1125" s="6">
        <v>0</v>
      </c>
      <c r="BP1125" s="6">
        <v>0</v>
      </c>
      <c r="BQ1125" s="6">
        <v>0</v>
      </c>
      <c r="BR1125" s="6">
        <v>0</v>
      </c>
      <c r="BS1125" s="6">
        <v>0</v>
      </c>
      <c r="BT1125" s="6">
        <v>0</v>
      </c>
      <c r="BU1125" s="6">
        <v>0</v>
      </c>
      <c r="BV1125" s="6">
        <v>0</v>
      </c>
      <c r="BW1125" s="6">
        <v>0</v>
      </c>
      <c r="BX1125" s="6">
        <v>0</v>
      </c>
      <c r="BY1125" s="6">
        <v>0</v>
      </c>
      <c r="BZ1125" s="6">
        <v>0</v>
      </c>
      <c r="CA1125" s="6">
        <v>0</v>
      </c>
      <c r="CB1125" s="6">
        <v>0</v>
      </c>
      <c r="CC1125" s="6">
        <f>IF(Table3[[#This Row],[Type]]="EM",IF((Table3[[#This Row],[Diameter]]/2)-Table3[[#This Row],[CornerRadius]]-0.012&gt;0,(Table3[[#This Row],[Diameter]]/2)-Table3[[#This Row],[CornerRadius]]-0.012,0),)</f>
        <v>0</v>
      </c>
      <c r="CE1125" s="6" t="str">
        <f>IF(Table3[[#This Row],[ShoulderLength]]="","",IF(Table3[[#This Row],[ShoulderLength]]&lt;Table3[[#This Row],[LOC]],"FIX",""))</f>
        <v>FIX</v>
      </c>
    </row>
    <row r="1126" spans="1:83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v>0</v>
      </c>
      <c r="BN1126" s="6">
        <v>0</v>
      </c>
      <c r="BO1126" s="6">
        <v>0</v>
      </c>
      <c r="BP1126" s="6">
        <v>0</v>
      </c>
      <c r="BQ1126" s="6">
        <v>0</v>
      </c>
      <c r="BR1126" s="6">
        <v>0</v>
      </c>
      <c r="BS1126" s="6">
        <v>0</v>
      </c>
      <c r="BT1126" s="6">
        <v>0</v>
      </c>
      <c r="BU1126" s="6">
        <v>0</v>
      </c>
      <c r="BV1126" s="6">
        <v>0</v>
      </c>
      <c r="BW1126" s="6">
        <v>0</v>
      </c>
      <c r="BX1126" s="6">
        <v>0</v>
      </c>
      <c r="BY1126" s="6">
        <v>0</v>
      </c>
      <c r="BZ1126" s="6">
        <v>0</v>
      </c>
      <c r="CA1126" s="6">
        <v>0</v>
      </c>
      <c r="CB1126" s="6">
        <v>0</v>
      </c>
      <c r="CC1126" s="6">
        <f>IF(Table3[[#This Row],[Type]]="EM",IF((Table3[[#This Row],[Diameter]]/2)-Table3[[#This Row],[CornerRadius]]-0.012&gt;0,(Table3[[#This Row],[Diameter]]/2)-Table3[[#This Row],[CornerRadius]]-0.012,0),)</f>
        <v>0</v>
      </c>
      <c r="CE1126" s="6" t="str">
        <f>IF(Table3[[#This Row],[ShoulderLength]]="","",IF(Table3[[#This Row],[ShoulderLength]]&lt;Table3[[#This Row],[LOC]],"FIX",""))</f>
        <v/>
      </c>
    </row>
    <row r="1127" spans="1:83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v>0</v>
      </c>
      <c r="BN1127" s="6">
        <v>0</v>
      </c>
      <c r="BO1127" s="6">
        <v>0</v>
      </c>
      <c r="BP1127" s="6">
        <v>0</v>
      </c>
      <c r="BQ1127" s="6">
        <v>0</v>
      </c>
      <c r="BR1127" s="6">
        <v>0</v>
      </c>
      <c r="BS1127" s="6">
        <v>0</v>
      </c>
      <c r="BT1127" s="6">
        <v>0</v>
      </c>
      <c r="BU1127" s="6">
        <v>0</v>
      </c>
      <c r="BV1127" s="6">
        <v>0</v>
      </c>
      <c r="BW1127" s="6">
        <v>0</v>
      </c>
      <c r="BX1127" s="6">
        <v>0</v>
      </c>
      <c r="BY1127" s="6">
        <v>0</v>
      </c>
      <c r="BZ1127" s="6">
        <v>0</v>
      </c>
      <c r="CA1127" s="6">
        <v>0</v>
      </c>
      <c r="CB1127" s="6">
        <v>0</v>
      </c>
      <c r="CC1127" s="6">
        <f>IF(Table3[[#This Row],[Type]]="EM",IF((Table3[[#This Row],[Diameter]]/2)-Table3[[#This Row],[CornerRadius]]-0.012&gt;0,(Table3[[#This Row],[Diameter]]/2)-Table3[[#This Row],[CornerRadius]]-0.012,0),)</f>
        <v>0</v>
      </c>
      <c r="CE1127" s="6" t="str">
        <f>IF(Table3[[#This Row],[ShoulderLength]]="","",IF(Table3[[#This Row],[ShoulderLength]]&lt;Table3[[#This Row],[LOC]],"FIX",""))</f>
        <v/>
      </c>
    </row>
    <row r="1128" spans="1:83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v>0</v>
      </c>
      <c r="BN1128" s="6">
        <v>0</v>
      </c>
      <c r="BO1128" s="6">
        <v>0</v>
      </c>
      <c r="BP1128" s="6">
        <v>0</v>
      </c>
      <c r="BQ1128" s="6">
        <v>0</v>
      </c>
      <c r="BR1128" s="6">
        <v>0</v>
      </c>
      <c r="BS1128" s="6">
        <v>0</v>
      </c>
      <c r="BT1128" s="6">
        <v>0</v>
      </c>
      <c r="BU1128" s="6">
        <v>0</v>
      </c>
      <c r="BV1128" s="6">
        <v>0</v>
      </c>
      <c r="BW1128" s="6">
        <v>0</v>
      </c>
      <c r="BX1128" s="6">
        <v>0</v>
      </c>
      <c r="BY1128" s="6">
        <v>0</v>
      </c>
      <c r="BZ1128" s="6">
        <v>0</v>
      </c>
      <c r="CA1128" s="6">
        <v>0</v>
      </c>
      <c r="CB1128" s="6">
        <v>0</v>
      </c>
      <c r="CC1128" s="6">
        <f>IF(Table3[[#This Row],[Type]]="EM",IF((Table3[[#This Row],[Diameter]]/2)-Table3[[#This Row],[CornerRadius]]-0.012&gt;0,(Table3[[#This Row],[Diameter]]/2)-Table3[[#This Row],[CornerRadius]]-0.012,0),)</f>
        <v>0</v>
      </c>
      <c r="CE1128" s="6" t="str">
        <f>IF(Table3[[#This Row],[ShoulderLength]]="","",IF(Table3[[#This Row],[ShoulderLength]]&lt;Table3[[#This Row],[LOC]],"FIX",""))</f>
        <v/>
      </c>
    </row>
    <row r="1129" spans="1:83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v>0</v>
      </c>
      <c r="BN1129" s="6">
        <v>0</v>
      </c>
      <c r="BO1129" s="6">
        <v>0</v>
      </c>
      <c r="BP1129" s="6">
        <v>0</v>
      </c>
      <c r="BQ1129" s="6">
        <v>0</v>
      </c>
      <c r="BR1129" s="6">
        <v>0</v>
      </c>
      <c r="BS1129" s="6">
        <v>0</v>
      </c>
      <c r="BT1129" s="6">
        <v>0</v>
      </c>
      <c r="BU1129" s="6">
        <v>0</v>
      </c>
      <c r="BV1129" s="6">
        <v>0</v>
      </c>
      <c r="BW1129" s="6">
        <v>0</v>
      </c>
      <c r="BX1129" s="6">
        <v>0</v>
      </c>
      <c r="BY1129" s="6">
        <v>0</v>
      </c>
      <c r="BZ1129" s="6">
        <v>0</v>
      </c>
      <c r="CA1129" s="6">
        <v>0</v>
      </c>
      <c r="CB1129" s="6">
        <v>0</v>
      </c>
      <c r="CC1129" s="6">
        <f>IF(Table3[[#This Row],[Type]]="EM",IF((Table3[[#This Row],[Diameter]]/2)-Table3[[#This Row],[CornerRadius]]-0.012&gt;0,(Table3[[#This Row],[Diameter]]/2)-Table3[[#This Row],[CornerRadius]]-0.012,0),)</f>
        <v>0</v>
      </c>
      <c r="CE1129" s="6" t="str">
        <f>IF(Table3[[#This Row],[ShoulderLength]]="","",IF(Table3[[#This Row],[ShoulderLength]]&lt;Table3[[#This Row],[LOC]],"FIX",""))</f>
        <v/>
      </c>
    </row>
    <row r="1130" spans="1:83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v>0</v>
      </c>
      <c r="BN1130" s="6">
        <v>0</v>
      </c>
      <c r="BO1130" s="6">
        <v>0</v>
      </c>
      <c r="BP1130" s="6">
        <v>0</v>
      </c>
      <c r="BQ1130" s="6">
        <v>0</v>
      </c>
      <c r="BR1130" s="6">
        <v>0</v>
      </c>
      <c r="BS1130" s="6">
        <v>0</v>
      </c>
      <c r="BT1130" s="6">
        <v>0</v>
      </c>
      <c r="BU1130" s="6">
        <v>0</v>
      </c>
      <c r="BV1130" s="6">
        <v>0</v>
      </c>
      <c r="BW1130" s="6">
        <v>0</v>
      </c>
      <c r="BX1130" s="6">
        <v>0</v>
      </c>
      <c r="BY1130" s="6">
        <v>0</v>
      </c>
      <c r="BZ1130" s="6">
        <v>0</v>
      </c>
      <c r="CA1130" s="6">
        <v>0</v>
      </c>
      <c r="CB1130" s="6">
        <v>0</v>
      </c>
      <c r="CC1130" s="6">
        <f>IF(Table3[[#This Row],[Type]]="EM",IF((Table3[[#This Row],[Diameter]]/2)-Table3[[#This Row],[CornerRadius]]-0.012&gt;0,(Table3[[#This Row],[Diameter]]/2)-Table3[[#This Row],[CornerRadius]]-0.012,0),)</f>
        <v>0</v>
      </c>
      <c r="CE1130" s="6" t="str">
        <f>IF(Table3[[#This Row],[ShoulderLength]]="","",IF(Table3[[#This Row],[ShoulderLength]]&lt;Table3[[#This Row],[LOC]],"FIX",""))</f>
        <v/>
      </c>
    </row>
    <row r="1131" spans="1:83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v>0</v>
      </c>
      <c r="BN1131" s="6">
        <v>0</v>
      </c>
      <c r="BO1131" s="6">
        <v>0</v>
      </c>
      <c r="BP1131" s="6">
        <v>0</v>
      </c>
      <c r="BQ1131" s="6">
        <v>0</v>
      </c>
      <c r="BR1131" s="6">
        <v>0</v>
      </c>
      <c r="BS1131" s="6">
        <v>0</v>
      </c>
      <c r="BT1131" s="6">
        <v>0</v>
      </c>
      <c r="BU1131" s="6">
        <v>0</v>
      </c>
      <c r="BV1131" s="6">
        <v>0</v>
      </c>
      <c r="BW1131" s="6">
        <v>0</v>
      </c>
      <c r="BX1131" s="6">
        <v>0</v>
      </c>
      <c r="BY1131" s="6">
        <v>0</v>
      </c>
      <c r="BZ1131" s="6">
        <v>0</v>
      </c>
      <c r="CA1131" s="6">
        <v>0</v>
      </c>
      <c r="CB1131" s="6">
        <v>0</v>
      </c>
      <c r="CC1131" s="6">
        <f>IF(Table3[[#This Row],[Type]]="EM",IF((Table3[[#This Row],[Diameter]]/2)-Table3[[#This Row],[CornerRadius]]-0.012&gt;0,(Table3[[#This Row],[Diameter]]/2)-Table3[[#This Row],[CornerRadius]]-0.012,0),)</f>
        <v>0</v>
      </c>
      <c r="CE1131" s="6" t="str">
        <f>IF(Table3[[#This Row],[ShoulderLength]]="","",IF(Table3[[#This Row],[ShoulderLength]]&lt;Table3[[#This Row],[LOC]],"FIX",""))</f>
        <v/>
      </c>
    </row>
    <row r="1132" spans="1:83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v>0</v>
      </c>
      <c r="BN1132" s="6">
        <v>0</v>
      </c>
      <c r="BO1132" s="6">
        <v>0</v>
      </c>
      <c r="BP1132" s="6">
        <v>0</v>
      </c>
      <c r="BQ1132" s="6">
        <v>0</v>
      </c>
      <c r="BR1132" s="6">
        <v>0</v>
      </c>
      <c r="BS1132" s="6">
        <v>0</v>
      </c>
      <c r="BT1132" s="6">
        <v>0</v>
      </c>
      <c r="BU1132" s="6">
        <v>0</v>
      </c>
      <c r="BV1132" s="6">
        <v>0</v>
      </c>
      <c r="BW1132" s="6">
        <v>0</v>
      </c>
      <c r="BX1132" s="6">
        <v>0</v>
      </c>
      <c r="BY1132" s="6">
        <v>0</v>
      </c>
      <c r="BZ1132" s="6">
        <v>0</v>
      </c>
      <c r="CA1132" s="6">
        <v>0</v>
      </c>
      <c r="CB1132" s="6">
        <v>0</v>
      </c>
      <c r="CC1132" s="6">
        <f>IF(Table3[[#This Row],[Type]]="EM",IF((Table3[[#This Row],[Diameter]]/2)-Table3[[#This Row],[CornerRadius]]-0.012&gt;0,(Table3[[#This Row],[Diameter]]/2)-Table3[[#This Row],[CornerRadius]]-0.012,0),)</f>
        <v>0</v>
      </c>
      <c r="CE1132" s="6" t="str">
        <f>IF(Table3[[#This Row],[ShoulderLength]]="","",IF(Table3[[#This Row],[ShoulderLength]]&lt;Table3[[#This Row],[LOC]],"FIX",""))</f>
        <v/>
      </c>
    </row>
    <row r="1133" spans="1:83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v>0</v>
      </c>
      <c r="BN1133" s="6">
        <v>0</v>
      </c>
      <c r="BO1133" s="6">
        <v>0</v>
      </c>
      <c r="BP1133" s="6">
        <v>0</v>
      </c>
      <c r="BQ1133" s="6">
        <v>0</v>
      </c>
      <c r="BR1133" s="6">
        <v>0</v>
      </c>
      <c r="BS1133" s="6">
        <v>0</v>
      </c>
      <c r="BT1133" s="6">
        <v>0</v>
      </c>
      <c r="BU1133" s="6">
        <v>0</v>
      </c>
      <c r="BV1133" s="6">
        <v>0</v>
      </c>
      <c r="BW1133" s="6">
        <v>0</v>
      </c>
      <c r="BX1133" s="6">
        <v>0</v>
      </c>
      <c r="BY1133" s="6">
        <v>0</v>
      </c>
      <c r="BZ1133" s="6">
        <v>0</v>
      </c>
      <c r="CA1133" s="6">
        <v>0</v>
      </c>
      <c r="CB1133" s="6">
        <v>0</v>
      </c>
      <c r="CC1133" s="6">
        <f>IF(Table3[[#This Row],[Type]]="EM",IF((Table3[[#This Row],[Diameter]]/2)-Table3[[#This Row],[CornerRadius]]-0.012&gt;0,(Table3[[#This Row],[Diameter]]/2)-Table3[[#This Row],[CornerRadius]]-0.012,0),)</f>
        <v>0</v>
      </c>
      <c r="CE1133" s="6" t="str">
        <f>IF(Table3[[#This Row],[ShoulderLength]]="","",IF(Table3[[#This Row],[ShoulderLength]]&lt;Table3[[#This Row],[LOC]],"FIX",""))</f>
        <v/>
      </c>
    </row>
    <row r="1134" spans="1:83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v>0</v>
      </c>
      <c r="BN1134" s="6">
        <v>0</v>
      </c>
      <c r="BO1134" s="6">
        <v>0</v>
      </c>
      <c r="BP1134" s="6">
        <v>0</v>
      </c>
      <c r="BQ1134" s="6">
        <v>0</v>
      </c>
      <c r="BR1134" s="6">
        <v>0</v>
      </c>
      <c r="BS1134" s="6">
        <v>0</v>
      </c>
      <c r="BT1134" s="6">
        <v>0</v>
      </c>
      <c r="BU1134" s="6">
        <v>0</v>
      </c>
      <c r="BV1134" s="6">
        <v>0</v>
      </c>
      <c r="BW1134" s="6">
        <v>0</v>
      </c>
      <c r="BX1134" s="6">
        <v>0</v>
      </c>
      <c r="BY1134" s="6">
        <v>0</v>
      </c>
      <c r="BZ1134" s="6">
        <v>0</v>
      </c>
      <c r="CA1134" s="6">
        <v>0</v>
      </c>
      <c r="CB1134" s="6">
        <v>0</v>
      </c>
      <c r="CC1134" s="6">
        <f>IF(Table3[[#This Row],[Type]]="EM",IF((Table3[[#This Row],[Diameter]]/2)-Table3[[#This Row],[CornerRadius]]-0.012&gt;0,(Table3[[#This Row],[Diameter]]/2)-Table3[[#This Row],[CornerRadius]]-0.012,0),)</f>
        <v>0</v>
      </c>
      <c r="CE1134" s="6" t="str">
        <f>IF(Table3[[#This Row],[ShoulderLength]]="","",IF(Table3[[#This Row],[ShoulderLength]]&lt;Table3[[#This Row],[LOC]],"FIX",""))</f>
        <v/>
      </c>
    </row>
    <row r="1135" spans="1:83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v>0</v>
      </c>
      <c r="BN1135" s="6">
        <v>0</v>
      </c>
      <c r="BO1135" s="6">
        <v>0</v>
      </c>
      <c r="BP1135" s="6">
        <v>0</v>
      </c>
      <c r="BQ1135" s="6">
        <v>0</v>
      </c>
      <c r="BR1135" s="6">
        <v>0</v>
      </c>
      <c r="BS1135" s="6">
        <v>0</v>
      </c>
      <c r="BT1135" s="6">
        <v>0</v>
      </c>
      <c r="BU1135" s="6">
        <v>0</v>
      </c>
      <c r="BV1135" s="6">
        <v>0</v>
      </c>
      <c r="BW1135" s="6">
        <v>0</v>
      </c>
      <c r="BX1135" s="6">
        <v>0</v>
      </c>
      <c r="BY1135" s="6">
        <v>0</v>
      </c>
      <c r="BZ1135" s="6">
        <v>0</v>
      </c>
      <c r="CA1135" s="6">
        <v>0</v>
      </c>
      <c r="CB1135" s="6">
        <v>0</v>
      </c>
      <c r="CC1135" s="6">
        <f>IF(Table3[[#This Row],[Type]]="EM",IF((Table3[[#This Row],[Diameter]]/2)-Table3[[#This Row],[CornerRadius]]-0.012&gt;0,(Table3[[#This Row],[Diameter]]/2)-Table3[[#This Row],[CornerRadius]]-0.012,0),)</f>
        <v>0</v>
      </c>
      <c r="CE1135" s="6" t="str">
        <f>IF(Table3[[#This Row],[ShoulderLength]]="","",IF(Table3[[#This Row],[ShoulderLength]]&lt;Table3[[#This Row],[LOC]],"FIX",""))</f>
        <v/>
      </c>
    </row>
    <row r="1136" spans="1:83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v>0</v>
      </c>
      <c r="BN1136" s="6">
        <v>0</v>
      </c>
      <c r="BO1136" s="6">
        <v>0</v>
      </c>
      <c r="BP1136" s="6">
        <v>0</v>
      </c>
      <c r="BQ1136" s="6">
        <v>0</v>
      </c>
      <c r="BR1136" s="6">
        <v>0</v>
      </c>
      <c r="BS1136" s="6">
        <v>0</v>
      </c>
      <c r="BT1136" s="6">
        <v>0</v>
      </c>
      <c r="BU1136" s="6">
        <v>0</v>
      </c>
      <c r="BV1136" s="6">
        <v>0</v>
      </c>
      <c r="BW1136" s="6">
        <v>0</v>
      </c>
      <c r="BX1136" s="6">
        <v>0</v>
      </c>
      <c r="BY1136" s="6">
        <v>0</v>
      </c>
      <c r="BZ1136" s="6">
        <v>0</v>
      </c>
      <c r="CA1136" s="6">
        <v>0</v>
      </c>
      <c r="CB1136" s="6">
        <v>0</v>
      </c>
      <c r="CC1136" s="6">
        <f>IF(Table3[[#This Row],[Type]]="EM",IF((Table3[[#This Row],[Diameter]]/2)-Table3[[#This Row],[CornerRadius]]-0.012&gt;0,(Table3[[#This Row],[Diameter]]/2)-Table3[[#This Row],[CornerRadius]]-0.012,0),)</f>
        <v>0</v>
      </c>
      <c r="CE1136" s="6" t="str">
        <f>IF(Table3[[#This Row],[ShoulderLength]]="","",IF(Table3[[#This Row],[ShoulderLength]]&lt;Table3[[#This Row],[LOC]],"FIX",""))</f>
        <v>FIX</v>
      </c>
    </row>
    <row r="1137" spans="1:83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v>0</v>
      </c>
      <c r="BN1137" s="6">
        <v>0</v>
      </c>
      <c r="BO1137" s="6">
        <v>0</v>
      </c>
      <c r="BP1137" s="6">
        <v>0</v>
      </c>
      <c r="BQ1137" s="6">
        <v>0</v>
      </c>
      <c r="BR1137" s="6">
        <v>0</v>
      </c>
      <c r="BS1137" s="6">
        <v>0</v>
      </c>
      <c r="BT1137" s="6">
        <v>0</v>
      </c>
      <c r="BU1137" s="6">
        <v>0</v>
      </c>
      <c r="BV1137" s="6">
        <v>0</v>
      </c>
      <c r="BW1137" s="6">
        <v>0</v>
      </c>
      <c r="BX1137" s="6">
        <v>0</v>
      </c>
      <c r="BY1137" s="6">
        <v>0</v>
      </c>
      <c r="BZ1137" s="6">
        <v>0</v>
      </c>
      <c r="CA1137" s="6">
        <v>0</v>
      </c>
      <c r="CB1137" s="6">
        <v>0</v>
      </c>
      <c r="CC1137" s="6">
        <f>IF(Table3[[#This Row],[Type]]="EM",IF((Table3[[#This Row],[Diameter]]/2)-Table3[[#This Row],[CornerRadius]]-0.012&gt;0,(Table3[[#This Row],[Diameter]]/2)-Table3[[#This Row],[CornerRadius]]-0.012,0),)</f>
        <v>0</v>
      </c>
      <c r="CE1137" s="6" t="str">
        <f>IF(Table3[[#This Row],[ShoulderLength]]="","",IF(Table3[[#This Row],[ShoulderLength]]&lt;Table3[[#This Row],[LOC]],"FIX",""))</f>
        <v/>
      </c>
    </row>
    <row r="1138" spans="1:83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v>0</v>
      </c>
      <c r="BN1138" s="6">
        <v>0</v>
      </c>
      <c r="BO1138" s="6">
        <v>0</v>
      </c>
      <c r="BP1138" s="6">
        <v>0</v>
      </c>
      <c r="BQ1138" s="6">
        <v>0</v>
      </c>
      <c r="BR1138" s="6">
        <v>0</v>
      </c>
      <c r="BS1138" s="6">
        <v>0</v>
      </c>
      <c r="BT1138" s="6">
        <v>0</v>
      </c>
      <c r="BU1138" s="6">
        <v>0</v>
      </c>
      <c r="BV1138" s="6">
        <v>0</v>
      </c>
      <c r="BW1138" s="6">
        <v>0</v>
      </c>
      <c r="BX1138" s="6">
        <v>0</v>
      </c>
      <c r="BY1138" s="6">
        <v>0</v>
      </c>
      <c r="BZ1138" s="6">
        <v>0</v>
      </c>
      <c r="CA1138" s="6">
        <v>0</v>
      </c>
      <c r="CB1138" s="6">
        <v>0</v>
      </c>
      <c r="CC1138" s="6">
        <f>IF(Table3[[#This Row],[Type]]="EM",IF((Table3[[#This Row],[Diameter]]/2)-Table3[[#This Row],[CornerRadius]]-0.012&gt;0,(Table3[[#This Row],[Diameter]]/2)-Table3[[#This Row],[CornerRadius]]-0.012,0),)</f>
        <v>0</v>
      </c>
      <c r="CE1138" s="6" t="str">
        <f>IF(Table3[[#This Row],[ShoulderLength]]="","",IF(Table3[[#This Row],[ShoulderLength]]&lt;Table3[[#This Row],[LOC]],"FIX",""))</f>
        <v/>
      </c>
    </row>
    <row r="1139" spans="1:83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v>0</v>
      </c>
      <c r="BN1139" s="6">
        <v>0</v>
      </c>
      <c r="BO1139" s="6">
        <v>0</v>
      </c>
      <c r="BP1139" s="6">
        <v>0</v>
      </c>
      <c r="BQ1139" s="6">
        <v>0</v>
      </c>
      <c r="BR1139" s="6">
        <v>0</v>
      </c>
      <c r="BS1139" s="6">
        <v>0</v>
      </c>
      <c r="BT1139" s="6">
        <v>0</v>
      </c>
      <c r="BU1139" s="6">
        <v>0</v>
      </c>
      <c r="BV1139" s="6">
        <v>0</v>
      </c>
      <c r="BW1139" s="6">
        <v>0</v>
      </c>
      <c r="BX1139" s="6">
        <v>0</v>
      </c>
      <c r="BY1139" s="6">
        <v>0</v>
      </c>
      <c r="BZ1139" s="6">
        <v>0</v>
      </c>
      <c r="CA1139" s="6">
        <v>0</v>
      </c>
      <c r="CB1139" s="6">
        <v>0</v>
      </c>
      <c r="CC1139" s="6">
        <f>IF(Table3[[#This Row],[Type]]="EM",IF((Table3[[#This Row],[Diameter]]/2)-Table3[[#This Row],[CornerRadius]]-0.012&gt;0,(Table3[[#This Row],[Diameter]]/2)-Table3[[#This Row],[CornerRadius]]-0.012,0),)</f>
        <v>0</v>
      </c>
      <c r="CE1139" s="6" t="str">
        <f>IF(Table3[[#This Row],[ShoulderLength]]="","",IF(Table3[[#This Row],[ShoulderLength]]&lt;Table3[[#This Row],[LOC]],"FIX",""))</f>
        <v/>
      </c>
    </row>
    <row r="1140" spans="1:83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v>0</v>
      </c>
      <c r="BN1140" s="6">
        <v>0</v>
      </c>
      <c r="BO1140" s="6">
        <v>0</v>
      </c>
      <c r="BP1140" s="6">
        <v>0</v>
      </c>
      <c r="BQ1140" s="6">
        <v>0</v>
      </c>
      <c r="BR1140" s="6">
        <v>0</v>
      </c>
      <c r="BS1140" s="6">
        <v>0</v>
      </c>
      <c r="BT1140" s="6">
        <v>0</v>
      </c>
      <c r="BU1140" s="6">
        <v>0</v>
      </c>
      <c r="BV1140" s="6">
        <v>0</v>
      </c>
      <c r="BW1140" s="6">
        <v>0</v>
      </c>
      <c r="BX1140" s="6">
        <v>0</v>
      </c>
      <c r="BY1140" s="6">
        <v>0</v>
      </c>
      <c r="BZ1140" s="6">
        <v>0</v>
      </c>
      <c r="CA1140" s="6">
        <v>0</v>
      </c>
      <c r="CB1140" s="6">
        <v>0</v>
      </c>
      <c r="CC1140" s="6">
        <f>IF(Table3[[#This Row],[Type]]="EM",IF((Table3[[#This Row],[Diameter]]/2)-Table3[[#This Row],[CornerRadius]]-0.012&gt;0,(Table3[[#This Row],[Diameter]]/2)-Table3[[#This Row],[CornerRadius]]-0.012,0),)</f>
        <v>0</v>
      </c>
      <c r="CE1140" s="6" t="str">
        <f>IF(Table3[[#This Row],[ShoulderLength]]="","",IF(Table3[[#This Row],[ShoulderLength]]&lt;Table3[[#This Row],[LOC]],"FIX",""))</f>
        <v/>
      </c>
    </row>
    <row r="1141" spans="1:83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v>0</v>
      </c>
      <c r="BN1141" s="6">
        <v>0</v>
      </c>
      <c r="BO1141" s="6">
        <v>0</v>
      </c>
      <c r="BP1141" s="6">
        <v>0</v>
      </c>
      <c r="BQ1141" s="6">
        <v>0</v>
      </c>
      <c r="BR1141" s="6">
        <v>0</v>
      </c>
      <c r="BS1141" s="6">
        <v>0</v>
      </c>
      <c r="BT1141" s="6">
        <v>0</v>
      </c>
      <c r="BU1141" s="6">
        <v>0</v>
      </c>
      <c r="BV1141" s="6">
        <v>0</v>
      </c>
      <c r="BW1141" s="6">
        <v>0</v>
      </c>
      <c r="BX1141" s="6">
        <v>0</v>
      </c>
      <c r="BY1141" s="6">
        <v>0</v>
      </c>
      <c r="BZ1141" s="6">
        <v>0</v>
      </c>
      <c r="CA1141" s="6">
        <v>0</v>
      </c>
      <c r="CB1141" s="6">
        <v>0</v>
      </c>
      <c r="CC1141" s="6">
        <f>IF(Table3[[#This Row],[Type]]="EM",IF((Table3[[#This Row],[Diameter]]/2)-Table3[[#This Row],[CornerRadius]]-0.012&gt;0,(Table3[[#This Row],[Diameter]]/2)-Table3[[#This Row],[CornerRadius]]-0.012,0),)</f>
        <v>0</v>
      </c>
      <c r="CE1141" s="6" t="str">
        <f>IF(Table3[[#This Row],[ShoulderLength]]="","",IF(Table3[[#This Row],[ShoulderLength]]&lt;Table3[[#This Row],[LOC]],"FIX",""))</f>
        <v>FIX</v>
      </c>
    </row>
    <row r="1142" spans="1:83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v>0</v>
      </c>
      <c r="BN1142" s="6">
        <v>0</v>
      </c>
      <c r="BO1142" s="6">
        <v>0</v>
      </c>
      <c r="BP1142" s="6">
        <v>0</v>
      </c>
      <c r="BQ1142" s="6">
        <v>0</v>
      </c>
      <c r="BR1142" s="6">
        <v>0</v>
      </c>
      <c r="BS1142" s="6">
        <v>0</v>
      </c>
      <c r="BT1142" s="6">
        <v>0</v>
      </c>
      <c r="BU1142" s="6">
        <v>0</v>
      </c>
      <c r="BV1142" s="6">
        <v>0</v>
      </c>
      <c r="BW1142" s="6">
        <v>0</v>
      </c>
      <c r="BX1142" s="6">
        <v>0</v>
      </c>
      <c r="BY1142" s="6">
        <v>0</v>
      </c>
      <c r="BZ1142" s="6">
        <v>0</v>
      </c>
      <c r="CA1142" s="6">
        <v>0</v>
      </c>
      <c r="CB1142" s="6">
        <v>0</v>
      </c>
      <c r="CC1142" s="6">
        <f>IF(Table3[[#This Row],[Type]]="EM",IF((Table3[[#This Row],[Diameter]]/2)-Table3[[#This Row],[CornerRadius]]-0.012&gt;0,(Table3[[#This Row],[Diameter]]/2)-Table3[[#This Row],[CornerRadius]]-0.012,0),)</f>
        <v>0</v>
      </c>
      <c r="CE1142" s="6" t="str">
        <f>IF(Table3[[#This Row],[ShoulderLength]]="","",IF(Table3[[#This Row],[ShoulderLength]]&lt;Table3[[#This Row],[LOC]],"FIX",""))</f>
        <v>FIX</v>
      </c>
    </row>
    <row r="1143" spans="1:83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v>0</v>
      </c>
      <c r="BN1143" s="6">
        <v>0</v>
      </c>
      <c r="BO1143" s="6">
        <v>0</v>
      </c>
      <c r="BP1143" s="6">
        <v>0</v>
      </c>
      <c r="BQ1143" s="6">
        <v>0</v>
      </c>
      <c r="BR1143" s="6">
        <v>0</v>
      </c>
      <c r="BS1143" s="6">
        <v>0</v>
      </c>
      <c r="BT1143" s="6">
        <v>0</v>
      </c>
      <c r="BU1143" s="6">
        <v>0</v>
      </c>
      <c r="BV1143" s="6">
        <v>0</v>
      </c>
      <c r="BW1143" s="6">
        <v>0</v>
      </c>
      <c r="BX1143" s="6">
        <v>0</v>
      </c>
      <c r="BY1143" s="6">
        <v>0</v>
      </c>
      <c r="BZ1143" s="6">
        <v>0</v>
      </c>
      <c r="CA1143" s="6">
        <v>0</v>
      </c>
      <c r="CB1143" s="6">
        <v>0</v>
      </c>
      <c r="CC1143" s="6">
        <f>IF(Table3[[#This Row],[Type]]="EM",IF((Table3[[#This Row],[Diameter]]/2)-Table3[[#This Row],[CornerRadius]]-0.012&gt;0,(Table3[[#This Row],[Diameter]]/2)-Table3[[#This Row],[CornerRadius]]-0.012,0),)</f>
        <v>0</v>
      </c>
      <c r="CE1143" s="6" t="str">
        <f>IF(Table3[[#This Row],[ShoulderLength]]="","",IF(Table3[[#This Row],[ShoulderLength]]&lt;Table3[[#This Row],[LOC]],"FIX",""))</f>
        <v/>
      </c>
    </row>
    <row r="1144" spans="1:83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v>0</v>
      </c>
      <c r="BN1144" s="6">
        <v>0</v>
      </c>
      <c r="BO1144" s="6">
        <v>0</v>
      </c>
      <c r="BP1144" s="6">
        <v>0</v>
      </c>
      <c r="BQ1144" s="6">
        <v>0</v>
      </c>
      <c r="BR1144" s="6">
        <v>0</v>
      </c>
      <c r="BS1144" s="6">
        <v>0</v>
      </c>
      <c r="BT1144" s="6">
        <v>0</v>
      </c>
      <c r="BU1144" s="6">
        <v>0</v>
      </c>
      <c r="BV1144" s="6">
        <v>0</v>
      </c>
      <c r="BW1144" s="6">
        <v>0</v>
      </c>
      <c r="BX1144" s="6">
        <v>0</v>
      </c>
      <c r="BY1144" s="6">
        <v>0</v>
      </c>
      <c r="BZ1144" s="6">
        <v>0</v>
      </c>
      <c r="CA1144" s="6">
        <v>0</v>
      </c>
      <c r="CB1144" s="6">
        <v>0</v>
      </c>
      <c r="CC1144" s="6">
        <f>IF(Table3[[#This Row],[Type]]="EM",IF((Table3[[#This Row],[Diameter]]/2)-Table3[[#This Row],[CornerRadius]]-0.012&gt;0,(Table3[[#This Row],[Diameter]]/2)-Table3[[#This Row],[CornerRadius]]-0.012,0),)</f>
        <v>0</v>
      </c>
      <c r="CE1144" s="6" t="str">
        <f>IF(Table3[[#This Row],[ShoulderLength]]="","",IF(Table3[[#This Row],[ShoulderLength]]&lt;Table3[[#This Row],[LOC]],"FIX",""))</f>
        <v/>
      </c>
    </row>
    <row r="1145" spans="1:83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v>0</v>
      </c>
      <c r="BN1145" s="6">
        <v>0</v>
      </c>
      <c r="BO1145" s="6">
        <v>0</v>
      </c>
      <c r="BP1145" s="6">
        <v>0</v>
      </c>
      <c r="BQ1145" s="6">
        <v>0</v>
      </c>
      <c r="BR1145" s="6">
        <v>0</v>
      </c>
      <c r="BS1145" s="6">
        <v>0</v>
      </c>
      <c r="BT1145" s="6">
        <v>0</v>
      </c>
      <c r="BU1145" s="6">
        <v>0</v>
      </c>
      <c r="BV1145" s="6">
        <v>0</v>
      </c>
      <c r="BW1145" s="6">
        <v>0</v>
      </c>
      <c r="BX1145" s="6">
        <v>0</v>
      </c>
      <c r="BY1145" s="6">
        <v>0</v>
      </c>
      <c r="BZ1145" s="6">
        <v>0</v>
      </c>
      <c r="CA1145" s="6">
        <v>0</v>
      </c>
      <c r="CB1145" s="6">
        <v>0</v>
      </c>
      <c r="CC1145" s="6">
        <f>IF(Table3[[#This Row],[Type]]="EM",IF((Table3[[#This Row],[Diameter]]/2)-Table3[[#This Row],[CornerRadius]]-0.012&gt;0,(Table3[[#This Row],[Diameter]]/2)-Table3[[#This Row],[CornerRadius]]-0.012,0),)</f>
        <v>0</v>
      </c>
      <c r="CE1145" s="6" t="str">
        <f>IF(Table3[[#This Row],[ShoulderLength]]="","",IF(Table3[[#This Row],[ShoulderLength]]&lt;Table3[[#This Row],[LOC]],"FIX",""))</f>
        <v/>
      </c>
    </row>
    <row r="1146" spans="1:83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v>0</v>
      </c>
      <c r="BN1146" s="6">
        <v>0</v>
      </c>
      <c r="BO1146" s="6">
        <v>0</v>
      </c>
      <c r="BP1146" s="6">
        <v>0</v>
      </c>
      <c r="BQ1146" s="6">
        <v>0</v>
      </c>
      <c r="BR1146" s="6">
        <v>0</v>
      </c>
      <c r="BS1146" s="6">
        <v>0</v>
      </c>
      <c r="BT1146" s="6">
        <v>0</v>
      </c>
      <c r="BU1146" s="6">
        <v>0</v>
      </c>
      <c r="BV1146" s="6">
        <v>0</v>
      </c>
      <c r="BW1146" s="6">
        <v>0</v>
      </c>
      <c r="BX1146" s="6">
        <v>0</v>
      </c>
      <c r="BY1146" s="6">
        <v>0</v>
      </c>
      <c r="BZ1146" s="6">
        <v>0</v>
      </c>
      <c r="CA1146" s="6">
        <v>0</v>
      </c>
      <c r="CB1146" s="6">
        <v>0</v>
      </c>
      <c r="CC1146" s="6">
        <f>IF(Table3[[#This Row],[Type]]="EM",IF((Table3[[#This Row],[Diameter]]/2)-Table3[[#This Row],[CornerRadius]]-0.012&gt;0,(Table3[[#This Row],[Diameter]]/2)-Table3[[#This Row],[CornerRadius]]-0.012,0),)</f>
        <v>0</v>
      </c>
      <c r="CE1146" s="6" t="str">
        <f>IF(Table3[[#This Row],[ShoulderLength]]="","",IF(Table3[[#This Row],[ShoulderLength]]&lt;Table3[[#This Row],[LOC]],"FIX",""))</f>
        <v/>
      </c>
    </row>
    <row r="1147" spans="1:83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v>0</v>
      </c>
      <c r="BN1147" s="6">
        <v>0</v>
      </c>
      <c r="BO1147" s="6">
        <v>0</v>
      </c>
      <c r="BP1147" s="6">
        <v>0</v>
      </c>
      <c r="BQ1147" s="6">
        <v>0</v>
      </c>
      <c r="BR1147" s="6">
        <v>0</v>
      </c>
      <c r="BS1147" s="6">
        <v>0</v>
      </c>
      <c r="BT1147" s="6">
        <v>0</v>
      </c>
      <c r="BU1147" s="6">
        <v>0</v>
      </c>
      <c r="BV1147" s="6">
        <v>0</v>
      </c>
      <c r="BW1147" s="6">
        <v>0</v>
      </c>
      <c r="BX1147" s="6">
        <v>0</v>
      </c>
      <c r="BY1147" s="6">
        <v>0</v>
      </c>
      <c r="BZ1147" s="6">
        <v>0</v>
      </c>
      <c r="CA1147" s="6">
        <v>0</v>
      </c>
      <c r="CB1147" s="6">
        <v>0</v>
      </c>
      <c r="CC1147" s="6">
        <f>IF(Table3[[#This Row],[Type]]="EM",IF((Table3[[#This Row],[Diameter]]/2)-Table3[[#This Row],[CornerRadius]]-0.012&gt;0,(Table3[[#This Row],[Diameter]]/2)-Table3[[#This Row],[CornerRadius]]-0.012,0),)</f>
        <v>0</v>
      </c>
      <c r="CE1147" s="6" t="str">
        <f>IF(Table3[[#This Row],[ShoulderLength]]="","",IF(Table3[[#This Row],[ShoulderLength]]&lt;Table3[[#This Row],[LOC]],"FIX",""))</f>
        <v/>
      </c>
    </row>
    <row r="1148" spans="1:83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v>0</v>
      </c>
      <c r="BN1148" s="6">
        <v>0</v>
      </c>
      <c r="BO1148" s="6">
        <v>0</v>
      </c>
      <c r="BP1148" s="6">
        <v>0</v>
      </c>
      <c r="BQ1148" s="6">
        <v>0</v>
      </c>
      <c r="BR1148" s="6">
        <v>0</v>
      </c>
      <c r="BS1148" s="6">
        <v>0</v>
      </c>
      <c r="BT1148" s="6">
        <v>0</v>
      </c>
      <c r="BU1148" s="6">
        <v>0</v>
      </c>
      <c r="BV1148" s="6">
        <v>0</v>
      </c>
      <c r="BW1148" s="6">
        <v>0</v>
      </c>
      <c r="BX1148" s="6">
        <v>0</v>
      </c>
      <c r="BY1148" s="6">
        <v>0</v>
      </c>
      <c r="BZ1148" s="6">
        <v>0</v>
      </c>
      <c r="CA1148" s="6">
        <v>0</v>
      </c>
      <c r="CB1148" s="6">
        <v>0</v>
      </c>
      <c r="CC1148" s="6">
        <f>IF(Table3[[#This Row],[Type]]="EM",IF((Table3[[#This Row],[Diameter]]/2)-Table3[[#This Row],[CornerRadius]]-0.012&gt;0,(Table3[[#This Row],[Diameter]]/2)-Table3[[#This Row],[CornerRadius]]-0.012,0),)</f>
        <v>0</v>
      </c>
      <c r="CE1148" s="6" t="str">
        <f>IF(Table3[[#This Row],[ShoulderLength]]="","",IF(Table3[[#This Row],[ShoulderLength]]&lt;Table3[[#This Row],[LOC]],"FIX",""))</f>
        <v/>
      </c>
    </row>
    <row r="1149" spans="1:83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v>0</v>
      </c>
      <c r="BN1149" s="6">
        <v>0</v>
      </c>
      <c r="BO1149" s="6">
        <v>0</v>
      </c>
      <c r="BP1149" s="6">
        <v>0</v>
      </c>
      <c r="BQ1149" s="6">
        <v>0</v>
      </c>
      <c r="BR1149" s="6">
        <v>0</v>
      </c>
      <c r="BS1149" s="6">
        <v>0</v>
      </c>
      <c r="BT1149" s="6">
        <v>0</v>
      </c>
      <c r="BU1149" s="6">
        <v>0</v>
      </c>
      <c r="BV1149" s="6">
        <v>0</v>
      </c>
      <c r="BW1149" s="6">
        <v>0</v>
      </c>
      <c r="BX1149" s="6">
        <v>0</v>
      </c>
      <c r="BY1149" s="6">
        <v>0</v>
      </c>
      <c r="BZ1149" s="6">
        <v>0</v>
      </c>
      <c r="CA1149" s="6">
        <v>0</v>
      </c>
      <c r="CB1149" s="6">
        <v>0</v>
      </c>
      <c r="CC1149" s="6">
        <f>IF(Table3[[#This Row],[Type]]="EM",IF((Table3[[#This Row],[Diameter]]/2)-Table3[[#This Row],[CornerRadius]]-0.012&gt;0,(Table3[[#This Row],[Diameter]]/2)-Table3[[#This Row],[CornerRadius]]-0.012,0),)</f>
        <v>0</v>
      </c>
      <c r="CE1149" s="6" t="str">
        <f>IF(Table3[[#This Row],[ShoulderLength]]="","",IF(Table3[[#This Row],[ShoulderLength]]&lt;Table3[[#This Row],[LOC]],"FIX",""))</f>
        <v/>
      </c>
    </row>
    <row r="1150" spans="1:83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v>0</v>
      </c>
      <c r="BN1150" s="6">
        <v>0</v>
      </c>
      <c r="BO1150" s="6">
        <v>0</v>
      </c>
      <c r="BP1150" s="6">
        <v>0</v>
      </c>
      <c r="BQ1150" s="6">
        <v>0</v>
      </c>
      <c r="BR1150" s="6">
        <v>0</v>
      </c>
      <c r="BS1150" s="6">
        <v>0</v>
      </c>
      <c r="BT1150" s="6">
        <v>0</v>
      </c>
      <c r="BU1150" s="6">
        <v>0</v>
      </c>
      <c r="BV1150" s="6">
        <v>0</v>
      </c>
      <c r="BW1150" s="6">
        <v>0</v>
      </c>
      <c r="BX1150" s="6">
        <v>0</v>
      </c>
      <c r="BY1150" s="6">
        <v>0</v>
      </c>
      <c r="BZ1150" s="6">
        <v>0</v>
      </c>
      <c r="CA1150" s="6">
        <v>0</v>
      </c>
      <c r="CB1150" s="6">
        <v>0</v>
      </c>
      <c r="CC1150" s="6">
        <f>IF(Table3[[#This Row],[Type]]="EM",IF((Table3[[#This Row],[Diameter]]/2)-Table3[[#This Row],[CornerRadius]]-0.012&gt;0,(Table3[[#This Row],[Diameter]]/2)-Table3[[#This Row],[CornerRadius]]-0.012,0),)</f>
        <v>0</v>
      </c>
      <c r="CE1150" s="6" t="str">
        <f>IF(Table3[[#This Row],[ShoulderLength]]="","",IF(Table3[[#This Row],[ShoulderLength]]&lt;Table3[[#This Row],[LOC]],"FIX",""))</f>
        <v/>
      </c>
    </row>
    <row r="1151" spans="1:83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v>0</v>
      </c>
      <c r="BN1151" s="6">
        <v>0</v>
      </c>
      <c r="BO1151" s="6">
        <v>0</v>
      </c>
      <c r="BP1151" s="6">
        <v>0</v>
      </c>
      <c r="BQ1151" s="6">
        <v>0</v>
      </c>
      <c r="BR1151" s="6">
        <v>0</v>
      </c>
      <c r="BS1151" s="6">
        <v>0</v>
      </c>
      <c r="BT1151" s="6">
        <v>0</v>
      </c>
      <c r="BU1151" s="6">
        <v>0</v>
      </c>
      <c r="BV1151" s="6">
        <v>0</v>
      </c>
      <c r="BW1151" s="6">
        <v>0</v>
      </c>
      <c r="BX1151" s="6">
        <v>0</v>
      </c>
      <c r="BY1151" s="6">
        <v>0</v>
      </c>
      <c r="BZ1151" s="6">
        <v>0</v>
      </c>
      <c r="CA1151" s="6">
        <v>0</v>
      </c>
      <c r="CB1151" s="6">
        <v>0</v>
      </c>
      <c r="CC1151" s="6">
        <f>IF(Table3[[#This Row],[Type]]="EM",IF((Table3[[#This Row],[Diameter]]/2)-Table3[[#This Row],[CornerRadius]]-0.012&gt;0,(Table3[[#This Row],[Diameter]]/2)-Table3[[#This Row],[CornerRadius]]-0.012,0),)</f>
        <v>0</v>
      </c>
      <c r="CE1151" s="6" t="str">
        <f>IF(Table3[[#This Row],[ShoulderLength]]="","",IF(Table3[[#This Row],[ShoulderLength]]&lt;Table3[[#This Row],[LOC]],"FIX",""))</f>
        <v/>
      </c>
    </row>
    <row r="1152" spans="1:83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v>0</v>
      </c>
      <c r="BN1152" s="6">
        <v>0</v>
      </c>
      <c r="BO1152" s="6">
        <v>0</v>
      </c>
      <c r="BP1152" s="6">
        <v>0</v>
      </c>
      <c r="BQ1152" s="6">
        <v>0</v>
      </c>
      <c r="BR1152" s="6">
        <v>0</v>
      </c>
      <c r="BS1152" s="6">
        <v>0</v>
      </c>
      <c r="BT1152" s="6">
        <v>0</v>
      </c>
      <c r="BU1152" s="6">
        <v>0</v>
      </c>
      <c r="BV1152" s="6">
        <v>0</v>
      </c>
      <c r="BW1152" s="6">
        <v>0</v>
      </c>
      <c r="BX1152" s="6">
        <v>0</v>
      </c>
      <c r="BY1152" s="6">
        <v>0</v>
      </c>
      <c r="BZ1152" s="6">
        <v>0</v>
      </c>
      <c r="CA1152" s="6">
        <v>0</v>
      </c>
      <c r="CB1152" s="6">
        <v>0</v>
      </c>
      <c r="CC1152" s="6">
        <f>IF(Table3[[#This Row],[Type]]="EM",IF((Table3[[#This Row],[Diameter]]/2)-Table3[[#This Row],[CornerRadius]]-0.012&gt;0,(Table3[[#This Row],[Diameter]]/2)-Table3[[#This Row],[CornerRadius]]-0.012,0),)</f>
        <v>0</v>
      </c>
      <c r="CE1152" s="6" t="str">
        <f>IF(Table3[[#This Row],[ShoulderLength]]="","",IF(Table3[[#This Row],[ShoulderLength]]&lt;Table3[[#This Row],[LOC]],"FIX",""))</f>
        <v/>
      </c>
    </row>
    <row r="1153" spans="1:83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v>0</v>
      </c>
      <c r="BN1153" s="6">
        <v>0</v>
      </c>
      <c r="BO1153" s="6">
        <v>0</v>
      </c>
      <c r="BP1153" s="6">
        <v>0</v>
      </c>
      <c r="BQ1153" s="6">
        <v>0</v>
      </c>
      <c r="BR1153" s="6">
        <v>0</v>
      </c>
      <c r="BS1153" s="6">
        <v>0</v>
      </c>
      <c r="BT1153" s="6">
        <v>0</v>
      </c>
      <c r="BU1153" s="6">
        <v>0</v>
      </c>
      <c r="BV1153" s="6">
        <v>0</v>
      </c>
      <c r="BW1153" s="6">
        <v>0</v>
      </c>
      <c r="BX1153" s="6">
        <v>0</v>
      </c>
      <c r="BY1153" s="6">
        <v>0</v>
      </c>
      <c r="BZ1153" s="6">
        <v>0</v>
      </c>
      <c r="CA1153" s="6">
        <v>0</v>
      </c>
      <c r="CB1153" s="6">
        <v>0</v>
      </c>
      <c r="CC1153" s="6">
        <f>IF(Table3[[#This Row],[Type]]="EM",IF((Table3[[#This Row],[Diameter]]/2)-Table3[[#This Row],[CornerRadius]]-0.012&gt;0,(Table3[[#This Row],[Diameter]]/2)-Table3[[#This Row],[CornerRadius]]-0.012,0),)</f>
        <v>0</v>
      </c>
      <c r="CE1153" s="6" t="str">
        <f>IF(Table3[[#This Row],[ShoulderLength]]="","",IF(Table3[[#This Row],[ShoulderLength]]&lt;Table3[[#This Row],[LOC]],"FIX",""))</f>
        <v/>
      </c>
    </row>
    <row r="1154" spans="1:83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v>0</v>
      </c>
      <c r="BN1154" s="6">
        <v>0</v>
      </c>
      <c r="BO1154" s="6">
        <v>0</v>
      </c>
      <c r="BP1154" s="6">
        <v>0</v>
      </c>
      <c r="BQ1154" s="6">
        <v>0</v>
      </c>
      <c r="BR1154" s="6">
        <v>0</v>
      </c>
      <c r="BS1154" s="6">
        <v>0</v>
      </c>
      <c r="BT1154" s="6">
        <v>0</v>
      </c>
      <c r="BU1154" s="6">
        <v>0</v>
      </c>
      <c r="BV1154" s="6">
        <v>0</v>
      </c>
      <c r="BW1154" s="6">
        <v>0</v>
      </c>
      <c r="BX1154" s="6">
        <v>0</v>
      </c>
      <c r="BY1154" s="6">
        <v>0</v>
      </c>
      <c r="BZ1154" s="6">
        <v>0</v>
      </c>
      <c r="CA1154" s="6">
        <v>0</v>
      </c>
      <c r="CB1154" s="6">
        <v>0</v>
      </c>
      <c r="CC1154" s="6">
        <f>IF(Table3[[#This Row],[Type]]="EM",IF((Table3[[#This Row],[Diameter]]/2)-Table3[[#This Row],[CornerRadius]]-0.012&gt;0,(Table3[[#This Row],[Diameter]]/2)-Table3[[#This Row],[CornerRadius]]-0.012,0),)</f>
        <v>0</v>
      </c>
      <c r="CE1154" s="6" t="str">
        <f>IF(Table3[[#This Row],[ShoulderLength]]="","",IF(Table3[[#This Row],[ShoulderLength]]&lt;Table3[[#This Row],[LOC]],"FIX",""))</f>
        <v/>
      </c>
    </row>
    <row r="1155" spans="1:83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v>0</v>
      </c>
      <c r="BN1155" s="6">
        <v>0</v>
      </c>
      <c r="BO1155" s="6">
        <v>0</v>
      </c>
      <c r="BP1155" s="6">
        <v>0</v>
      </c>
      <c r="BQ1155" s="6">
        <v>0</v>
      </c>
      <c r="BR1155" s="6">
        <v>0</v>
      </c>
      <c r="BS1155" s="6">
        <v>0</v>
      </c>
      <c r="BT1155" s="6">
        <v>0</v>
      </c>
      <c r="BU1155" s="6">
        <v>0</v>
      </c>
      <c r="BV1155" s="6">
        <v>0</v>
      </c>
      <c r="BW1155" s="6">
        <v>0</v>
      </c>
      <c r="BX1155" s="6">
        <v>0</v>
      </c>
      <c r="BY1155" s="6">
        <v>0</v>
      </c>
      <c r="BZ1155" s="6">
        <v>0</v>
      </c>
      <c r="CA1155" s="6">
        <v>0</v>
      </c>
      <c r="CB1155" s="6">
        <v>0</v>
      </c>
      <c r="CC1155" s="6">
        <f>IF(Table3[[#This Row],[Type]]="EM",IF((Table3[[#This Row],[Diameter]]/2)-Table3[[#This Row],[CornerRadius]]-0.012&gt;0,(Table3[[#This Row],[Diameter]]/2)-Table3[[#This Row],[CornerRadius]]-0.012,0),)</f>
        <v>0</v>
      </c>
      <c r="CE1155" s="6" t="str">
        <f>IF(Table3[[#This Row],[ShoulderLength]]="","",IF(Table3[[#This Row],[ShoulderLength]]&lt;Table3[[#This Row],[LOC]],"FIX",""))</f>
        <v/>
      </c>
    </row>
    <row r="1156" spans="1:83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v>0</v>
      </c>
      <c r="BN1156" s="6">
        <v>0</v>
      </c>
      <c r="BO1156" s="6">
        <v>0</v>
      </c>
      <c r="BP1156" s="6">
        <v>0</v>
      </c>
      <c r="BQ1156" s="6">
        <v>0</v>
      </c>
      <c r="BR1156" s="6">
        <v>0</v>
      </c>
      <c r="BS1156" s="6">
        <v>0</v>
      </c>
      <c r="BT1156" s="6">
        <v>0</v>
      </c>
      <c r="BU1156" s="6">
        <v>0</v>
      </c>
      <c r="BV1156" s="6">
        <v>0</v>
      </c>
      <c r="BW1156" s="6">
        <v>0</v>
      </c>
      <c r="BX1156" s="6">
        <v>0</v>
      </c>
      <c r="BY1156" s="6">
        <v>0</v>
      </c>
      <c r="BZ1156" s="6">
        <v>0</v>
      </c>
      <c r="CA1156" s="6">
        <v>0</v>
      </c>
      <c r="CB1156" s="6">
        <v>0</v>
      </c>
      <c r="CC1156" s="6">
        <f>IF(Table3[[#This Row],[Type]]="EM",IF((Table3[[#This Row],[Diameter]]/2)-Table3[[#This Row],[CornerRadius]]-0.012&gt;0,(Table3[[#This Row],[Diameter]]/2)-Table3[[#This Row],[CornerRadius]]-0.012,0),)</f>
        <v>0</v>
      </c>
      <c r="CE1156" s="6" t="str">
        <f>IF(Table3[[#This Row],[ShoulderLength]]="","",IF(Table3[[#This Row],[ShoulderLength]]&lt;Table3[[#This Row],[LOC]],"FIX",""))</f>
        <v/>
      </c>
    </row>
    <row r="1157" spans="1:83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v>0</v>
      </c>
      <c r="BN1157" s="6">
        <v>0</v>
      </c>
      <c r="BO1157" s="6">
        <v>0</v>
      </c>
      <c r="BP1157" s="6">
        <v>0</v>
      </c>
      <c r="BQ1157" s="6">
        <v>0</v>
      </c>
      <c r="BR1157" s="6">
        <v>0</v>
      </c>
      <c r="BS1157" s="6">
        <v>0</v>
      </c>
      <c r="BT1157" s="6">
        <v>0</v>
      </c>
      <c r="BU1157" s="6">
        <v>0</v>
      </c>
      <c r="BV1157" s="6">
        <v>0</v>
      </c>
      <c r="BW1157" s="6">
        <v>0</v>
      </c>
      <c r="BX1157" s="6">
        <v>0</v>
      </c>
      <c r="BY1157" s="6">
        <v>0</v>
      </c>
      <c r="BZ1157" s="6">
        <v>0</v>
      </c>
      <c r="CA1157" s="6">
        <v>0</v>
      </c>
      <c r="CB1157" s="6">
        <v>0</v>
      </c>
      <c r="CC1157" s="6">
        <f>IF(Table3[[#This Row],[Type]]="EM",IF((Table3[[#This Row],[Diameter]]/2)-Table3[[#This Row],[CornerRadius]]-0.012&gt;0,(Table3[[#This Row],[Diameter]]/2)-Table3[[#This Row],[CornerRadius]]-0.012,0),)</f>
        <v>0</v>
      </c>
      <c r="CE1157" s="6" t="str">
        <f>IF(Table3[[#This Row],[ShoulderLength]]="","",IF(Table3[[#This Row],[ShoulderLength]]&lt;Table3[[#This Row],[LOC]],"FIX",""))</f>
        <v/>
      </c>
    </row>
    <row r="1158" spans="1:83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v>0</v>
      </c>
      <c r="BN1158" s="6">
        <v>0</v>
      </c>
      <c r="BO1158" s="6">
        <v>0</v>
      </c>
      <c r="BP1158" s="6">
        <v>0</v>
      </c>
      <c r="BQ1158" s="6">
        <v>0</v>
      </c>
      <c r="BR1158" s="6">
        <v>0</v>
      </c>
      <c r="BS1158" s="6">
        <v>0</v>
      </c>
      <c r="BT1158" s="6">
        <v>0</v>
      </c>
      <c r="BU1158" s="6">
        <v>0</v>
      </c>
      <c r="BV1158" s="6">
        <v>0</v>
      </c>
      <c r="BW1158" s="6">
        <v>0</v>
      </c>
      <c r="BX1158" s="6">
        <v>0</v>
      </c>
      <c r="BY1158" s="6">
        <v>0</v>
      </c>
      <c r="BZ1158" s="6">
        <v>0</v>
      </c>
      <c r="CA1158" s="6">
        <v>0</v>
      </c>
      <c r="CB1158" s="6">
        <v>0</v>
      </c>
      <c r="CC1158" s="6">
        <f>IF(Table3[[#This Row],[Type]]="EM",IF((Table3[[#This Row],[Diameter]]/2)-Table3[[#This Row],[CornerRadius]]-0.012&gt;0,(Table3[[#This Row],[Diameter]]/2)-Table3[[#This Row],[CornerRadius]]-0.012,0),)</f>
        <v>0</v>
      </c>
      <c r="CE1158" s="6" t="str">
        <f>IF(Table3[[#This Row],[ShoulderLength]]="","",IF(Table3[[#This Row],[ShoulderLength]]&lt;Table3[[#This Row],[LOC]],"FIX",""))</f>
        <v/>
      </c>
    </row>
    <row r="1159" spans="1:83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v>0</v>
      </c>
      <c r="BN1159" s="6">
        <v>0</v>
      </c>
      <c r="BO1159" s="6">
        <v>0</v>
      </c>
      <c r="BP1159" s="6">
        <v>0</v>
      </c>
      <c r="BQ1159" s="6">
        <v>0</v>
      </c>
      <c r="BR1159" s="6">
        <v>0</v>
      </c>
      <c r="BS1159" s="6">
        <v>0</v>
      </c>
      <c r="BT1159" s="6">
        <v>0</v>
      </c>
      <c r="BU1159" s="6">
        <v>0</v>
      </c>
      <c r="BV1159" s="6">
        <v>0</v>
      </c>
      <c r="BW1159" s="6">
        <v>0</v>
      </c>
      <c r="BX1159" s="6">
        <v>0</v>
      </c>
      <c r="BY1159" s="6">
        <v>0</v>
      </c>
      <c r="BZ1159" s="6">
        <v>0</v>
      </c>
      <c r="CA1159" s="6">
        <v>0</v>
      </c>
      <c r="CB1159" s="6">
        <v>0</v>
      </c>
      <c r="CC1159" s="6">
        <f>IF(Table3[[#This Row],[Type]]="EM",IF((Table3[[#This Row],[Diameter]]/2)-Table3[[#This Row],[CornerRadius]]-0.012&gt;0,(Table3[[#This Row],[Diameter]]/2)-Table3[[#This Row],[CornerRadius]]-0.012,0),)</f>
        <v>0</v>
      </c>
      <c r="CE1159" s="6" t="str">
        <f>IF(Table3[[#This Row],[ShoulderLength]]="","",IF(Table3[[#This Row],[ShoulderLength]]&lt;Table3[[#This Row],[LOC]],"FIX",""))</f>
        <v/>
      </c>
    </row>
    <row r="1160" spans="1:83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v>0</v>
      </c>
      <c r="BN1160" s="6">
        <v>0</v>
      </c>
      <c r="BO1160" s="6">
        <v>0</v>
      </c>
      <c r="BP1160" s="6">
        <v>0</v>
      </c>
      <c r="BQ1160" s="6">
        <v>0</v>
      </c>
      <c r="BR1160" s="6">
        <v>0</v>
      </c>
      <c r="BS1160" s="6">
        <v>0</v>
      </c>
      <c r="BT1160" s="6">
        <v>0</v>
      </c>
      <c r="BU1160" s="6">
        <v>0</v>
      </c>
      <c r="BV1160" s="6">
        <v>0</v>
      </c>
      <c r="BW1160" s="6">
        <v>0</v>
      </c>
      <c r="BX1160" s="6">
        <v>0</v>
      </c>
      <c r="BY1160" s="6">
        <v>0</v>
      </c>
      <c r="BZ1160" s="6">
        <v>0</v>
      </c>
      <c r="CA1160" s="6">
        <v>0</v>
      </c>
      <c r="CB1160" s="6">
        <v>0</v>
      </c>
      <c r="CC1160" s="6">
        <f>IF(Table3[[#This Row],[Type]]="EM",IF((Table3[[#This Row],[Diameter]]/2)-Table3[[#This Row],[CornerRadius]]-0.012&gt;0,(Table3[[#This Row],[Diameter]]/2)-Table3[[#This Row],[CornerRadius]]-0.012,0),)</f>
        <v>0</v>
      </c>
      <c r="CE1160" s="6" t="str">
        <f>IF(Table3[[#This Row],[ShoulderLength]]="","",IF(Table3[[#This Row],[ShoulderLength]]&lt;Table3[[#This Row],[LOC]],"FIX",""))</f>
        <v/>
      </c>
    </row>
    <row r="1161" spans="1:83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v>0</v>
      </c>
      <c r="BN1161" s="6">
        <v>0</v>
      </c>
      <c r="BO1161" s="6">
        <v>0</v>
      </c>
      <c r="BP1161" s="6">
        <v>0</v>
      </c>
      <c r="BQ1161" s="6">
        <v>0</v>
      </c>
      <c r="BR1161" s="6">
        <v>0</v>
      </c>
      <c r="BS1161" s="6">
        <v>0</v>
      </c>
      <c r="BT1161" s="6">
        <v>0</v>
      </c>
      <c r="BU1161" s="6">
        <v>0</v>
      </c>
      <c r="BV1161" s="6">
        <v>0</v>
      </c>
      <c r="BW1161" s="6">
        <v>0</v>
      </c>
      <c r="BX1161" s="6">
        <v>0</v>
      </c>
      <c r="BY1161" s="6">
        <v>0</v>
      </c>
      <c r="BZ1161" s="6">
        <v>0</v>
      </c>
      <c r="CA1161" s="6">
        <v>0</v>
      </c>
      <c r="CB1161" s="6">
        <v>0</v>
      </c>
      <c r="CC1161" s="6">
        <f>IF(Table3[[#This Row],[Type]]="EM",IF((Table3[[#This Row],[Diameter]]/2)-Table3[[#This Row],[CornerRadius]]-0.012&gt;0,(Table3[[#This Row],[Diameter]]/2)-Table3[[#This Row],[CornerRadius]]-0.012,0),)</f>
        <v>0</v>
      </c>
      <c r="CE1161" s="6" t="str">
        <f>IF(Table3[[#This Row],[ShoulderLength]]="","",IF(Table3[[#This Row],[ShoulderLength]]&lt;Table3[[#This Row],[LOC]],"FIX",""))</f>
        <v/>
      </c>
    </row>
    <row r="1162" spans="1:83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v>0</v>
      </c>
      <c r="BN1162" s="6">
        <v>0</v>
      </c>
      <c r="BO1162" s="6">
        <v>0</v>
      </c>
      <c r="BP1162" s="6">
        <v>0</v>
      </c>
      <c r="BQ1162" s="6">
        <v>0</v>
      </c>
      <c r="BR1162" s="6">
        <v>0</v>
      </c>
      <c r="BS1162" s="6">
        <v>0</v>
      </c>
      <c r="BT1162" s="6">
        <v>0</v>
      </c>
      <c r="BU1162" s="6">
        <v>0</v>
      </c>
      <c r="BV1162" s="6">
        <v>0</v>
      </c>
      <c r="BW1162" s="6">
        <v>0</v>
      </c>
      <c r="BX1162" s="6">
        <v>0</v>
      </c>
      <c r="BY1162" s="6">
        <v>0</v>
      </c>
      <c r="BZ1162" s="6">
        <v>0</v>
      </c>
      <c r="CA1162" s="6">
        <v>0</v>
      </c>
      <c r="CB1162" s="6">
        <v>0</v>
      </c>
      <c r="CC1162" s="6">
        <f>IF(Table3[[#This Row],[Type]]="EM",IF((Table3[[#This Row],[Diameter]]/2)-Table3[[#This Row],[CornerRadius]]-0.012&gt;0,(Table3[[#This Row],[Diameter]]/2)-Table3[[#This Row],[CornerRadius]]-0.012,0),)</f>
        <v>0</v>
      </c>
      <c r="CE1162" s="6" t="str">
        <f>IF(Table3[[#This Row],[ShoulderLength]]="","",IF(Table3[[#This Row],[ShoulderLength]]&lt;Table3[[#This Row],[LOC]],"FIX",""))</f>
        <v/>
      </c>
    </row>
    <row r="1163" spans="1:83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v>0</v>
      </c>
      <c r="BN1163" s="6">
        <v>0</v>
      </c>
      <c r="BO1163" s="6">
        <v>0</v>
      </c>
      <c r="BP1163" s="6">
        <v>0</v>
      </c>
      <c r="BQ1163" s="6">
        <v>0</v>
      </c>
      <c r="BR1163" s="6">
        <v>0</v>
      </c>
      <c r="BS1163" s="6">
        <v>0</v>
      </c>
      <c r="BT1163" s="6">
        <v>0</v>
      </c>
      <c r="BU1163" s="6">
        <v>0</v>
      </c>
      <c r="BV1163" s="6">
        <v>0</v>
      </c>
      <c r="BW1163" s="6">
        <v>0</v>
      </c>
      <c r="BX1163" s="6">
        <v>0</v>
      </c>
      <c r="BY1163" s="6">
        <v>0</v>
      </c>
      <c r="BZ1163" s="6">
        <v>0</v>
      </c>
      <c r="CA1163" s="6">
        <v>0</v>
      </c>
      <c r="CB1163" s="6">
        <v>0</v>
      </c>
      <c r="CC1163" s="6">
        <f>IF(Table3[[#This Row],[Type]]="EM",IF((Table3[[#This Row],[Diameter]]/2)-Table3[[#This Row],[CornerRadius]]-0.012&gt;0,(Table3[[#This Row],[Diameter]]/2)-Table3[[#This Row],[CornerRadius]]-0.012,0),)</f>
        <v>0</v>
      </c>
      <c r="CE1163" s="6" t="str">
        <f>IF(Table3[[#This Row],[ShoulderLength]]="","",IF(Table3[[#This Row],[ShoulderLength]]&lt;Table3[[#This Row],[LOC]],"FIX",""))</f>
        <v/>
      </c>
    </row>
    <row r="1164" spans="1:83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v>0</v>
      </c>
      <c r="BN1164" s="6">
        <v>0</v>
      </c>
      <c r="BO1164" s="6">
        <v>0</v>
      </c>
      <c r="BP1164" s="6">
        <v>0</v>
      </c>
      <c r="BQ1164" s="6">
        <v>0</v>
      </c>
      <c r="BR1164" s="6">
        <v>0</v>
      </c>
      <c r="BS1164" s="6">
        <v>0</v>
      </c>
      <c r="BT1164" s="6">
        <v>0</v>
      </c>
      <c r="BU1164" s="6">
        <v>0</v>
      </c>
      <c r="BV1164" s="6">
        <v>0</v>
      </c>
      <c r="BW1164" s="6">
        <v>0</v>
      </c>
      <c r="BX1164" s="6">
        <v>0</v>
      </c>
      <c r="BY1164" s="6">
        <v>0</v>
      </c>
      <c r="BZ1164" s="6">
        <v>0</v>
      </c>
      <c r="CA1164" s="6">
        <v>0</v>
      </c>
      <c r="CB1164" s="6">
        <v>0</v>
      </c>
      <c r="CC1164" s="6">
        <f>IF(Table3[[#This Row],[Type]]="EM",IF((Table3[[#This Row],[Diameter]]/2)-Table3[[#This Row],[CornerRadius]]-0.012&gt;0,(Table3[[#This Row],[Diameter]]/2)-Table3[[#This Row],[CornerRadius]]-0.012,0),)</f>
        <v>0</v>
      </c>
      <c r="CE1164" s="6" t="str">
        <f>IF(Table3[[#This Row],[ShoulderLength]]="","",IF(Table3[[#This Row],[ShoulderLength]]&lt;Table3[[#This Row],[LOC]],"FIX",""))</f>
        <v/>
      </c>
    </row>
    <row r="1165" spans="1:83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v>0</v>
      </c>
      <c r="BN1165" s="6">
        <v>0</v>
      </c>
      <c r="BO1165" s="6">
        <v>0</v>
      </c>
      <c r="BP1165" s="6">
        <v>0</v>
      </c>
      <c r="BQ1165" s="6">
        <v>0</v>
      </c>
      <c r="BR1165" s="6">
        <v>0</v>
      </c>
      <c r="BS1165" s="6">
        <v>0</v>
      </c>
      <c r="BT1165" s="6">
        <v>0</v>
      </c>
      <c r="BU1165" s="6">
        <v>0</v>
      </c>
      <c r="BV1165" s="6">
        <v>0</v>
      </c>
      <c r="BW1165" s="6">
        <v>0</v>
      </c>
      <c r="BX1165" s="6">
        <v>0</v>
      </c>
      <c r="BY1165" s="6">
        <v>0</v>
      </c>
      <c r="BZ1165" s="6">
        <v>0</v>
      </c>
      <c r="CA1165" s="6">
        <v>0</v>
      </c>
      <c r="CB1165" s="6">
        <v>0</v>
      </c>
      <c r="CC1165" s="6">
        <f>IF(Table3[[#This Row],[Type]]="EM",IF((Table3[[#This Row],[Diameter]]/2)-Table3[[#This Row],[CornerRadius]]-0.012&gt;0,(Table3[[#This Row],[Diameter]]/2)-Table3[[#This Row],[CornerRadius]]-0.012,0),)</f>
        <v>0</v>
      </c>
      <c r="CE1165" s="6" t="str">
        <f>IF(Table3[[#This Row],[ShoulderLength]]="","",IF(Table3[[#This Row],[ShoulderLength]]&lt;Table3[[#This Row],[LOC]],"FIX",""))</f>
        <v/>
      </c>
    </row>
    <row r="1166" spans="1:83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v>0</v>
      </c>
      <c r="BN1166" s="6">
        <v>0</v>
      </c>
      <c r="BO1166" s="6">
        <v>0</v>
      </c>
      <c r="BP1166" s="6">
        <v>0</v>
      </c>
      <c r="BQ1166" s="6">
        <v>0</v>
      </c>
      <c r="BR1166" s="6">
        <v>0</v>
      </c>
      <c r="BS1166" s="6">
        <v>0</v>
      </c>
      <c r="BT1166" s="6">
        <v>0</v>
      </c>
      <c r="BU1166" s="6">
        <v>0</v>
      </c>
      <c r="BV1166" s="6">
        <v>0</v>
      </c>
      <c r="BW1166" s="6">
        <v>0</v>
      </c>
      <c r="BX1166" s="6">
        <v>0</v>
      </c>
      <c r="BY1166" s="6">
        <v>0</v>
      </c>
      <c r="BZ1166" s="6">
        <v>0</v>
      </c>
      <c r="CA1166" s="6">
        <v>0</v>
      </c>
      <c r="CB1166" s="6">
        <v>0</v>
      </c>
      <c r="CC1166" s="6">
        <f>IF(Table3[[#This Row],[Type]]="EM",IF((Table3[[#This Row],[Diameter]]/2)-Table3[[#This Row],[CornerRadius]]-0.012&gt;0,(Table3[[#This Row],[Diameter]]/2)-Table3[[#This Row],[CornerRadius]]-0.012,0),)</f>
        <v>0</v>
      </c>
      <c r="CE1166" s="6" t="str">
        <f>IF(Table3[[#This Row],[ShoulderLength]]="","",IF(Table3[[#This Row],[ShoulderLength]]&lt;Table3[[#This Row],[LOC]],"FIX",""))</f>
        <v/>
      </c>
    </row>
    <row r="1167" spans="1:83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v>0</v>
      </c>
      <c r="BN1167" s="6">
        <v>0</v>
      </c>
      <c r="BO1167" s="6">
        <v>0</v>
      </c>
      <c r="BP1167" s="6">
        <v>0</v>
      </c>
      <c r="BQ1167" s="6">
        <v>0</v>
      </c>
      <c r="BR1167" s="6">
        <v>0</v>
      </c>
      <c r="BS1167" s="6">
        <v>0</v>
      </c>
      <c r="BT1167" s="6">
        <v>0</v>
      </c>
      <c r="BU1167" s="6">
        <v>0</v>
      </c>
      <c r="BV1167" s="6">
        <v>0</v>
      </c>
      <c r="BW1167" s="6">
        <v>0</v>
      </c>
      <c r="BX1167" s="6">
        <v>0</v>
      </c>
      <c r="BY1167" s="6">
        <v>0</v>
      </c>
      <c r="BZ1167" s="6">
        <v>0</v>
      </c>
      <c r="CA1167" s="6">
        <v>0</v>
      </c>
      <c r="CB1167" s="6">
        <v>0</v>
      </c>
      <c r="CC1167" s="6">
        <f>IF(Table3[[#This Row],[Type]]="EM",IF((Table3[[#This Row],[Diameter]]/2)-Table3[[#This Row],[CornerRadius]]-0.012&gt;0,(Table3[[#This Row],[Diameter]]/2)-Table3[[#This Row],[CornerRadius]]-0.012,0),)</f>
        <v>0</v>
      </c>
      <c r="CE1167" s="6" t="str">
        <f>IF(Table3[[#This Row],[ShoulderLength]]="","",IF(Table3[[#This Row],[ShoulderLength]]&lt;Table3[[#This Row],[LOC]],"FIX",""))</f>
        <v/>
      </c>
    </row>
    <row r="1168" spans="1:83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v>0</v>
      </c>
      <c r="BN1168" s="6">
        <v>0</v>
      </c>
      <c r="BO1168" s="6">
        <v>0</v>
      </c>
      <c r="BP1168" s="6">
        <v>0</v>
      </c>
      <c r="BQ1168" s="6">
        <v>0</v>
      </c>
      <c r="BR1168" s="6">
        <v>0</v>
      </c>
      <c r="BS1168" s="6">
        <v>0</v>
      </c>
      <c r="BT1168" s="6">
        <v>0</v>
      </c>
      <c r="BU1168" s="6">
        <v>0</v>
      </c>
      <c r="BV1168" s="6">
        <v>0</v>
      </c>
      <c r="BW1168" s="6">
        <v>0</v>
      </c>
      <c r="BX1168" s="6">
        <v>0</v>
      </c>
      <c r="BY1168" s="6">
        <v>0</v>
      </c>
      <c r="BZ1168" s="6">
        <v>0</v>
      </c>
      <c r="CA1168" s="6">
        <v>0</v>
      </c>
      <c r="CB1168" s="6">
        <v>0</v>
      </c>
      <c r="CC1168" s="6">
        <f>IF(Table3[[#This Row],[Type]]="EM",IF((Table3[[#This Row],[Diameter]]/2)-Table3[[#This Row],[CornerRadius]]-0.012&gt;0,(Table3[[#This Row],[Diameter]]/2)-Table3[[#This Row],[CornerRadius]]-0.012,0),)</f>
        <v>0</v>
      </c>
      <c r="CE1168" s="6" t="str">
        <f>IF(Table3[[#This Row],[ShoulderLength]]="","",IF(Table3[[#This Row],[ShoulderLength]]&lt;Table3[[#This Row],[LOC]],"FIX",""))</f>
        <v/>
      </c>
    </row>
    <row r="1169" spans="1:83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v>0</v>
      </c>
      <c r="BN1169" s="6">
        <v>0</v>
      </c>
      <c r="BO1169" s="6">
        <v>0</v>
      </c>
      <c r="BP1169" s="6">
        <v>0</v>
      </c>
      <c r="BQ1169" s="6">
        <v>0</v>
      </c>
      <c r="BR1169" s="6">
        <v>0</v>
      </c>
      <c r="BS1169" s="6">
        <v>0</v>
      </c>
      <c r="BT1169" s="6">
        <v>0</v>
      </c>
      <c r="BU1169" s="6">
        <v>0</v>
      </c>
      <c r="BV1169" s="6">
        <v>0</v>
      </c>
      <c r="BW1169" s="6">
        <v>0</v>
      </c>
      <c r="BX1169" s="6">
        <v>0</v>
      </c>
      <c r="BY1169" s="6">
        <v>0</v>
      </c>
      <c r="BZ1169" s="6">
        <v>0</v>
      </c>
      <c r="CA1169" s="6">
        <v>0</v>
      </c>
      <c r="CB1169" s="6">
        <v>0</v>
      </c>
      <c r="CC1169" s="6">
        <f>IF(Table3[[#This Row],[Type]]="EM",IF((Table3[[#This Row],[Diameter]]/2)-Table3[[#This Row],[CornerRadius]]-0.012&gt;0,(Table3[[#This Row],[Diameter]]/2)-Table3[[#This Row],[CornerRadius]]-0.012,0),)</f>
        <v>0</v>
      </c>
      <c r="CE1169" s="6" t="str">
        <f>IF(Table3[[#This Row],[ShoulderLength]]="","",IF(Table3[[#This Row],[ShoulderLength]]&lt;Table3[[#This Row],[LOC]],"FIX",""))</f>
        <v/>
      </c>
    </row>
    <row r="1170" spans="1:83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v>0</v>
      </c>
      <c r="BN1170" s="6">
        <v>0</v>
      </c>
      <c r="BO1170" s="6">
        <v>0</v>
      </c>
      <c r="BP1170" s="6">
        <v>0</v>
      </c>
      <c r="BQ1170" s="6">
        <v>0</v>
      </c>
      <c r="BR1170" s="6">
        <v>0</v>
      </c>
      <c r="BS1170" s="6">
        <v>0</v>
      </c>
      <c r="BT1170" s="6">
        <v>0</v>
      </c>
      <c r="BU1170" s="6">
        <v>0</v>
      </c>
      <c r="BV1170" s="6">
        <v>0</v>
      </c>
      <c r="BW1170" s="6">
        <v>0</v>
      </c>
      <c r="BX1170" s="6">
        <v>0</v>
      </c>
      <c r="BY1170" s="6">
        <v>0</v>
      </c>
      <c r="BZ1170" s="6">
        <v>0</v>
      </c>
      <c r="CA1170" s="6">
        <v>0</v>
      </c>
      <c r="CB1170" s="6">
        <v>0</v>
      </c>
      <c r="CC1170" s="6">
        <f>IF(Table3[[#This Row],[Type]]="EM",IF((Table3[[#This Row],[Diameter]]/2)-Table3[[#This Row],[CornerRadius]]-0.012&gt;0,(Table3[[#This Row],[Diameter]]/2)-Table3[[#This Row],[CornerRadius]]-0.012,0),)</f>
        <v>0</v>
      </c>
      <c r="CE1170" s="6" t="str">
        <f>IF(Table3[[#This Row],[ShoulderLength]]="","",IF(Table3[[#This Row],[ShoulderLength]]&lt;Table3[[#This Row],[LOC]],"FIX",""))</f>
        <v/>
      </c>
    </row>
    <row r="1171" spans="1:83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v>0</v>
      </c>
      <c r="BN1171" s="6">
        <v>0</v>
      </c>
      <c r="BO1171" s="6">
        <v>0</v>
      </c>
      <c r="BP1171" s="6">
        <v>0</v>
      </c>
      <c r="BQ1171" s="6">
        <v>0</v>
      </c>
      <c r="BR1171" s="6">
        <v>0</v>
      </c>
      <c r="BS1171" s="6">
        <v>0</v>
      </c>
      <c r="BT1171" s="6">
        <v>0</v>
      </c>
      <c r="BU1171" s="6">
        <v>0</v>
      </c>
      <c r="BV1171" s="6">
        <v>0</v>
      </c>
      <c r="BW1171" s="6">
        <v>0</v>
      </c>
      <c r="BX1171" s="6">
        <v>0</v>
      </c>
      <c r="BY1171" s="6">
        <v>0</v>
      </c>
      <c r="BZ1171" s="6">
        <v>0</v>
      </c>
      <c r="CA1171" s="6">
        <v>0</v>
      </c>
      <c r="CB1171" s="6">
        <v>0</v>
      </c>
      <c r="CC1171" s="6">
        <f>IF(Table3[[#This Row],[Type]]="EM",IF((Table3[[#This Row],[Diameter]]/2)-Table3[[#This Row],[CornerRadius]]-0.012&gt;0,(Table3[[#This Row],[Diameter]]/2)-Table3[[#This Row],[CornerRadius]]-0.012,0),)</f>
        <v>0</v>
      </c>
      <c r="CE1171" s="6" t="str">
        <f>IF(Table3[[#This Row],[ShoulderLength]]="","",IF(Table3[[#This Row],[ShoulderLength]]&lt;Table3[[#This Row],[LOC]],"FIX",""))</f>
        <v/>
      </c>
    </row>
    <row r="1172" spans="1:83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v>0</v>
      </c>
      <c r="BN1172" s="6">
        <v>0</v>
      </c>
      <c r="BO1172" s="6">
        <v>0</v>
      </c>
      <c r="BP1172" s="6">
        <v>0</v>
      </c>
      <c r="BQ1172" s="6">
        <v>0</v>
      </c>
      <c r="BR1172" s="6">
        <v>0</v>
      </c>
      <c r="BS1172" s="6">
        <v>0</v>
      </c>
      <c r="BT1172" s="6">
        <v>0</v>
      </c>
      <c r="BU1172" s="6">
        <v>0</v>
      </c>
      <c r="BV1172" s="6">
        <v>0</v>
      </c>
      <c r="BW1172" s="6">
        <v>0</v>
      </c>
      <c r="BX1172" s="6">
        <v>0</v>
      </c>
      <c r="BY1172" s="6">
        <v>0</v>
      </c>
      <c r="BZ1172" s="6">
        <v>0</v>
      </c>
      <c r="CA1172" s="6">
        <v>0</v>
      </c>
      <c r="CB1172" s="6">
        <v>0</v>
      </c>
      <c r="CC1172" s="6">
        <f>IF(Table3[[#This Row],[Type]]="EM",IF((Table3[[#This Row],[Diameter]]/2)-Table3[[#This Row],[CornerRadius]]-0.012&gt;0,(Table3[[#This Row],[Diameter]]/2)-Table3[[#This Row],[CornerRadius]]-0.012,0),)</f>
        <v>0</v>
      </c>
      <c r="CE1172" s="6" t="str">
        <f>IF(Table3[[#This Row],[ShoulderLength]]="","",IF(Table3[[#This Row],[ShoulderLength]]&lt;Table3[[#This Row],[LOC]],"FIX",""))</f>
        <v/>
      </c>
    </row>
    <row r="1173" spans="1:83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v>0</v>
      </c>
      <c r="BN1173" s="6">
        <v>0</v>
      </c>
      <c r="BO1173" s="6">
        <v>0</v>
      </c>
      <c r="BP1173" s="6">
        <v>0</v>
      </c>
      <c r="BQ1173" s="6">
        <v>0</v>
      </c>
      <c r="BR1173" s="6">
        <v>0</v>
      </c>
      <c r="BS1173" s="6">
        <v>0</v>
      </c>
      <c r="BT1173" s="6">
        <v>0</v>
      </c>
      <c r="BU1173" s="6">
        <v>0</v>
      </c>
      <c r="BV1173" s="6">
        <v>0</v>
      </c>
      <c r="BW1173" s="6">
        <v>0</v>
      </c>
      <c r="BX1173" s="6">
        <v>0</v>
      </c>
      <c r="BY1173" s="6">
        <v>0</v>
      </c>
      <c r="BZ1173" s="6">
        <v>0</v>
      </c>
      <c r="CA1173" s="6">
        <v>0</v>
      </c>
      <c r="CB1173" s="6">
        <v>0</v>
      </c>
      <c r="CC1173" s="6">
        <f>IF(Table3[[#This Row],[Type]]="EM",IF((Table3[[#This Row],[Diameter]]/2)-Table3[[#This Row],[CornerRadius]]-0.012&gt;0,(Table3[[#This Row],[Diameter]]/2)-Table3[[#This Row],[CornerRadius]]-0.012,0),)</f>
        <v>0</v>
      </c>
      <c r="CE1173" s="6" t="str">
        <f>IF(Table3[[#This Row],[ShoulderLength]]="","",IF(Table3[[#This Row],[ShoulderLength]]&lt;Table3[[#This Row],[LOC]],"FIX",""))</f>
        <v/>
      </c>
    </row>
    <row r="1174" spans="1:83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v>0</v>
      </c>
      <c r="BN1174" s="6">
        <v>0</v>
      </c>
      <c r="BO1174" s="6">
        <v>0</v>
      </c>
      <c r="BP1174" s="6">
        <v>0</v>
      </c>
      <c r="BQ1174" s="6">
        <v>0</v>
      </c>
      <c r="BR1174" s="6">
        <v>0</v>
      </c>
      <c r="BS1174" s="6">
        <v>0</v>
      </c>
      <c r="BT1174" s="6">
        <v>0</v>
      </c>
      <c r="BU1174" s="6">
        <v>0</v>
      </c>
      <c r="BV1174" s="6">
        <v>0</v>
      </c>
      <c r="BW1174" s="6">
        <v>0</v>
      </c>
      <c r="BX1174" s="6">
        <v>0</v>
      </c>
      <c r="BY1174" s="6">
        <v>0</v>
      </c>
      <c r="BZ1174" s="6">
        <v>0</v>
      </c>
      <c r="CA1174" s="6">
        <v>0</v>
      </c>
      <c r="CB1174" s="6">
        <v>0</v>
      </c>
      <c r="CC1174" s="6">
        <f>IF(Table3[[#This Row],[Type]]="EM",IF((Table3[[#This Row],[Diameter]]/2)-Table3[[#This Row],[CornerRadius]]-0.012&gt;0,(Table3[[#This Row],[Diameter]]/2)-Table3[[#This Row],[CornerRadius]]-0.012,0),)</f>
        <v>0</v>
      </c>
      <c r="CE1174" s="6" t="str">
        <f>IF(Table3[[#This Row],[ShoulderLength]]="","",IF(Table3[[#This Row],[ShoulderLength]]&lt;Table3[[#This Row],[LOC]],"FIX",""))</f>
        <v/>
      </c>
    </row>
    <row r="1175" spans="1:83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v>0</v>
      </c>
      <c r="BN1175" s="6">
        <v>0</v>
      </c>
      <c r="BO1175" s="6">
        <v>0</v>
      </c>
      <c r="BP1175" s="6">
        <v>0</v>
      </c>
      <c r="BQ1175" s="6">
        <v>0</v>
      </c>
      <c r="BR1175" s="6">
        <v>0</v>
      </c>
      <c r="BS1175" s="6">
        <v>0</v>
      </c>
      <c r="BT1175" s="6">
        <v>0</v>
      </c>
      <c r="BU1175" s="6">
        <v>0</v>
      </c>
      <c r="BV1175" s="6">
        <v>0</v>
      </c>
      <c r="BW1175" s="6">
        <v>0</v>
      </c>
      <c r="BX1175" s="6">
        <v>0</v>
      </c>
      <c r="BY1175" s="6">
        <v>0</v>
      </c>
      <c r="BZ1175" s="6">
        <v>0</v>
      </c>
      <c r="CA1175" s="6">
        <v>0</v>
      </c>
      <c r="CB1175" s="6">
        <v>0</v>
      </c>
      <c r="CC1175" s="6">
        <f>IF(Table3[[#This Row],[Type]]="EM",IF((Table3[[#This Row],[Diameter]]/2)-Table3[[#This Row],[CornerRadius]]-0.012&gt;0,(Table3[[#This Row],[Diameter]]/2)-Table3[[#This Row],[CornerRadius]]-0.012,0),)</f>
        <v>0</v>
      </c>
      <c r="CE1175" s="6" t="str">
        <f>IF(Table3[[#This Row],[ShoulderLength]]="","",IF(Table3[[#This Row],[ShoulderLength]]&lt;Table3[[#This Row],[LOC]],"FIX",""))</f>
        <v/>
      </c>
    </row>
    <row r="1176" spans="1:83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v>0</v>
      </c>
      <c r="BN1176" s="6">
        <v>0</v>
      </c>
      <c r="BO1176" s="6">
        <v>0</v>
      </c>
      <c r="BP1176" s="6">
        <v>0</v>
      </c>
      <c r="BQ1176" s="6">
        <v>0</v>
      </c>
      <c r="BR1176" s="6">
        <v>0</v>
      </c>
      <c r="BS1176" s="6">
        <v>0</v>
      </c>
      <c r="BT1176" s="6">
        <v>0</v>
      </c>
      <c r="BU1176" s="6">
        <v>0</v>
      </c>
      <c r="BV1176" s="6">
        <v>0</v>
      </c>
      <c r="BW1176" s="6">
        <v>0</v>
      </c>
      <c r="BX1176" s="6">
        <v>0</v>
      </c>
      <c r="BY1176" s="6">
        <v>0</v>
      </c>
      <c r="BZ1176" s="6">
        <v>0</v>
      </c>
      <c r="CA1176" s="6">
        <v>0</v>
      </c>
      <c r="CB1176" s="6">
        <v>0</v>
      </c>
      <c r="CC1176" s="6">
        <f>IF(Table3[[#This Row],[Type]]="EM",IF((Table3[[#This Row],[Diameter]]/2)-Table3[[#This Row],[CornerRadius]]-0.012&gt;0,(Table3[[#This Row],[Diameter]]/2)-Table3[[#This Row],[CornerRadius]]-0.012,0),)</f>
        <v>0</v>
      </c>
      <c r="CE1176" s="6" t="str">
        <f>IF(Table3[[#This Row],[ShoulderLength]]="","",IF(Table3[[#This Row],[ShoulderLength]]&lt;Table3[[#This Row],[LOC]],"FIX",""))</f>
        <v/>
      </c>
    </row>
    <row r="1177" spans="1:83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v>0</v>
      </c>
      <c r="BN1177" s="6">
        <v>0</v>
      </c>
      <c r="BO1177" s="6">
        <v>0</v>
      </c>
      <c r="BP1177" s="6">
        <v>0</v>
      </c>
      <c r="BQ1177" s="6">
        <v>0</v>
      </c>
      <c r="BR1177" s="6">
        <v>0</v>
      </c>
      <c r="BS1177" s="6">
        <v>0</v>
      </c>
      <c r="BT1177" s="6">
        <v>0</v>
      </c>
      <c r="BU1177" s="6">
        <v>0</v>
      </c>
      <c r="BV1177" s="6">
        <v>0</v>
      </c>
      <c r="BW1177" s="6">
        <v>0</v>
      </c>
      <c r="BX1177" s="6">
        <v>0</v>
      </c>
      <c r="BY1177" s="6">
        <v>0</v>
      </c>
      <c r="BZ1177" s="6">
        <v>0</v>
      </c>
      <c r="CA1177" s="6">
        <v>0</v>
      </c>
      <c r="CB1177" s="6">
        <v>0</v>
      </c>
      <c r="CC1177" s="6">
        <f>IF(Table3[[#This Row],[Type]]="EM",IF((Table3[[#This Row],[Diameter]]/2)-Table3[[#This Row],[CornerRadius]]-0.012&gt;0,(Table3[[#This Row],[Diameter]]/2)-Table3[[#This Row],[CornerRadius]]-0.012,0),)</f>
        <v>0</v>
      </c>
      <c r="CE1177" s="6" t="str">
        <f>IF(Table3[[#This Row],[ShoulderLength]]="","",IF(Table3[[#This Row],[ShoulderLength]]&lt;Table3[[#This Row],[LOC]],"FIX",""))</f>
        <v/>
      </c>
    </row>
    <row r="1178" spans="1:83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v>0</v>
      </c>
      <c r="BN1178" s="6">
        <v>0</v>
      </c>
      <c r="BO1178" s="6">
        <v>0</v>
      </c>
      <c r="BP1178" s="6">
        <v>0</v>
      </c>
      <c r="BQ1178" s="6">
        <v>0</v>
      </c>
      <c r="BR1178" s="6">
        <v>0</v>
      </c>
      <c r="BS1178" s="6">
        <v>0</v>
      </c>
      <c r="BT1178" s="6">
        <v>0</v>
      </c>
      <c r="BU1178" s="6">
        <v>0</v>
      </c>
      <c r="BV1178" s="6">
        <v>0</v>
      </c>
      <c r="BW1178" s="6">
        <v>0</v>
      </c>
      <c r="BX1178" s="6">
        <v>0</v>
      </c>
      <c r="BY1178" s="6">
        <v>0</v>
      </c>
      <c r="BZ1178" s="6">
        <v>0</v>
      </c>
      <c r="CA1178" s="6">
        <v>0</v>
      </c>
      <c r="CB1178" s="6">
        <v>0</v>
      </c>
      <c r="CC1178" s="6">
        <f>IF(Table3[[#This Row],[Type]]="EM",IF((Table3[[#This Row],[Diameter]]/2)-Table3[[#This Row],[CornerRadius]]-0.012&gt;0,(Table3[[#This Row],[Diameter]]/2)-Table3[[#This Row],[CornerRadius]]-0.012,0),)</f>
        <v>0</v>
      </c>
      <c r="CE1178" s="6" t="str">
        <f>IF(Table3[[#This Row],[ShoulderLength]]="","",IF(Table3[[#This Row],[ShoulderLength]]&lt;Table3[[#This Row],[LOC]],"FIX",""))</f>
        <v/>
      </c>
    </row>
    <row r="1179" spans="1:83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v>0</v>
      </c>
      <c r="BN1179" s="6">
        <v>0</v>
      </c>
      <c r="BO1179" s="6">
        <v>0</v>
      </c>
      <c r="BP1179" s="6">
        <v>0</v>
      </c>
      <c r="BQ1179" s="6">
        <v>0</v>
      </c>
      <c r="BR1179" s="6">
        <v>0</v>
      </c>
      <c r="BS1179" s="6">
        <v>0</v>
      </c>
      <c r="BT1179" s="6">
        <v>0</v>
      </c>
      <c r="BU1179" s="6">
        <v>0</v>
      </c>
      <c r="BV1179" s="6">
        <v>0</v>
      </c>
      <c r="BW1179" s="6">
        <v>0</v>
      </c>
      <c r="BX1179" s="6">
        <v>0</v>
      </c>
      <c r="BY1179" s="6">
        <v>0</v>
      </c>
      <c r="BZ1179" s="6">
        <v>0</v>
      </c>
      <c r="CA1179" s="6">
        <v>0</v>
      </c>
      <c r="CB1179" s="6">
        <v>0</v>
      </c>
      <c r="CC1179" s="6">
        <f>IF(Table3[[#This Row],[Type]]="EM",IF((Table3[[#This Row],[Diameter]]/2)-Table3[[#This Row],[CornerRadius]]-0.012&gt;0,(Table3[[#This Row],[Diameter]]/2)-Table3[[#This Row],[CornerRadius]]-0.012,0),)</f>
        <v>0</v>
      </c>
      <c r="CE1179" s="6" t="str">
        <f>IF(Table3[[#This Row],[ShoulderLength]]="","",IF(Table3[[#This Row],[ShoulderLength]]&lt;Table3[[#This Row],[LOC]],"FIX",""))</f>
        <v/>
      </c>
    </row>
    <row r="1180" spans="1:83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v>0</v>
      </c>
      <c r="BN1180" s="6">
        <v>0</v>
      </c>
      <c r="BO1180" s="6">
        <v>0</v>
      </c>
      <c r="BP1180" s="6">
        <v>0</v>
      </c>
      <c r="BQ1180" s="6">
        <v>0</v>
      </c>
      <c r="BR1180" s="6">
        <v>0</v>
      </c>
      <c r="BS1180" s="6">
        <v>0</v>
      </c>
      <c r="BT1180" s="6">
        <v>0</v>
      </c>
      <c r="BU1180" s="6">
        <v>0</v>
      </c>
      <c r="BV1180" s="6">
        <v>0</v>
      </c>
      <c r="BW1180" s="6">
        <v>0</v>
      </c>
      <c r="BX1180" s="6">
        <v>0</v>
      </c>
      <c r="BY1180" s="6">
        <v>0</v>
      </c>
      <c r="BZ1180" s="6">
        <v>0</v>
      </c>
      <c r="CA1180" s="6">
        <v>0</v>
      </c>
      <c r="CB1180" s="6">
        <v>0</v>
      </c>
      <c r="CC1180" s="6">
        <f>IF(Table3[[#This Row],[Type]]="EM",IF((Table3[[#This Row],[Diameter]]/2)-Table3[[#This Row],[CornerRadius]]-0.012&gt;0,(Table3[[#This Row],[Diameter]]/2)-Table3[[#This Row],[CornerRadius]]-0.012,0),)</f>
        <v>0</v>
      </c>
      <c r="CE1180" s="6" t="str">
        <f>IF(Table3[[#This Row],[ShoulderLength]]="","",IF(Table3[[#This Row],[ShoulderLength]]&lt;Table3[[#This Row],[LOC]],"FIX",""))</f>
        <v/>
      </c>
    </row>
    <row r="1181" spans="1:83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v>0</v>
      </c>
      <c r="BN1181" s="6">
        <v>0</v>
      </c>
      <c r="BO1181" s="6">
        <v>0</v>
      </c>
      <c r="BP1181" s="6">
        <v>0</v>
      </c>
      <c r="BQ1181" s="6">
        <v>0</v>
      </c>
      <c r="BR1181" s="6">
        <v>0</v>
      </c>
      <c r="BS1181" s="6">
        <v>0</v>
      </c>
      <c r="BT1181" s="6">
        <v>0</v>
      </c>
      <c r="BU1181" s="6">
        <v>0</v>
      </c>
      <c r="BV1181" s="6">
        <v>0</v>
      </c>
      <c r="BW1181" s="6">
        <v>0</v>
      </c>
      <c r="BX1181" s="6">
        <v>0</v>
      </c>
      <c r="BY1181" s="6">
        <v>0</v>
      </c>
      <c r="BZ1181" s="6">
        <v>0</v>
      </c>
      <c r="CA1181" s="6">
        <v>0</v>
      </c>
      <c r="CB1181" s="6">
        <v>0</v>
      </c>
      <c r="CC1181" s="6">
        <f>IF(Table3[[#This Row],[Type]]="EM",IF((Table3[[#This Row],[Diameter]]/2)-Table3[[#This Row],[CornerRadius]]-0.012&gt;0,(Table3[[#This Row],[Diameter]]/2)-Table3[[#This Row],[CornerRadius]]-0.012,0),)</f>
        <v>0</v>
      </c>
      <c r="CE1181" s="6" t="str">
        <f>IF(Table3[[#This Row],[ShoulderLength]]="","",IF(Table3[[#This Row],[ShoulderLength]]&lt;Table3[[#This Row],[LOC]],"FIX",""))</f>
        <v/>
      </c>
    </row>
    <row r="1182" spans="1:83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v>0</v>
      </c>
      <c r="BN1182" s="6">
        <v>0</v>
      </c>
      <c r="BO1182" s="6">
        <v>0</v>
      </c>
      <c r="BP1182" s="6">
        <v>0</v>
      </c>
      <c r="BQ1182" s="6">
        <v>0</v>
      </c>
      <c r="BR1182" s="6">
        <v>0</v>
      </c>
      <c r="BS1182" s="6">
        <v>0</v>
      </c>
      <c r="BT1182" s="6">
        <v>0</v>
      </c>
      <c r="BU1182" s="6">
        <v>0</v>
      </c>
      <c r="BV1182" s="6">
        <v>0</v>
      </c>
      <c r="BW1182" s="6">
        <v>0</v>
      </c>
      <c r="BX1182" s="6">
        <v>0</v>
      </c>
      <c r="BY1182" s="6">
        <v>0</v>
      </c>
      <c r="BZ1182" s="6">
        <v>0</v>
      </c>
      <c r="CA1182" s="6">
        <v>0</v>
      </c>
      <c r="CB1182" s="6">
        <v>0</v>
      </c>
      <c r="CC1182" s="6">
        <f>IF(Table3[[#This Row],[Type]]="EM",IF((Table3[[#This Row],[Diameter]]/2)-Table3[[#This Row],[CornerRadius]]-0.012&gt;0,(Table3[[#This Row],[Diameter]]/2)-Table3[[#This Row],[CornerRadius]]-0.012,0),)</f>
        <v>0</v>
      </c>
      <c r="CE1182" s="6" t="str">
        <f>IF(Table3[[#This Row],[ShoulderLength]]="","",IF(Table3[[#This Row],[ShoulderLength]]&lt;Table3[[#This Row],[LOC]],"FIX",""))</f>
        <v/>
      </c>
    </row>
    <row r="1183" spans="1:83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v>0</v>
      </c>
      <c r="BN1183" s="6">
        <v>0</v>
      </c>
      <c r="BO1183" s="6">
        <v>0</v>
      </c>
      <c r="BP1183" s="6">
        <v>0</v>
      </c>
      <c r="BQ1183" s="6">
        <v>0</v>
      </c>
      <c r="BR1183" s="6">
        <v>0</v>
      </c>
      <c r="BS1183" s="6">
        <v>0</v>
      </c>
      <c r="BT1183" s="6">
        <v>0</v>
      </c>
      <c r="BU1183" s="6">
        <v>0</v>
      </c>
      <c r="BV1183" s="6">
        <v>0</v>
      </c>
      <c r="BW1183" s="6">
        <v>0</v>
      </c>
      <c r="BX1183" s="6">
        <v>0</v>
      </c>
      <c r="BY1183" s="6">
        <v>0</v>
      </c>
      <c r="BZ1183" s="6">
        <v>0</v>
      </c>
      <c r="CA1183" s="6">
        <v>0</v>
      </c>
      <c r="CB1183" s="6">
        <v>0</v>
      </c>
      <c r="CC1183" s="6">
        <f>IF(Table3[[#This Row],[Type]]="EM",IF((Table3[[#This Row],[Diameter]]/2)-Table3[[#This Row],[CornerRadius]]-0.012&gt;0,(Table3[[#This Row],[Diameter]]/2)-Table3[[#This Row],[CornerRadius]]-0.012,0),)</f>
        <v>0</v>
      </c>
      <c r="CE1183" s="6" t="str">
        <f>IF(Table3[[#This Row],[ShoulderLength]]="","",IF(Table3[[#This Row],[ShoulderLength]]&lt;Table3[[#This Row],[LOC]],"FIX",""))</f>
        <v/>
      </c>
    </row>
    <row r="1184" spans="1:83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v>0</v>
      </c>
      <c r="BN1184" s="6">
        <v>0</v>
      </c>
      <c r="BO1184" s="6">
        <v>0</v>
      </c>
      <c r="BP1184" s="6">
        <v>0</v>
      </c>
      <c r="BQ1184" s="6">
        <v>0</v>
      </c>
      <c r="BR1184" s="6">
        <v>0</v>
      </c>
      <c r="BS1184" s="6">
        <v>0</v>
      </c>
      <c r="BT1184" s="6">
        <v>0</v>
      </c>
      <c r="BU1184" s="6">
        <v>0</v>
      </c>
      <c r="BV1184" s="6">
        <v>0</v>
      </c>
      <c r="BW1184" s="6">
        <v>0</v>
      </c>
      <c r="BX1184" s="6">
        <v>0</v>
      </c>
      <c r="BY1184" s="6">
        <v>0</v>
      </c>
      <c r="BZ1184" s="6">
        <v>0</v>
      </c>
      <c r="CA1184" s="6">
        <v>0</v>
      </c>
      <c r="CB1184" s="6">
        <v>0</v>
      </c>
      <c r="CC1184" s="6">
        <f>IF(Table3[[#This Row],[Type]]="EM",IF((Table3[[#This Row],[Diameter]]/2)-Table3[[#This Row],[CornerRadius]]-0.012&gt;0,(Table3[[#This Row],[Diameter]]/2)-Table3[[#This Row],[CornerRadius]]-0.012,0),)</f>
        <v>0</v>
      </c>
      <c r="CE1184" s="6" t="str">
        <f>IF(Table3[[#This Row],[ShoulderLength]]="","",IF(Table3[[#This Row],[ShoulderLength]]&lt;Table3[[#This Row],[LOC]],"FIX",""))</f>
        <v/>
      </c>
    </row>
    <row r="1185" spans="1:83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v>0</v>
      </c>
      <c r="BN1185" s="6">
        <v>0</v>
      </c>
      <c r="BO1185" s="6">
        <v>0</v>
      </c>
      <c r="BP1185" s="6">
        <v>0</v>
      </c>
      <c r="BQ1185" s="6">
        <v>0</v>
      </c>
      <c r="BR1185" s="6">
        <v>0</v>
      </c>
      <c r="BS1185" s="6">
        <v>0</v>
      </c>
      <c r="BT1185" s="6">
        <v>0</v>
      </c>
      <c r="BU1185" s="6">
        <v>0</v>
      </c>
      <c r="BV1185" s="6">
        <v>0</v>
      </c>
      <c r="BW1185" s="6">
        <v>0</v>
      </c>
      <c r="BX1185" s="6">
        <v>0</v>
      </c>
      <c r="BY1185" s="6">
        <v>0</v>
      </c>
      <c r="BZ1185" s="6">
        <v>0</v>
      </c>
      <c r="CA1185" s="6">
        <v>0</v>
      </c>
      <c r="CB1185" s="6">
        <v>0</v>
      </c>
      <c r="CC1185" s="6">
        <f>IF(Table3[[#This Row],[Type]]="EM",IF((Table3[[#This Row],[Diameter]]/2)-Table3[[#This Row],[CornerRadius]]-0.012&gt;0,(Table3[[#This Row],[Diameter]]/2)-Table3[[#This Row],[CornerRadius]]-0.012,0),)</f>
        <v>0</v>
      </c>
      <c r="CE1185" s="6" t="str">
        <f>IF(Table3[[#This Row],[ShoulderLength]]="","",IF(Table3[[#This Row],[ShoulderLength]]&lt;Table3[[#This Row],[LOC]],"FIX",""))</f>
        <v/>
      </c>
    </row>
    <row r="1186" spans="1:83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v>0</v>
      </c>
      <c r="BN1186" s="6">
        <v>0</v>
      </c>
      <c r="BO1186" s="6">
        <v>0</v>
      </c>
      <c r="BP1186" s="6">
        <v>0</v>
      </c>
      <c r="BQ1186" s="6">
        <v>0</v>
      </c>
      <c r="BR1186" s="6">
        <v>0</v>
      </c>
      <c r="BS1186" s="6">
        <v>0</v>
      </c>
      <c r="BT1186" s="6">
        <v>0</v>
      </c>
      <c r="BU1186" s="6">
        <v>0</v>
      </c>
      <c r="BV1186" s="6">
        <v>0</v>
      </c>
      <c r="BW1186" s="6">
        <v>0</v>
      </c>
      <c r="BX1186" s="6">
        <v>0</v>
      </c>
      <c r="BY1186" s="6">
        <v>0</v>
      </c>
      <c r="BZ1186" s="6">
        <v>0</v>
      </c>
      <c r="CA1186" s="6">
        <v>0</v>
      </c>
      <c r="CB1186" s="6">
        <v>0</v>
      </c>
      <c r="CC1186" s="6">
        <f>IF(Table3[[#This Row],[Type]]="EM",IF((Table3[[#This Row],[Diameter]]/2)-Table3[[#This Row],[CornerRadius]]-0.012&gt;0,(Table3[[#This Row],[Diameter]]/2)-Table3[[#This Row],[CornerRadius]]-0.012,0),)</f>
        <v>0</v>
      </c>
      <c r="CE1186" s="6" t="str">
        <f>IF(Table3[[#This Row],[ShoulderLength]]="","",IF(Table3[[#This Row],[ShoulderLength]]&lt;Table3[[#This Row],[LOC]],"FIX",""))</f>
        <v/>
      </c>
    </row>
    <row r="1187" spans="1:83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v>0</v>
      </c>
      <c r="BN1187" s="6">
        <v>0</v>
      </c>
      <c r="BO1187" s="6">
        <v>0</v>
      </c>
      <c r="BP1187" s="6">
        <v>0</v>
      </c>
      <c r="BQ1187" s="6">
        <v>0</v>
      </c>
      <c r="BR1187" s="6">
        <v>0</v>
      </c>
      <c r="BS1187" s="6">
        <v>0</v>
      </c>
      <c r="BT1187" s="6">
        <v>0</v>
      </c>
      <c r="BU1187" s="6">
        <v>0</v>
      </c>
      <c r="BV1187" s="6">
        <v>0</v>
      </c>
      <c r="BW1187" s="6">
        <v>0</v>
      </c>
      <c r="BX1187" s="6">
        <v>0</v>
      </c>
      <c r="BY1187" s="6">
        <v>0</v>
      </c>
      <c r="BZ1187" s="6">
        <v>0</v>
      </c>
      <c r="CA1187" s="6">
        <v>0</v>
      </c>
      <c r="CB1187" s="6">
        <v>0</v>
      </c>
      <c r="CC1187" s="6">
        <f>IF(Table3[[#This Row],[Type]]="EM",IF((Table3[[#This Row],[Diameter]]/2)-Table3[[#This Row],[CornerRadius]]-0.012&gt;0,(Table3[[#This Row],[Diameter]]/2)-Table3[[#This Row],[CornerRadius]]-0.012,0),)</f>
        <v>0</v>
      </c>
      <c r="CE1187" s="6" t="str">
        <f>IF(Table3[[#This Row],[ShoulderLength]]="","",IF(Table3[[#This Row],[ShoulderLength]]&lt;Table3[[#This Row],[LOC]],"FIX",""))</f>
        <v/>
      </c>
    </row>
    <row r="1188" spans="1:83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v>0</v>
      </c>
      <c r="BN1188" s="6">
        <v>0</v>
      </c>
      <c r="BO1188" s="6">
        <v>0</v>
      </c>
      <c r="BP1188" s="6">
        <v>0</v>
      </c>
      <c r="BQ1188" s="6">
        <v>0</v>
      </c>
      <c r="BR1188" s="6">
        <v>0</v>
      </c>
      <c r="BS1188" s="6">
        <v>0</v>
      </c>
      <c r="BT1188" s="6">
        <v>0</v>
      </c>
      <c r="BU1188" s="6">
        <v>0</v>
      </c>
      <c r="BV1188" s="6">
        <v>0</v>
      </c>
      <c r="BW1188" s="6">
        <v>0</v>
      </c>
      <c r="BX1188" s="6">
        <v>0</v>
      </c>
      <c r="BY1188" s="6">
        <v>0</v>
      </c>
      <c r="BZ1188" s="6">
        <v>0</v>
      </c>
      <c r="CA1188" s="6">
        <v>0</v>
      </c>
      <c r="CB1188" s="6">
        <v>0</v>
      </c>
      <c r="CC1188" s="6">
        <f>IF(Table3[[#This Row],[Type]]="EM",IF((Table3[[#This Row],[Diameter]]/2)-Table3[[#This Row],[CornerRadius]]-0.012&gt;0,(Table3[[#This Row],[Diameter]]/2)-Table3[[#This Row],[CornerRadius]]-0.012,0),)</f>
        <v>0</v>
      </c>
      <c r="CE1188" s="6" t="str">
        <f>IF(Table3[[#This Row],[ShoulderLength]]="","",IF(Table3[[#This Row],[ShoulderLength]]&lt;Table3[[#This Row],[LOC]],"FIX",""))</f>
        <v/>
      </c>
    </row>
    <row r="1189" spans="1:83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v>0</v>
      </c>
      <c r="BN1189" s="6">
        <v>0</v>
      </c>
      <c r="BO1189" s="6">
        <v>0</v>
      </c>
      <c r="BP1189" s="6">
        <v>0</v>
      </c>
      <c r="BQ1189" s="6">
        <v>0</v>
      </c>
      <c r="BR1189" s="6">
        <v>0</v>
      </c>
      <c r="BS1189" s="6">
        <v>0</v>
      </c>
      <c r="BT1189" s="6">
        <v>0</v>
      </c>
      <c r="BU1189" s="6">
        <v>0</v>
      </c>
      <c r="BV1189" s="6">
        <v>0</v>
      </c>
      <c r="BW1189" s="6">
        <v>0</v>
      </c>
      <c r="BX1189" s="6">
        <v>0</v>
      </c>
      <c r="BY1189" s="6">
        <v>0</v>
      </c>
      <c r="BZ1189" s="6">
        <v>0</v>
      </c>
      <c r="CA1189" s="6">
        <v>0</v>
      </c>
      <c r="CB1189" s="6">
        <v>0</v>
      </c>
      <c r="CC1189" s="6">
        <f>IF(Table3[[#This Row],[Type]]="EM",IF((Table3[[#This Row],[Diameter]]/2)-Table3[[#This Row],[CornerRadius]]-0.012&gt;0,(Table3[[#This Row],[Diameter]]/2)-Table3[[#This Row],[CornerRadius]]-0.012,0),)</f>
        <v>0</v>
      </c>
      <c r="CE1189" s="6" t="str">
        <f>IF(Table3[[#This Row],[ShoulderLength]]="","",IF(Table3[[#This Row],[ShoulderLength]]&lt;Table3[[#This Row],[LOC]],"FIX",""))</f>
        <v/>
      </c>
    </row>
    <row r="1190" spans="1:83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v>0</v>
      </c>
      <c r="BN1190" s="6">
        <v>0</v>
      </c>
      <c r="BO1190" s="6">
        <v>0</v>
      </c>
      <c r="BP1190" s="6">
        <v>0</v>
      </c>
      <c r="BQ1190" s="6">
        <v>0</v>
      </c>
      <c r="BR1190" s="6">
        <v>0</v>
      </c>
      <c r="BS1190" s="6">
        <v>0</v>
      </c>
      <c r="BT1190" s="6">
        <v>0</v>
      </c>
      <c r="BU1190" s="6">
        <v>0</v>
      </c>
      <c r="BV1190" s="6">
        <v>0</v>
      </c>
      <c r="BW1190" s="6">
        <v>0</v>
      </c>
      <c r="BX1190" s="6">
        <v>0</v>
      </c>
      <c r="BY1190" s="6">
        <v>0</v>
      </c>
      <c r="BZ1190" s="6">
        <v>0</v>
      </c>
      <c r="CA1190" s="6">
        <v>0</v>
      </c>
      <c r="CB1190" s="6">
        <v>0</v>
      </c>
      <c r="CC1190" s="6">
        <f>IF(Table3[[#This Row],[Type]]="EM",IF((Table3[[#This Row],[Diameter]]/2)-Table3[[#This Row],[CornerRadius]]-0.012&gt;0,(Table3[[#This Row],[Diameter]]/2)-Table3[[#This Row],[CornerRadius]]-0.012,0),)</f>
        <v>0</v>
      </c>
      <c r="CE1190" s="6" t="str">
        <f>IF(Table3[[#This Row],[ShoulderLength]]="","",IF(Table3[[#This Row],[ShoulderLength]]&lt;Table3[[#This Row],[LOC]],"FIX",""))</f>
        <v/>
      </c>
    </row>
    <row r="1191" spans="1:83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v>0</v>
      </c>
      <c r="BN1191" s="6">
        <v>0</v>
      </c>
      <c r="BO1191" s="6">
        <v>0</v>
      </c>
      <c r="BP1191" s="6">
        <v>0</v>
      </c>
      <c r="BQ1191" s="6">
        <v>0</v>
      </c>
      <c r="BR1191" s="6">
        <v>0</v>
      </c>
      <c r="BS1191" s="6">
        <v>0</v>
      </c>
      <c r="BT1191" s="6">
        <v>0</v>
      </c>
      <c r="BU1191" s="6">
        <v>0</v>
      </c>
      <c r="BV1191" s="6">
        <v>0</v>
      </c>
      <c r="BW1191" s="6">
        <v>0</v>
      </c>
      <c r="BX1191" s="6">
        <v>0</v>
      </c>
      <c r="BY1191" s="6">
        <v>0</v>
      </c>
      <c r="BZ1191" s="6">
        <v>0</v>
      </c>
      <c r="CA1191" s="6">
        <v>0</v>
      </c>
      <c r="CB1191" s="6">
        <v>0</v>
      </c>
      <c r="CC1191" s="6">
        <f>IF(Table3[[#This Row],[Type]]="EM",IF((Table3[[#This Row],[Diameter]]/2)-Table3[[#This Row],[CornerRadius]]-0.012&gt;0,(Table3[[#This Row],[Diameter]]/2)-Table3[[#This Row],[CornerRadius]]-0.012,0),)</f>
        <v>0</v>
      </c>
      <c r="CE1191" s="6" t="str">
        <f>IF(Table3[[#This Row],[ShoulderLength]]="","",IF(Table3[[#This Row],[ShoulderLength]]&lt;Table3[[#This Row],[LOC]],"FIX",""))</f>
        <v/>
      </c>
    </row>
    <row r="1192" spans="1:83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v>0</v>
      </c>
      <c r="BN1192" s="6">
        <v>0</v>
      </c>
      <c r="BO1192" s="6">
        <v>0</v>
      </c>
      <c r="BP1192" s="6">
        <v>0</v>
      </c>
      <c r="BQ1192" s="6">
        <v>0</v>
      </c>
      <c r="BR1192" s="6">
        <v>0</v>
      </c>
      <c r="BS1192" s="6">
        <v>0</v>
      </c>
      <c r="BT1192" s="6">
        <v>0</v>
      </c>
      <c r="BU1192" s="6">
        <v>0</v>
      </c>
      <c r="BV1192" s="6">
        <v>0</v>
      </c>
      <c r="BW1192" s="6">
        <v>0</v>
      </c>
      <c r="BX1192" s="6">
        <v>0</v>
      </c>
      <c r="BY1192" s="6">
        <v>0</v>
      </c>
      <c r="BZ1192" s="6">
        <v>0</v>
      </c>
      <c r="CA1192" s="6">
        <v>0</v>
      </c>
      <c r="CB1192" s="6">
        <v>0</v>
      </c>
      <c r="CC1192" s="6">
        <f>IF(Table3[[#This Row],[Type]]="EM",IF((Table3[[#This Row],[Diameter]]/2)-Table3[[#This Row],[CornerRadius]]-0.012&gt;0,(Table3[[#This Row],[Diameter]]/2)-Table3[[#This Row],[CornerRadius]]-0.012,0),)</f>
        <v>0</v>
      </c>
      <c r="CE1192" s="6" t="str">
        <f>IF(Table3[[#This Row],[ShoulderLength]]="","",IF(Table3[[#This Row],[ShoulderLength]]&lt;Table3[[#This Row],[LOC]],"FIX",""))</f>
        <v/>
      </c>
    </row>
    <row r="1193" spans="1:83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v>0</v>
      </c>
      <c r="BN1193" s="6">
        <v>0</v>
      </c>
      <c r="BO1193" s="6">
        <v>0</v>
      </c>
      <c r="BP1193" s="6">
        <v>0</v>
      </c>
      <c r="BQ1193" s="6">
        <v>0</v>
      </c>
      <c r="BR1193" s="6">
        <v>0</v>
      </c>
      <c r="BS1193" s="6">
        <v>0</v>
      </c>
      <c r="BT1193" s="6">
        <v>0</v>
      </c>
      <c r="BU1193" s="6">
        <v>0</v>
      </c>
      <c r="BV1193" s="6">
        <v>0</v>
      </c>
      <c r="BW1193" s="6">
        <v>0</v>
      </c>
      <c r="BX1193" s="6">
        <v>0</v>
      </c>
      <c r="BY1193" s="6">
        <v>0</v>
      </c>
      <c r="BZ1193" s="6">
        <v>0</v>
      </c>
      <c r="CA1193" s="6">
        <v>0</v>
      </c>
      <c r="CB1193" s="6">
        <v>0</v>
      </c>
      <c r="CC1193" s="6">
        <f>IF(Table3[[#This Row],[Type]]="EM",IF((Table3[[#This Row],[Diameter]]/2)-Table3[[#This Row],[CornerRadius]]-0.012&gt;0,(Table3[[#This Row],[Diameter]]/2)-Table3[[#This Row],[CornerRadius]]-0.012,0),)</f>
        <v>0</v>
      </c>
      <c r="CE1193" s="6" t="str">
        <f>IF(Table3[[#This Row],[ShoulderLength]]="","",IF(Table3[[#This Row],[ShoulderLength]]&lt;Table3[[#This Row],[LOC]],"FIX",""))</f>
        <v/>
      </c>
    </row>
    <row r="1194" spans="1:83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v>0</v>
      </c>
      <c r="BN1194" s="6">
        <v>0</v>
      </c>
      <c r="BO1194" s="6">
        <v>0</v>
      </c>
      <c r="BP1194" s="6">
        <v>0</v>
      </c>
      <c r="BQ1194" s="6">
        <v>0</v>
      </c>
      <c r="BR1194" s="6">
        <v>0</v>
      </c>
      <c r="BS1194" s="6">
        <v>0</v>
      </c>
      <c r="BT1194" s="6">
        <v>0</v>
      </c>
      <c r="BU1194" s="6">
        <v>0</v>
      </c>
      <c r="BV1194" s="6">
        <v>0</v>
      </c>
      <c r="BW1194" s="6">
        <v>0</v>
      </c>
      <c r="BX1194" s="6">
        <v>0</v>
      </c>
      <c r="BY1194" s="6">
        <v>0</v>
      </c>
      <c r="BZ1194" s="6">
        <v>0</v>
      </c>
      <c r="CA1194" s="6">
        <v>0</v>
      </c>
      <c r="CB1194" s="6">
        <v>0</v>
      </c>
      <c r="CC1194" s="6">
        <f>IF(Table3[[#This Row],[Type]]="EM",IF((Table3[[#This Row],[Diameter]]/2)-Table3[[#This Row],[CornerRadius]]-0.012&gt;0,(Table3[[#This Row],[Diameter]]/2)-Table3[[#This Row],[CornerRadius]]-0.012,0),)</f>
        <v>0</v>
      </c>
      <c r="CE1194" s="6" t="str">
        <f>IF(Table3[[#This Row],[ShoulderLength]]="","",IF(Table3[[#This Row],[ShoulderLength]]&lt;Table3[[#This Row],[LOC]],"FIX",""))</f>
        <v/>
      </c>
    </row>
    <row r="1195" spans="1:83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v>0</v>
      </c>
      <c r="BN1195" s="6">
        <v>0</v>
      </c>
      <c r="BO1195" s="6">
        <v>0</v>
      </c>
      <c r="BP1195" s="6">
        <v>0</v>
      </c>
      <c r="BQ1195" s="6">
        <v>0</v>
      </c>
      <c r="BR1195" s="6">
        <v>0</v>
      </c>
      <c r="BS1195" s="6">
        <v>0</v>
      </c>
      <c r="BT1195" s="6">
        <v>0</v>
      </c>
      <c r="BU1195" s="6">
        <v>0</v>
      </c>
      <c r="BV1195" s="6">
        <v>0</v>
      </c>
      <c r="BW1195" s="6">
        <v>0</v>
      </c>
      <c r="BX1195" s="6">
        <v>0</v>
      </c>
      <c r="BY1195" s="6">
        <v>0</v>
      </c>
      <c r="BZ1195" s="6">
        <v>0</v>
      </c>
      <c r="CA1195" s="6">
        <v>0</v>
      </c>
      <c r="CB1195" s="6">
        <v>0</v>
      </c>
      <c r="CC1195" s="6">
        <f>IF(Table3[[#This Row],[Type]]="EM",IF((Table3[[#This Row],[Diameter]]/2)-Table3[[#This Row],[CornerRadius]]-0.012&gt;0,(Table3[[#This Row],[Diameter]]/2)-Table3[[#This Row],[CornerRadius]]-0.012,0),)</f>
        <v>0</v>
      </c>
      <c r="CE1195" s="6" t="str">
        <f>IF(Table3[[#This Row],[ShoulderLength]]="","",IF(Table3[[#This Row],[ShoulderLength]]&lt;Table3[[#This Row],[LOC]],"FIX",""))</f>
        <v/>
      </c>
    </row>
    <row r="1196" spans="1:83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v>0</v>
      </c>
      <c r="BN1196" s="6">
        <v>0</v>
      </c>
      <c r="BO1196" s="6">
        <v>0</v>
      </c>
      <c r="BP1196" s="6">
        <v>0</v>
      </c>
      <c r="BQ1196" s="6">
        <v>0</v>
      </c>
      <c r="BR1196" s="6">
        <v>0</v>
      </c>
      <c r="BS1196" s="6">
        <v>0</v>
      </c>
      <c r="BT1196" s="6">
        <v>0</v>
      </c>
      <c r="BU1196" s="6">
        <v>0</v>
      </c>
      <c r="BV1196" s="6">
        <v>0</v>
      </c>
      <c r="BW1196" s="6">
        <v>0</v>
      </c>
      <c r="BX1196" s="6">
        <v>0</v>
      </c>
      <c r="BY1196" s="6">
        <v>0</v>
      </c>
      <c r="BZ1196" s="6">
        <v>0</v>
      </c>
      <c r="CA1196" s="6">
        <v>0</v>
      </c>
      <c r="CB1196" s="6">
        <v>0</v>
      </c>
      <c r="CC1196" s="6">
        <f>IF(Table3[[#This Row],[Type]]="EM",IF((Table3[[#This Row],[Diameter]]/2)-Table3[[#This Row],[CornerRadius]]-0.012&gt;0,(Table3[[#This Row],[Diameter]]/2)-Table3[[#This Row],[CornerRadius]]-0.012,0),)</f>
        <v>0</v>
      </c>
      <c r="CE1196" s="6" t="str">
        <f>IF(Table3[[#This Row],[ShoulderLength]]="","",IF(Table3[[#This Row],[ShoulderLength]]&lt;Table3[[#This Row],[LOC]],"FIX",""))</f>
        <v/>
      </c>
    </row>
    <row r="1197" spans="1:83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v>0</v>
      </c>
      <c r="BN1197" s="6">
        <v>0</v>
      </c>
      <c r="BO1197" s="6">
        <v>0</v>
      </c>
      <c r="BP1197" s="6">
        <v>0</v>
      </c>
      <c r="BQ1197" s="6">
        <v>0</v>
      </c>
      <c r="BR1197" s="6">
        <v>0</v>
      </c>
      <c r="BS1197" s="6">
        <v>0</v>
      </c>
      <c r="BT1197" s="6">
        <v>0</v>
      </c>
      <c r="BU1197" s="6">
        <v>0</v>
      </c>
      <c r="BV1197" s="6">
        <v>0</v>
      </c>
      <c r="BW1197" s="6">
        <v>0</v>
      </c>
      <c r="BX1197" s="6">
        <v>0</v>
      </c>
      <c r="BY1197" s="6">
        <v>0</v>
      </c>
      <c r="BZ1197" s="6">
        <v>0</v>
      </c>
      <c r="CA1197" s="6">
        <v>0</v>
      </c>
      <c r="CB1197" s="6">
        <v>0</v>
      </c>
      <c r="CC1197" s="6">
        <f>IF(Table3[[#This Row],[Type]]="EM",IF((Table3[[#This Row],[Diameter]]/2)-Table3[[#This Row],[CornerRadius]]-0.012&gt;0,(Table3[[#This Row],[Diameter]]/2)-Table3[[#This Row],[CornerRadius]]-0.012,0),)</f>
        <v>0</v>
      </c>
      <c r="CE1197" s="6" t="str">
        <f>IF(Table3[[#This Row],[ShoulderLength]]="","",IF(Table3[[#This Row],[ShoulderLength]]&lt;Table3[[#This Row],[LOC]],"FIX",""))</f>
        <v/>
      </c>
    </row>
    <row r="1198" spans="1:83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v>0</v>
      </c>
      <c r="BN1198" s="6">
        <v>0</v>
      </c>
      <c r="BO1198" s="6">
        <v>0</v>
      </c>
      <c r="BP1198" s="6">
        <v>0</v>
      </c>
      <c r="BQ1198" s="6">
        <v>0</v>
      </c>
      <c r="BR1198" s="6">
        <v>0</v>
      </c>
      <c r="BS1198" s="6">
        <v>0</v>
      </c>
      <c r="BT1198" s="6">
        <v>0</v>
      </c>
      <c r="BU1198" s="6">
        <v>0</v>
      </c>
      <c r="BV1198" s="6">
        <v>0</v>
      </c>
      <c r="BW1198" s="6">
        <v>0</v>
      </c>
      <c r="BX1198" s="6">
        <v>0</v>
      </c>
      <c r="BY1198" s="6">
        <v>0</v>
      </c>
      <c r="BZ1198" s="6">
        <v>0</v>
      </c>
      <c r="CA1198" s="6">
        <v>0</v>
      </c>
      <c r="CB1198" s="6">
        <v>0</v>
      </c>
      <c r="CC1198" s="6">
        <f>IF(Table3[[#This Row],[Type]]="EM",IF((Table3[[#This Row],[Diameter]]/2)-Table3[[#This Row],[CornerRadius]]-0.012&gt;0,(Table3[[#This Row],[Diameter]]/2)-Table3[[#This Row],[CornerRadius]]-0.012,0),)</f>
        <v>0</v>
      </c>
      <c r="CE1198" s="6" t="str">
        <f>IF(Table3[[#This Row],[ShoulderLength]]="","",IF(Table3[[#This Row],[ShoulderLength]]&lt;Table3[[#This Row],[LOC]],"FIX",""))</f>
        <v/>
      </c>
    </row>
    <row r="1199" spans="1:83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v>0</v>
      </c>
      <c r="BN1199" s="6">
        <v>0</v>
      </c>
      <c r="BO1199" s="6">
        <v>0</v>
      </c>
      <c r="BP1199" s="6">
        <v>0</v>
      </c>
      <c r="BQ1199" s="6">
        <v>0</v>
      </c>
      <c r="BR1199" s="6">
        <v>0</v>
      </c>
      <c r="BS1199" s="6">
        <v>0</v>
      </c>
      <c r="BT1199" s="6">
        <v>0</v>
      </c>
      <c r="BU1199" s="6">
        <v>0</v>
      </c>
      <c r="BV1199" s="6">
        <v>0</v>
      </c>
      <c r="BW1199" s="6">
        <v>0</v>
      </c>
      <c r="BX1199" s="6">
        <v>0</v>
      </c>
      <c r="BY1199" s="6">
        <v>0</v>
      </c>
      <c r="BZ1199" s="6">
        <v>0</v>
      </c>
      <c r="CA1199" s="6">
        <v>0</v>
      </c>
      <c r="CB1199" s="6">
        <v>0</v>
      </c>
      <c r="CC1199" s="6">
        <f>IF(Table3[[#This Row],[Type]]="EM",IF((Table3[[#This Row],[Diameter]]/2)-Table3[[#This Row],[CornerRadius]]-0.012&gt;0,(Table3[[#This Row],[Diameter]]/2)-Table3[[#This Row],[CornerRadius]]-0.012,0),)</f>
        <v>0</v>
      </c>
      <c r="CE1199" s="6" t="str">
        <f>IF(Table3[[#This Row],[ShoulderLength]]="","",IF(Table3[[#This Row],[ShoulderLength]]&lt;Table3[[#This Row],[LOC]],"FIX",""))</f>
        <v/>
      </c>
    </row>
    <row r="1200" spans="1:83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v>0</v>
      </c>
      <c r="BN1200" s="6">
        <v>0</v>
      </c>
      <c r="BO1200" s="6">
        <v>0</v>
      </c>
      <c r="BP1200" s="6">
        <v>0</v>
      </c>
      <c r="BQ1200" s="6">
        <v>0</v>
      </c>
      <c r="BR1200" s="6">
        <v>0</v>
      </c>
      <c r="BS1200" s="6">
        <v>0</v>
      </c>
      <c r="BT1200" s="6">
        <v>0</v>
      </c>
      <c r="BU1200" s="6">
        <v>0</v>
      </c>
      <c r="BV1200" s="6">
        <v>0</v>
      </c>
      <c r="BW1200" s="6">
        <v>0</v>
      </c>
      <c r="BX1200" s="6">
        <v>0</v>
      </c>
      <c r="BY1200" s="6">
        <v>0</v>
      </c>
      <c r="BZ1200" s="6">
        <v>0</v>
      </c>
      <c r="CA1200" s="6">
        <v>0</v>
      </c>
      <c r="CB1200" s="6">
        <v>0</v>
      </c>
      <c r="CC1200" s="6">
        <f>IF(Table3[[#This Row],[Type]]="EM",IF((Table3[[#This Row],[Diameter]]/2)-Table3[[#This Row],[CornerRadius]]-0.012&gt;0,(Table3[[#This Row],[Diameter]]/2)-Table3[[#This Row],[CornerRadius]]-0.012,0),)</f>
        <v>0</v>
      </c>
      <c r="CE1200" s="6" t="str">
        <f>IF(Table3[[#This Row],[ShoulderLength]]="","",IF(Table3[[#This Row],[ShoulderLength]]&lt;Table3[[#This Row],[LOC]],"FIX",""))</f>
        <v/>
      </c>
    </row>
    <row r="1201" spans="1:83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v>0</v>
      </c>
      <c r="BN1201" s="6">
        <v>0</v>
      </c>
      <c r="BO1201" s="6">
        <v>0</v>
      </c>
      <c r="BP1201" s="6">
        <v>0</v>
      </c>
      <c r="BQ1201" s="6">
        <v>0</v>
      </c>
      <c r="BR1201" s="6">
        <v>0</v>
      </c>
      <c r="BS1201" s="6">
        <v>0</v>
      </c>
      <c r="BT1201" s="6">
        <v>0</v>
      </c>
      <c r="BU1201" s="6">
        <v>0</v>
      </c>
      <c r="BV1201" s="6">
        <v>0</v>
      </c>
      <c r="BW1201" s="6">
        <v>0</v>
      </c>
      <c r="BX1201" s="6">
        <v>0</v>
      </c>
      <c r="BY1201" s="6">
        <v>0</v>
      </c>
      <c r="BZ1201" s="6">
        <v>0</v>
      </c>
      <c r="CA1201" s="6">
        <v>0</v>
      </c>
      <c r="CB1201" s="6">
        <v>0</v>
      </c>
      <c r="CC1201" s="6">
        <f>IF(Table3[[#This Row],[Type]]="EM",IF((Table3[[#This Row],[Diameter]]/2)-Table3[[#This Row],[CornerRadius]]-0.012&gt;0,(Table3[[#This Row],[Diameter]]/2)-Table3[[#This Row],[CornerRadius]]-0.012,0),)</f>
        <v>0</v>
      </c>
      <c r="CE1201" s="6" t="str">
        <f>IF(Table3[[#This Row],[ShoulderLength]]="","",IF(Table3[[#This Row],[ShoulderLength]]&lt;Table3[[#This Row],[LOC]],"FIX",""))</f>
        <v/>
      </c>
    </row>
    <row r="1202" spans="1:83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v>0</v>
      </c>
      <c r="BN1202" s="6">
        <v>0</v>
      </c>
      <c r="BO1202" s="6">
        <v>0</v>
      </c>
      <c r="BP1202" s="6">
        <v>0</v>
      </c>
      <c r="BQ1202" s="6">
        <v>0</v>
      </c>
      <c r="BR1202" s="6">
        <v>0</v>
      </c>
      <c r="BS1202" s="6">
        <v>0</v>
      </c>
      <c r="BT1202" s="6">
        <v>0</v>
      </c>
      <c r="BU1202" s="6">
        <v>0</v>
      </c>
      <c r="BV1202" s="6">
        <v>0</v>
      </c>
      <c r="BW1202" s="6">
        <v>0</v>
      </c>
      <c r="BX1202" s="6">
        <v>0</v>
      </c>
      <c r="BY1202" s="6">
        <v>0</v>
      </c>
      <c r="BZ1202" s="6">
        <v>0</v>
      </c>
      <c r="CA1202" s="6">
        <v>0</v>
      </c>
      <c r="CB1202" s="6">
        <v>0</v>
      </c>
      <c r="CC1202" s="6">
        <f>IF(Table3[[#This Row],[Type]]="EM",IF((Table3[[#This Row],[Diameter]]/2)-Table3[[#This Row],[CornerRadius]]-0.012&gt;0,(Table3[[#This Row],[Diameter]]/2)-Table3[[#This Row],[CornerRadius]]-0.012,0),)</f>
        <v>0</v>
      </c>
      <c r="CE1202" s="6" t="str">
        <f>IF(Table3[[#This Row],[ShoulderLength]]="","",IF(Table3[[#This Row],[ShoulderLength]]&lt;Table3[[#This Row],[LOC]],"FIX",""))</f>
        <v/>
      </c>
    </row>
    <row r="1203" spans="1:83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v>0</v>
      </c>
      <c r="BN1203" s="6">
        <v>0</v>
      </c>
      <c r="BO1203" s="6">
        <v>0</v>
      </c>
      <c r="BP1203" s="6">
        <v>0</v>
      </c>
      <c r="BQ1203" s="6">
        <v>0</v>
      </c>
      <c r="BR1203" s="6">
        <v>0</v>
      </c>
      <c r="BS1203" s="6">
        <v>0</v>
      </c>
      <c r="BT1203" s="6">
        <v>0</v>
      </c>
      <c r="BU1203" s="6">
        <v>0</v>
      </c>
      <c r="BV1203" s="6">
        <v>0</v>
      </c>
      <c r="BW1203" s="6">
        <v>0</v>
      </c>
      <c r="BX1203" s="6">
        <v>0</v>
      </c>
      <c r="BY1203" s="6">
        <v>0</v>
      </c>
      <c r="BZ1203" s="6">
        <v>0</v>
      </c>
      <c r="CA1203" s="6">
        <v>0</v>
      </c>
      <c r="CB1203" s="6">
        <v>0</v>
      </c>
      <c r="CC1203" s="6">
        <f>IF(Table3[[#This Row],[Type]]="EM",IF((Table3[[#This Row],[Diameter]]/2)-Table3[[#This Row],[CornerRadius]]-0.012&gt;0,(Table3[[#This Row],[Diameter]]/2)-Table3[[#This Row],[CornerRadius]]-0.012,0),)</f>
        <v>0</v>
      </c>
      <c r="CE1203" s="6" t="str">
        <f>IF(Table3[[#This Row],[ShoulderLength]]="","",IF(Table3[[#This Row],[ShoulderLength]]&lt;Table3[[#This Row],[LOC]],"FIX",""))</f>
        <v/>
      </c>
    </row>
    <row r="1204" spans="1:83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v>0</v>
      </c>
      <c r="BN1204" s="6">
        <v>0</v>
      </c>
      <c r="BO1204" s="6">
        <v>0</v>
      </c>
      <c r="BP1204" s="6">
        <v>0</v>
      </c>
      <c r="BQ1204" s="6">
        <v>0</v>
      </c>
      <c r="BR1204" s="6">
        <v>0</v>
      </c>
      <c r="BS1204" s="6">
        <v>0</v>
      </c>
      <c r="BT1204" s="6">
        <v>0</v>
      </c>
      <c r="BU1204" s="6">
        <v>0</v>
      </c>
      <c r="BV1204" s="6">
        <v>0</v>
      </c>
      <c r="BW1204" s="6">
        <v>0</v>
      </c>
      <c r="BX1204" s="6">
        <v>0</v>
      </c>
      <c r="BY1204" s="6">
        <v>0</v>
      </c>
      <c r="BZ1204" s="6">
        <v>0</v>
      </c>
      <c r="CA1204" s="6">
        <v>0</v>
      </c>
      <c r="CB1204" s="6">
        <v>0</v>
      </c>
      <c r="CC1204" s="6">
        <f>IF(Table3[[#This Row],[Type]]="EM",IF((Table3[[#This Row],[Diameter]]/2)-Table3[[#This Row],[CornerRadius]]-0.012&gt;0,(Table3[[#This Row],[Diameter]]/2)-Table3[[#This Row],[CornerRadius]]-0.012,0),)</f>
        <v>0</v>
      </c>
      <c r="CE1204" s="6" t="str">
        <f>IF(Table3[[#This Row],[ShoulderLength]]="","",IF(Table3[[#This Row],[ShoulderLength]]&lt;Table3[[#This Row],[LOC]],"FIX",""))</f>
        <v/>
      </c>
    </row>
    <row r="1205" spans="1:83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v>0</v>
      </c>
      <c r="BN1205" s="6">
        <v>0</v>
      </c>
      <c r="BO1205" s="6">
        <v>0</v>
      </c>
      <c r="BP1205" s="6">
        <v>0</v>
      </c>
      <c r="BQ1205" s="6">
        <v>0</v>
      </c>
      <c r="BR1205" s="6">
        <v>0</v>
      </c>
      <c r="BS1205" s="6">
        <v>0</v>
      </c>
      <c r="BT1205" s="6">
        <v>0</v>
      </c>
      <c r="BU1205" s="6">
        <v>0</v>
      </c>
      <c r="BV1205" s="6">
        <v>0</v>
      </c>
      <c r="BW1205" s="6">
        <v>0</v>
      </c>
      <c r="BX1205" s="6">
        <v>0</v>
      </c>
      <c r="BY1205" s="6">
        <v>0</v>
      </c>
      <c r="BZ1205" s="6">
        <v>0</v>
      </c>
      <c r="CA1205" s="6">
        <v>0</v>
      </c>
      <c r="CB1205" s="6">
        <v>0</v>
      </c>
      <c r="CC1205" s="6">
        <f>IF(Table3[[#This Row],[Type]]="EM",IF((Table3[[#This Row],[Diameter]]/2)-Table3[[#This Row],[CornerRadius]]-0.012&gt;0,(Table3[[#This Row],[Diameter]]/2)-Table3[[#This Row],[CornerRadius]]-0.012,0),)</f>
        <v>0</v>
      </c>
      <c r="CE1205" s="6" t="str">
        <f>IF(Table3[[#This Row],[ShoulderLength]]="","",IF(Table3[[#This Row],[ShoulderLength]]&lt;Table3[[#This Row],[LOC]],"FIX",""))</f>
        <v/>
      </c>
    </row>
    <row r="1206" spans="1:83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v>0</v>
      </c>
      <c r="BN1206" s="6">
        <v>0</v>
      </c>
      <c r="BO1206" s="6">
        <v>0</v>
      </c>
      <c r="BP1206" s="6">
        <v>0</v>
      </c>
      <c r="BQ1206" s="6">
        <v>0</v>
      </c>
      <c r="BR1206" s="6">
        <v>0</v>
      </c>
      <c r="BS1206" s="6">
        <v>0</v>
      </c>
      <c r="BT1206" s="6">
        <v>0</v>
      </c>
      <c r="BU1206" s="6">
        <v>0</v>
      </c>
      <c r="BV1206" s="6">
        <v>0</v>
      </c>
      <c r="BW1206" s="6">
        <v>0</v>
      </c>
      <c r="BX1206" s="6">
        <v>0</v>
      </c>
      <c r="BY1206" s="6">
        <v>0</v>
      </c>
      <c r="BZ1206" s="6">
        <v>0</v>
      </c>
      <c r="CA1206" s="6">
        <v>0</v>
      </c>
      <c r="CB1206" s="6">
        <v>0</v>
      </c>
      <c r="CC1206" s="6">
        <f>IF(Table3[[#This Row],[Type]]="EM",IF((Table3[[#This Row],[Diameter]]/2)-Table3[[#This Row],[CornerRadius]]-0.012&gt;0,(Table3[[#This Row],[Diameter]]/2)-Table3[[#This Row],[CornerRadius]]-0.012,0),)</f>
        <v>0</v>
      </c>
      <c r="CE1206" s="6" t="str">
        <f>IF(Table3[[#This Row],[ShoulderLength]]="","",IF(Table3[[#This Row],[ShoulderLength]]&lt;Table3[[#This Row],[LOC]],"FIX",""))</f>
        <v/>
      </c>
    </row>
    <row r="1207" spans="1:83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v>0</v>
      </c>
      <c r="BN1207" s="6">
        <v>0</v>
      </c>
      <c r="BO1207" s="6">
        <v>0</v>
      </c>
      <c r="BP1207" s="6">
        <v>0</v>
      </c>
      <c r="BQ1207" s="6">
        <v>0</v>
      </c>
      <c r="BR1207" s="6">
        <v>0</v>
      </c>
      <c r="BS1207" s="6">
        <v>0</v>
      </c>
      <c r="BT1207" s="6">
        <v>0</v>
      </c>
      <c r="BU1207" s="6">
        <v>0</v>
      </c>
      <c r="BV1207" s="6">
        <v>0</v>
      </c>
      <c r="BW1207" s="6">
        <v>0</v>
      </c>
      <c r="BX1207" s="6">
        <v>0</v>
      </c>
      <c r="BY1207" s="6">
        <v>0</v>
      </c>
      <c r="BZ1207" s="6">
        <v>0</v>
      </c>
      <c r="CA1207" s="6">
        <v>0</v>
      </c>
      <c r="CB1207" s="6">
        <v>0</v>
      </c>
      <c r="CC1207" s="6">
        <f>IF(Table3[[#This Row],[Type]]="EM",IF((Table3[[#This Row],[Diameter]]/2)-Table3[[#This Row],[CornerRadius]]-0.012&gt;0,(Table3[[#This Row],[Diameter]]/2)-Table3[[#This Row],[CornerRadius]]-0.012,0),)</f>
        <v>0</v>
      </c>
      <c r="CE1207" s="6" t="str">
        <f>IF(Table3[[#This Row],[ShoulderLength]]="","",IF(Table3[[#This Row],[ShoulderLength]]&lt;Table3[[#This Row],[LOC]],"FIX",""))</f>
        <v/>
      </c>
    </row>
    <row r="1208" spans="1:83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v>0</v>
      </c>
      <c r="BN1208" s="6">
        <v>0</v>
      </c>
      <c r="BO1208" s="6">
        <v>0</v>
      </c>
      <c r="BP1208" s="6">
        <v>0</v>
      </c>
      <c r="BQ1208" s="6">
        <v>0</v>
      </c>
      <c r="BR1208" s="6">
        <v>0</v>
      </c>
      <c r="BS1208" s="6">
        <v>0</v>
      </c>
      <c r="BT1208" s="6">
        <v>0</v>
      </c>
      <c r="BU1208" s="6">
        <v>0</v>
      </c>
      <c r="BV1208" s="6">
        <v>0</v>
      </c>
      <c r="BW1208" s="6">
        <v>0</v>
      </c>
      <c r="BX1208" s="6">
        <v>0</v>
      </c>
      <c r="BY1208" s="6">
        <v>0</v>
      </c>
      <c r="BZ1208" s="6">
        <v>0</v>
      </c>
      <c r="CA1208" s="6">
        <v>0</v>
      </c>
      <c r="CB1208" s="6">
        <v>0</v>
      </c>
      <c r="CC1208" s="6">
        <f>IF(Table3[[#This Row],[Type]]="EM",IF((Table3[[#This Row],[Diameter]]/2)-Table3[[#This Row],[CornerRadius]]-0.012&gt;0,(Table3[[#This Row],[Diameter]]/2)-Table3[[#This Row],[CornerRadius]]-0.012,0),)</f>
        <v>0</v>
      </c>
      <c r="CE1208" s="6" t="str">
        <f>IF(Table3[[#This Row],[ShoulderLength]]="","",IF(Table3[[#This Row],[ShoulderLength]]&lt;Table3[[#This Row],[LOC]],"FIX",""))</f>
        <v/>
      </c>
    </row>
    <row r="1209" spans="1:83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v>0</v>
      </c>
      <c r="BN1209" s="6">
        <v>0</v>
      </c>
      <c r="BO1209" s="6">
        <v>0</v>
      </c>
      <c r="BP1209" s="6">
        <v>0</v>
      </c>
      <c r="BQ1209" s="6">
        <v>0</v>
      </c>
      <c r="BR1209" s="6">
        <v>0</v>
      </c>
      <c r="BS1209" s="6">
        <v>0</v>
      </c>
      <c r="BT1209" s="6">
        <v>0</v>
      </c>
      <c r="BU1209" s="6">
        <v>0</v>
      </c>
      <c r="BV1209" s="6">
        <v>0</v>
      </c>
      <c r="BW1209" s="6">
        <v>0</v>
      </c>
      <c r="BX1209" s="6">
        <v>0</v>
      </c>
      <c r="BY1209" s="6">
        <v>0</v>
      </c>
      <c r="BZ1209" s="6">
        <v>0</v>
      </c>
      <c r="CA1209" s="6">
        <v>0</v>
      </c>
      <c r="CB1209" s="6">
        <v>0</v>
      </c>
      <c r="CC1209" s="6">
        <f>IF(Table3[[#This Row],[Type]]="EM",IF((Table3[[#This Row],[Diameter]]/2)-Table3[[#This Row],[CornerRadius]]-0.012&gt;0,(Table3[[#This Row],[Diameter]]/2)-Table3[[#This Row],[CornerRadius]]-0.012,0),)</f>
        <v>0</v>
      </c>
      <c r="CE1209" s="6" t="str">
        <f>IF(Table3[[#This Row],[ShoulderLength]]="","",IF(Table3[[#This Row],[ShoulderLength]]&lt;Table3[[#This Row],[LOC]],"FIX",""))</f>
        <v/>
      </c>
    </row>
    <row r="1210" spans="1:83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v>0</v>
      </c>
      <c r="BN1210" s="6">
        <v>0</v>
      </c>
      <c r="BO1210" s="6">
        <v>0</v>
      </c>
      <c r="BP1210" s="6">
        <v>0</v>
      </c>
      <c r="BQ1210" s="6">
        <v>0</v>
      </c>
      <c r="BR1210" s="6">
        <v>0</v>
      </c>
      <c r="BS1210" s="6">
        <v>0</v>
      </c>
      <c r="BT1210" s="6">
        <v>0</v>
      </c>
      <c r="BU1210" s="6">
        <v>0</v>
      </c>
      <c r="BV1210" s="6">
        <v>0</v>
      </c>
      <c r="BW1210" s="6">
        <v>0</v>
      </c>
      <c r="BX1210" s="6">
        <v>0</v>
      </c>
      <c r="BY1210" s="6">
        <v>0</v>
      </c>
      <c r="BZ1210" s="6">
        <v>0</v>
      </c>
      <c r="CA1210" s="6">
        <v>0</v>
      </c>
      <c r="CB1210" s="6">
        <v>0</v>
      </c>
      <c r="CC1210" s="6">
        <f>IF(Table3[[#This Row],[Type]]="EM",IF((Table3[[#This Row],[Diameter]]/2)-Table3[[#This Row],[CornerRadius]]-0.012&gt;0,(Table3[[#This Row],[Diameter]]/2)-Table3[[#This Row],[CornerRadius]]-0.012,0),)</f>
        <v>0</v>
      </c>
      <c r="CE1210" s="6" t="str">
        <f>IF(Table3[[#This Row],[ShoulderLength]]="","",IF(Table3[[#This Row],[ShoulderLength]]&lt;Table3[[#This Row],[LOC]],"FIX",""))</f>
        <v/>
      </c>
    </row>
    <row r="1211" spans="1:83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v>0</v>
      </c>
      <c r="BN1211" s="6">
        <v>0</v>
      </c>
      <c r="BO1211" s="6">
        <v>0</v>
      </c>
      <c r="BP1211" s="6">
        <v>0</v>
      </c>
      <c r="BQ1211" s="6">
        <v>0</v>
      </c>
      <c r="BR1211" s="6">
        <v>0</v>
      </c>
      <c r="BS1211" s="6">
        <v>0</v>
      </c>
      <c r="BT1211" s="6">
        <v>0</v>
      </c>
      <c r="BU1211" s="6">
        <v>0</v>
      </c>
      <c r="BV1211" s="6">
        <v>0</v>
      </c>
      <c r="BW1211" s="6">
        <v>0</v>
      </c>
      <c r="BX1211" s="6">
        <v>0</v>
      </c>
      <c r="BY1211" s="6">
        <v>0</v>
      </c>
      <c r="BZ1211" s="6">
        <v>0</v>
      </c>
      <c r="CA1211" s="6">
        <v>0</v>
      </c>
      <c r="CB1211" s="6">
        <v>0</v>
      </c>
      <c r="CC1211" s="6">
        <f>IF(Table3[[#This Row],[Type]]="EM",IF((Table3[[#This Row],[Diameter]]/2)-Table3[[#This Row],[CornerRadius]]-0.012&gt;0,(Table3[[#This Row],[Diameter]]/2)-Table3[[#This Row],[CornerRadius]]-0.012,0),)</f>
        <v>0</v>
      </c>
      <c r="CE1211" s="6" t="str">
        <f>IF(Table3[[#This Row],[ShoulderLength]]="","",IF(Table3[[#This Row],[ShoulderLength]]&lt;Table3[[#This Row],[LOC]],"FIX",""))</f>
        <v/>
      </c>
    </row>
    <row r="1212" spans="1:83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v>0</v>
      </c>
      <c r="BN1212" s="6">
        <v>0</v>
      </c>
      <c r="BO1212" s="6">
        <v>0</v>
      </c>
      <c r="BP1212" s="6">
        <v>0</v>
      </c>
      <c r="BQ1212" s="6">
        <v>0</v>
      </c>
      <c r="BR1212" s="6">
        <v>0</v>
      </c>
      <c r="BS1212" s="6">
        <v>0</v>
      </c>
      <c r="BT1212" s="6">
        <v>0</v>
      </c>
      <c r="BU1212" s="6">
        <v>0</v>
      </c>
      <c r="BV1212" s="6">
        <v>0</v>
      </c>
      <c r="BW1212" s="6">
        <v>0</v>
      </c>
      <c r="BX1212" s="6">
        <v>0</v>
      </c>
      <c r="BY1212" s="6">
        <v>0</v>
      </c>
      <c r="BZ1212" s="6">
        <v>0</v>
      </c>
      <c r="CA1212" s="6">
        <v>0</v>
      </c>
      <c r="CB1212" s="6">
        <v>0</v>
      </c>
      <c r="CC1212" s="6">
        <f>IF(Table3[[#This Row],[Type]]="EM",IF((Table3[[#This Row],[Diameter]]/2)-Table3[[#This Row],[CornerRadius]]-0.012&gt;0,(Table3[[#This Row],[Diameter]]/2)-Table3[[#This Row],[CornerRadius]]-0.012,0),)</f>
        <v>0</v>
      </c>
      <c r="CE1212" s="6" t="str">
        <f>IF(Table3[[#This Row],[ShoulderLength]]="","",IF(Table3[[#This Row],[ShoulderLength]]&lt;Table3[[#This Row],[LOC]],"FIX",""))</f>
        <v/>
      </c>
    </row>
    <row r="1213" spans="1:83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v>0</v>
      </c>
      <c r="BN1213" s="6">
        <v>0</v>
      </c>
      <c r="BO1213" s="6">
        <v>0</v>
      </c>
      <c r="BP1213" s="6">
        <v>0</v>
      </c>
      <c r="BQ1213" s="6">
        <v>0</v>
      </c>
      <c r="BR1213" s="6">
        <v>0</v>
      </c>
      <c r="BS1213" s="6">
        <v>0</v>
      </c>
      <c r="BT1213" s="6">
        <v>0</v>
      </c>
      <c r="BU1213" s="6">
        <v>0</v>
      </c>
      <c r="BV1213" s="6">
        <v>0</v>
      </c>
      <c r="BW1213" s="6">
        <v>0</v>
      </c>
      <c r="BX1213" s="6">
        <v>0</v>
      </c>
      <c r="BY1213" s="6">
        <v>0</v>
      </c>
      <c r="BZ1213" s="6">
        <v>0</v>
      </c>
      <c r="CA1213" s="6">
        <v>0</v>
      </c>
      <c r="CB1213" s="6">
        <v>0</v>
      </c>
      <c r="CC1213" s="6">
        <f>IF(Table3[[#This Row],[Type]]="EM",IF((Table3[[#This Row],[Diameter]]/2)-Table3[[#This Row],[CornerRadius]]-0.012&gt;0,(Table3[[#This Row],[Diameter]]/2)-Table3[[#This Row],[CornerRadius]]-0.012,0),)</f>
        <v>0</v>
      </c>
      <c r="CE1213" s="6" t="str">
        <f>IF(Table3[[#This Row],[ShoulderLength]]="","",IF(Table3[[#This Row],[ShoulderLength]]&lt;Table3[[#This Row],[LOC]],"FIX",""))</f>
        <v/>
      </c>
    </row>
    <row r="1214" spans="1:83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v>0</v>
      </c>
      <c r="BN1214" s="6">
        <v>0</v>
      </c>
      <c r="BO1214" s="6">
        <v>0</v>
      </c>
      <c r="BP1214" s="6">
        <v>0</v>
      </c>
      <c r="BQ1214" s="6">
        <v>0</v>
      </c>
      <c r="BR1214" s="6">
        <v>0</v>
      </c>
      <c r="BS1214" s="6">
        <v>0</v>
      </c>
      <c r="BT1214" s="6">
        <v>0</v>
      </c>
      <c r="BU1214" s="6">
        <v>0</v>
      </c>
      <c r="BV1214" s="6">
        <v>0</v>
      </c>
      <c r="BW1214" s="6">
        <v>0</v>
      </c>
      <c r="BX1214" s="6">
        <v>0</v>
      </c>
      <c r="BY1214" s="6">
        <v>0</v>
      </c>
      <c r="BZ1214" s="6">
        <v>0</v>
      </c>
      <c r="CA1214" s="6">
        <v>0</v>
      </c>
      <c r="CB1214" s="6">
        <v>0</v>
      </c>
      <c r="CC1214" s="6">
        <f>IF(Table3[[#This Row],[Type]]="EM",IF((Table3[[#This Row],[Diameter]]/2)-Table3[[#This Row],[CornerRadius]]-0.012&gt;0,(Table3[[#This Row],[Diameter]]/2)-Table3[[#This Row],[CornerRadius]]-0.012,0),)</f>
        <v>0</v>
      </c>
      <c r="CE1214" s="6" t="str">
        <f>IF(Table3[[#This Row],[ShoulderLength]]="","",IF(Table3[[#This Row],[ShoulderLength]]&lt;Table3[[#This Row],[LOC]],"FIX",""))</f>
        <v/>
      </c>
    </row>
    <row r="1215" spans="1:83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v>0</v>
      </c>
      <c r="BN1215" s="6">
        <v>0</v>
      </c>
      <c r="BO1215" s="6">
        <v>0</v>
      </c>
      <c r="BP1215" s="6">
        <v>0</v>
      </c>
      <c r="BQ1215" s="6">
        <v>0</v>
      </c>
      <c r="BR1215" s="6">
        <v>0</v>
      </c>
      <c r="BS1215" s="6">
        <v>0</v>
      </c>
      <c r="BT1215" s="6">
        <v>0</v>
      </c>
      <c r="BU1215" s="6">
        <v>0</v>
      </c>
      <c r="BV1215" s="6">
        <v>0</v>
      </c>
      <c r="BW1215" s="6">
        <v>0</v>
      </c>
      <c r="BX1215" s="6">
        <v>0</v>
      </c>
      <c r="BY1215" s="6">
        <v>0</v>
      </c>
      <c r="BZ1215" s="6">
        <v>0</v>
      </c>
      <c r="CA1215" s="6">
        <v>0</v>
      </c>
      <c r="CB1215" s="6">
        <v>0</v>
      </c>
      <c r="CC1215" s="6">
        <f>IF(Table3[[#This Row],[Type]]="EM",IF((Table3[[#This Row],[Diameter]]/2)-Table3[[#This Row],[CornerRadius]]-0.012&gt;0,(Table3[[#This Row],[Diameter]]/2)-Table3[[#This Row],[CornerRadius]]-0.012,0),)</f>
        <v>0</v>
      </c>
      <c r="CE1215" s="6" t="str">
        <f>IF(Table3[[#This Row],[ShoulderLength]]="","",IF(Table3[[#This Row],[ShoulderLength]]&lt;Table3[[#This Row],[LOC]],"FIX",""))</f>
        <v/>
      </c>
    </row>
    <row r="1216" spans="1:83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v>0</v>
      </c>
      <c r="BN1216" s="6">
        <v>0</v>
      </c>
      <c r="BO1216" s="6">
        <v>0</v>
      </c>
      <c r="BP1216" s="6">
        <v>0</v>
      </c>
      <c r="BQ1216" s="6">
        <v>0</v>
      </c>
      <c r="BR1216" s="6">
        <v>0</v>
      </c>
      <c r="BS1216" s="6">
        <v>0</v>
      </c>
      <c r="BT1216" s="6">
        <v>0</v>
      </c>
      <c r="BU1216" s="6">
        <v>0</v>
      </c>
      <c r="BV1216" s="6">
        <v>0</v>
      </c>
      <c r="BW1216" s="6">
        <v>0</v>
      </c>
      <c r="BX1216" s="6">
        <v>0</v>
      </c>
      <c r="BY1216" s="6">
        <v>0</v>
      </c>
      <c r="BZ1216" s="6">
        <v>0</v>
      </c>
      <c r="CA1216" s="6">
        <v>0</v>
      </c>
      <c r="CB1216" s="6">
        <v>0</v>
      </c>
      <c r="CC1216" s="6">
        <f>IF(Table3[[#This Row],[Type]]="EM",IF((Table3[[#This Row],[Diameter]]/2)-Table3[[#This Row],[CornerRadius]]-0.012&gt;0,(Table3[[#This Row],[Diameter]]/2)-Table3[[#This Row],[CornerRadius]]-0.012,0),)</f>
        <v>0</v>
      </c>
      <c r="CE1216" s="6" t="str">
        <f>IF(Table3[[#This Row],[ShoulderLength]]="","",IF(Table3[[#This Row],[ShoulderLength]]&lt;Table3[[#This Row],[LOC]],"FIX",""))</f>
        <v/>
      </c>
    </row>
    <row r="1217" spans="1:83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v>0</v>
      </c>
      <c r="BN1217" s="6">
        <v>0</v>
      </c>
      <c r="BO1217" s="6">
        <v>0</v>
      </c>
      <c r="BP1217" s="6">
        <v>0</v>
      </c>
      <c r="BQ1217" s="6">
        <v>0</v>
      </c>
      <c r="BR1217" s="6">
        <v>0</v>
      </c>
      <c r="BS1217" s="6">
        <v>0</v>
      </c>
      <c r="BT1217" s="6">
        <v>0</v>
      </c>
      <c r="BU1217" s="6">
        <v>0</v>
      </c>
      <c r="BV1217" s="6">
        <v>0</v>
      </c>
      <c r="BW1217" s="6">
        <v>0</v>
      </c>
      <c r="BX1217" s="6">
        <v>0</v>
      </c>
      <c r="BY1217" s="6">
        <v>0</v>
      </c>
      <c r="BZ1217" s="6">
        <v>0</v>
      </c>
      <c r="CA1217" s="6">
        <v>0</v>
      </c>
      <c r="CB1217" s="6">
        <v>0</v>
      </c>
      <c r="CC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83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v>0</v>
      </c>
      <c r="BN1218" s="6">
        <v>0</v>
      </c>
      <c r="BO1218" s="6">
        <v>0</v>
      </c>
      <c r="BP1218" s="6">
        <v>0</v>
      </c>
      <c r="BQ1218" s="6">
        <v>0</v>
      </c>
      <c r="BR1218" s="6">
        <v>0</v>
      </c>
      <c r="BS1218" s="6">
        <v>0</v>
      </c>
      <c r="BT1218" s="6">
        <v>0</v>
      </c>
      <c r="BU1218" s="6">
        <v>0</v>
      </c>
      <c r="BV1218" s="6">
        <v>0</v>
      </c>
      <c r="BW1218" s="6">
        <v>0</v>
      </c>
      <c r="BX1218" s="6">
        <v>0</v>
      </c>
      <c r="BY1218" s="6">
        <v>0</v>
      </c>
      <c r="BZ1218" s="6">
        <v>0</v>
      </c>
      <c r="CA1218" s="6">
        <v>0</v>
      </c>
      <c r="CB1218" s="6">
        <v>0</v>
      </c>
      <c r="CC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83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v>0</v>
      </c>
      <c r="BN1219" s="6">
        <v>0</v>
      </c>
      <c r="BO1219" s="6">
        <v>0</v>
      </c>
      <c r="BP1219" s="6">
        <v>0</v>
      </c>
      <c r="BQ1219" s="6">
        <v>0</v>
      </c>
      <c r="BR1219" s="6">
        <v>0</v>
      </c>
      <c r="BS1219" s="6">
        <v>0</v>
      </c>
      <c r="BT1219" s="6">
        <v>0</v>
      </c>
      <c r="BU1219" s="6">
        <v>0</v>
      </c>
      <c r="BV1219" s="6">
        <v>0</v>
      </c>
      <c r="BW1219" s="6">
        <v>0</v>
      </c>
      <c r="BX1219" s="6">
        <v>0</v>
      </c>
      <c r="BY1219" s="6">
        <v>0</v>
      </c>
      <c r="BZ1219" s="6">
        <v>0</v>
      </c>
      <c r="CA1219" s="6">
        <v>0</v>
      </c>
      <c r="CB1219" s="6">
        <v>0</v>
      </c>
      <c r="CC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83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v>0</v>
      </c>
      <c r="BN1220" s="6">
        <v>0</v>
      </c>
      <c r="BO1220" s="6">
        <v>0</v>
      </c>
      <c r="BP1220" s="6">
        <v>0</v>
      </c>
      <c r="BQ1220" s="6">
        <v>0</v>
      </c>
      <c r="BR1220" s="6">
        <v>0</v>
      </c>
      <c r="BS1220" s="6">
        <v>0</v>
      </c>
      <c r="BT1220" s="6">
        <v>0</v>
      </c>
      <c r="BU1220" s="6">
        <v>0</v>
      </c>
      <c r="BV1220" s="6">
        <v>0</v>
      </c>
      <c r="BW1220" s="6">
        <v>0</v>
      </c>
      <c r="BX1220" s="6">
        <v>0</v>
      </c>
      <c r="BY1220" s="6">
        <v>0</v>
      </c>
      <c r="BZ1220" s="6">
        <v>0</v>
      </c>
      <c r="CA1220" s="6">
        <v>0</v>
      </c>
      <c r="CB1220" s="6">
        <v>0</v>
      </c>
      <c r="CC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83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v>0</v>
      </c>
      <c r="BN1221" s="6">
        <v>0</v>
      </c>
      <c r="BO1221" s="6">
        <v>0</v>
      </c>
      <c r="BP1221" s="6">
        <v>0</v>
      </c>
      <c r="BQ1221" s="6">
        <v>0</v>
      </c>
      <c r="BR1221" s="6">
        <v>0</v>
      </c>
      <c r="BS1221" s="6">
        <v>0</v>
      </c>
      <c r="BT1221" s="6">
        <v>0</v>
      </c>
      <c r="BU1221" s="6">
        <v>0</v>
      </c>
      <c r="BV1221" s="6">
        <v>0</v>
      </c>
      <c r="BW1221" s="6">
        <v>0</v>
      </c>
      <c r="BX1221" s="6">
        <v>0</v>
      </c>
      <c r="BY1221" s="6">
        <v>0</v>
      </c>
      <c r="BZ1221" s="6">
        <v>0</v>
      </c>
      <c r="CA1221" s="6">
        <v>0</v>
      </c>
      <c r="CB1221" s="6">
        <v>0</v>
      </c>
      <c r="CC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83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v>0</v>
      </c>
      <c r="BN1222" s="6">
        <v>0</v>
      </c>
      <c r="BO1222" s="6">
        <v>0</v>
      </c>
      <c r="BP1222" s="6">
        <v>0</v>
      </c>
      <c r="BQ1222" s="6">
        <v>0</v>
      </c>
      <c r="BR1222" s="6">
        <v>0</v>
      </c>
      <c r="BS1222" s="6">
        <v>0</v>
      </c>
      <c r="BT1222" s="6">
        <v>0</v>
      </c>
      <c r="BU1222" s="6">
        <v>0</v>
      </c>
      <c r="BV1222" s="6">
        <v>0</v>
      </c>
      <c r="BW1222" s="6">
        <v>0</v>
      </c>
      <c r="BX1222" s="6">
        <v>0</v>
      </c>
      <c r="BY1222" s="6">
        <v>0</v>
      </c>
      <c r="BZ1222" s="6">
        <v>0</v>
      </c>
      <c r="CA1222" s="6">
        <v>0</v>
      </c>
      <c r="CB1222" s="6">
        <v>0</v>
      </c>
      <c r="CC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83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v>0</v>
      </c>
      <c r="BN1223" s="6">
        <v>0</v>
      </c>
      <c r="BO1223" s="6">
        <v>0</v>
      </c>
      <c r="BP1223" s="6">
        <v>0</v>
      </c>
      <c r="BQ1223" s="6">
        <v>0</v>
      </c>
      <c r="BR1223" s="6">
        <v>0</v>
      </c>
      <c r="BS1223" s="6">
        <v>0</v>
      </c>
      <c r="BT1223" s="6">
        <v>0</v>
      </c>
      <c r="BU1223" s="6">
        <v>0</v>
      </c>
      <c r="BV1223" s="6">
        <v>0</v>
      </c>
      <c r="BW1223" s="6">
        <v>0</v>
      </c>
      <c r="BX1223" s="6">
        <v>0</v>
      </c>
      <c r="BY1223" s="6">
        <v>0</v>
      </c>
      <c r="BZ1223" s="6">
        <v>0</v>
      </c>
      <c r="CA1223" s="6">
        <v>0</v>
      </c>
      <c r="CB1223" s="6">
        <v>0</v>
      </c>
      <c r="CC1223" s="6">
        <f>IF(Table3[[#This Row],[Type]]="EM",IF((Table3[[#This Row],[Diameter]]/2)-Table3[[#This Row],[CornerRadius]]-0.012&gt;0,(Table3[[#This Row],[Diameter]]/2)-Table3[[#This Row],[CornerRadius]]-0.012,0),)</f>
        <v>0</v>
      </c>
      <c r="CE1223" s="6" t="str">
        <f>IF(Table3[[#This Row],[ShoulderLength]]="","",IF(Table3[[#This Row],[ShoulderLength]]&lt;Table3[[#This Row],[LOC]],"FIX",""))</f>
        <v/>
      </c>
    </row>
    <row r="1224" spans="1:83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v>0</v>
      </c>
      <c r="BN1224" s="6">
        <v>0</v>
      </c>
      <c r="BO1224" s="6">
        <v>0</v>
      </c>
      <c r="BP1224" s="6">
        <v>0</v>
      </c>
      <c r="BQ1224" s="6">
        <v>0</v>
      </c>
      <c r="BR1224" s="6">
        <v>0</v>
      </c>
      <c r="BS1224" s="6">
        <v>0</v>
      </c>
      <c r="BT1224" s="6">
        <v>0</v>
      </c>
      <c r="BU1224" s="6">
        <v>0</v>
      </c>
      <c r="BV1224" s="6">
        <v>0</v>
      </c>
      <c r="BW1224" s="6">
        <v>0</v>
      </c>
      <c r="BX1224" s="6">
        <v>0</v>
      </c>
      <c r="BY1224" s="6">
        <v>0</v>
      </c>
      <c r="BZ1224" s="6">
        <v>0</v>
      </c>
      <c r="CA1224" s="6">
        <v>0</v>
      </c>
      <c r="CB1224" s="6">
        <v>0</v>
      </c>
      <c r="CC1224" s="6">
        <f>IF(Table3[[#This Row],[Type]]="EM",IF((Table3[[#This Row],[Diameter]]/2)-Table3[[#This Row],[CornerRadius]]-0.012&gt;0,(Table3[[#This Row],[Diameter]]/2)-Table3[[#This Row],[CornerRadius]]-0.012,0),)</f>
        <v>0</v>
      </c>
      <c r="CE1224" s="6" t="str">
        <f>IF(Table3[[#This Row],[ShoulderLength]]="","",IF(Table3[[#This Row],[ShoulderLength]]&lt;Table3[[#This Row],[LOC]],"FIX",""))</f>
        <v/>
      </c>
    </row>
    <row r="1225" spans="1:83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v>0</v>
      </c>
      <c r="BN1225" s="6">
        <v>0</v>
      </c>
      <c r="BO1225" s="6">
        <v>0</v>
      </c>
      <c r="BP1225" s="6">
        <v>0</v>
      </c>
      <c r="BQ1225" s="6">
        <v>0</v>
      </c>
      <c r="BR1225" s="6">
        <v>0</v>
      </c>
      <c r="BS1225" s="6">
        <v>0</v>
      </c>
      <c r="BT1225" s="6">
        <v>0</v>
      </c>
      <c r="BU1225" s="6">
        <v>0</v>
      </c>
      <c r="BV1225" s="6">
        <v>0</v>
      </c>
      <c r="BW1225" s="6">
        <v>0</v>
      </c>
      <c r="BX1225" s="6">
        <v>0</v>
      </c>
      <c r="BY1225" s="6">
        <v>0</v>
      </c>
      <c r="BZ1225" s="6">
        <v>0</v>
      </c>
      <c r="CA1225" s="6">
        <v>0</v>
      </c>
      <c r="CB1225" s="6">
        <v>0</v>
      </c>
      <c r="CC1225" s="6">
        <f>IF(Table3[[#This Row],[Type]]="EM",IF((Table3[[#This Row],[Diameter]]/2)-Table3[[#This Row],[CornerRadius]]-0.012&gt;0,(Table3[[#This Row],[Diameter]]/2)-Table3[[#This Row],[CornerRadius]]-0.012,0),)</f>
        <v>0</v>
      </c>
      <c r="CE1225" s="6" t="str">
        <f>IF(Table3[[#This Row],[ShoulderLength]]="","",IF(Table3[[#This Row],[ShoulderLength]]&lt;Table3[[#This Row],[LOC]],"FIX",""))</f>
        <v/>
      </c>
    </row>
    <row r="1226" spans="1:83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v>0</v>
      </c>
      <c r="BN1226" s="6">
        <v>0</v>
      </c>
      <c r="BO1226" s="6">
        <v>0</v>
      </c>
      <c r="BP1226" s="6">
        <v>0</v>
      </c>
      <c r="BQ1226" s="6">
        <v>0</v>
      </c>
      <c r="BR1226" s="6">
        <v>0</v>
      </c>
      <c r="BS1226" s="6">
        <v>0</v>
      </c>
      <c r="BT1226" s="6">
        <v>0</v>
      </c>
      <c r="BU1226" s="6">
        <v>0</v>
      </c>
      <c r="BV1226" s="6">
        <v>0</v>
      </c>
      <c r="BW1226" s="6">
        <v>0</v>
      </c>
      <c r="BX1226" s="6">
        <v>0</v>
      </c>
      <c r="BY1226" s="6">
        <v>0</v>
      </c>
      <c r="BZ1226" s="6">
        <v>0</v>
      </c>
      <c r="CA1226" s="6">
        <v>0</v>
      </c>
      <c r="CB1226" s="6">
        <v>0</v>
      </c>
      <c r="CC1226" s="6">
        <f>IF(Table3[[#This Row],[Type]]="EM",IF((Table3[[#This Row],[Diameter]]/2)-Table3[[#This Row],[CornerRadius]]-0.012&gt;0,(Table3[[#This Row],[Diameter]]/2)-Table3[[#This Row],[CornerRadius]]-0.012,0),)</f>
        <v>0</v>
      </c>
      <c r="CE1226" s="6" t="str">
        <f>IF(Table3[[#This Row],[ShoulderLength]]="","",IF(Table3[[#This Row],[ShoulderLength]]&lt;Table3[[#This Row],[LOC]],"FIX",""))</f>
        <v/>
      </c>
    </row>
    <row r="1227" spans="1:83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v>0</v>
      </c>
      <c r="BN1227" s="6">
        <v>0</v>
      </c>
      <c r="BO1227" s="6">
        <v>0</v>
      </c>
      <c r="BP1227" s="6">
        <v>0</v>
      </c>
      <c r="BQ1227" s="6">
        <v>0</v>
      </c>
      <c r="BR1227" s="6">
        <v>0</v>
      </c>
      <c r="BS1227" s="6">
        <v>0</v>
      </c>
      <c r="BT1227" s="6">
        <v>0</v>
      </c>
      <c r="BU1227" s="6">
        <v>0</v>
      </c>
      <c r="BV1227" s="6">
        <v>0</v>
      </c>
      <c r="BW1227" s="6">
        <v>0</v>
      </c>
      <c r="BX1227" s="6">
        <v>0</v>
      </c>
      <c r="BY1227" s="6">
        <v>0</v>
      </c>
      <c r="BZ1227" s="6">
        <v>0</v>
      </c>
      <c r="CA1227" s="6">
        <v>0</v>
      </c>
      <c r="CB1227" s="6">
        <v>0</v>
      </c>
      <c r="CC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83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v>0</v>
      </c>
      <c r="BN1228" s="6">
        <v>0</v>
      </c>
      <c r="BO1228" s="6">
        <v>0</v>
      </c>
      <c r="BP1228" s="6">
        <v>0</v>
      </c>
      <c r="BQ1228" s="6">
        <v>0</v>
      </c>
      <c r="BR1228" s="6">
        <v>0</v>
      </c>
      <c r="BS1228" s="6">
        <v>0</v>
      </c>
      <c r="BT1228" s="6">
        <v>0</v>
      </c>
      <c r="BU1228" s="6">
        <v>0</v>
      </c>
      <c r="BV1228" s="6">
        <v>0</v>
      </c>
      <c r="BW1228" s="6">
        <v>0</v>
      </c>
      <c r="BX1228" s="6">
        <v>0</v>
      </c>
      <c r="BY1228" s="6">
        <v>0</v>
      </c>
      <c r="BZ1228" s="6">
        <v>0</v>
      </c>
      <c r="CA1228" s="6">
        <v>0</v>
      </c>
      <c r="CB1228" s="6">
        <v>0</v>
      </c>
      <c r="CC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1228" s="6" t="str">
        <f>IF(Table3[[#This Row],[ShoulderLength]]="","",IF(Table3[[#This Row],[ShoulderLength]]&lt;Table3[[#This Row],[LOC]],"FIX",""))</f>
        <v/>
      </c>
    </row>
    <row r="1229" spans="1:83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v>0</v>
      </c>
      <c r="BN1229" s="6">
        <v>0</v>
      </c>
      <c r="BO1229" s="6">
        <v>0</v>
      </c>
      <c r="BP1229" s="6">
        <v>0</v>
      </c>
      <c r="BQ1229" s="6">
        <v>0</v>
      </c>
      <c r="BR1229" s="6">
        <v>0</v>
      </c>
      <c r="BS1229" s="6">
        <v>0</v>
      </c>
      <c r="BT1229" s="6">
        <v>0</v>
      </c>
      <c r="BU1229" s="6">
        <v>0</v>
      </c>
      <c r="BV1229" s="6">
        <v>0</v>
      </c>
      <c r="BW1229" s="6">
        <v>0</v>
      </c>
      <c r="BX1229" s="6">
        <v>0</v>
      </c>
      <c r="BY1229" s="6">
        <v>0</v>
      </c>
      <c r="BZ1229" s="6">
        <v>0</v>
      </c>
      <c r="CA1229" s="6">
        <v>0</v>
      </c>
      <c r="CB1229" s="6">
        <v>0</v>
      </c>
      <c r="CC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1229" s="6" t="str">
        <f>IF(Table3[[#This Row],[ShoulderLength]]="","",IF(Table3[[#This Row],[ShoulderLength]]&lt;Table3[[#This Row],[LOC]],"FIX",""))</f>
        <v/>
      </c>
    </row>
    <row r="1230" spans="1:83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v>0</v>
      </c>
      <c r="BN1230" s="6">
        <v>0</v>
      </c>
      <c r="BO1230" s="6">
        <v>0</v>
      </c>
      <c r="BP1230" s="6">
        <v>0</v>
      </c>
      <c r="BQ1230" s="6">
        <v>0</v>
      </c>
      <c r="BR1230" s="6">
        <v>0</v>
      </c>
      <c r="BS1230" s="6">
        <v>0</v>
      </c>
      <c r="BT1230" s="6">
        <v>0</v>
      </c>
      <c r="BU1230" s="6">
        <v>0</v>
      </c>
      <c r="BV1230" s="6">
        <v>0</v>
      </c>
      <c r="BW1230" s="6">
        <v>0</v>
      </c>
      <c r="BX1230" s="6">
        <v>0</v>
      </c>
      <c r="BY1230" s="6">
        <v>0</v>
      </c>
      <c r="BZ1230" s="6">
        <v>0</v>
      </c>
      <c r="CA1230" s="6">
        <v>0</v>
      </c>
      <c r="CB1230" s="6">
        <v>0</v>
      </c>
      <c r="CC1230" s="6">
        <f>IF(Table3[[#This Row],[Type]]="EM",IF((Table3[[#This Row],[Diameter]]/2)-Table3[[#This Row],[CornerRadius]]-0.012&gt;0,(Table3[[#This Row],[Diameter]]/2)-Table3[[#This Row],[CornerRadius]]-0.012,0),)</f>
        <v>0</v>
      </c>
      <c r="CE1230" s="6" t="str">
        <f>IF(Table3[[#This Row],[ShoulderLength]]="","",IF(Table3[[#This Row],[ShoulderLength]]&lt;Table3[[#This Row],[LOC]],"FIX",""))</f>
        <v/>
      </c>
    </row>
    <row r="1231" spans="1:83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v>0</v>
      </c>
      <c r="BN1231" s="6">
        <v>0</v>
      </c>
      <c r="BO1231" s="6">
        <v>0</v>
      </c>
      <c r="BP1231" s="6">
        <v>0</v>
      </c>
      <c r="BQ1231" s="6">
        <v>0</v>
      </c>
      <c r="BR1231" s="6">
        <v>0</v>
      </c>
      <c r="BS1231" s="6">
        <v>0</v>
      </c>
      <c r="BT1231" s="6">
        <v>0</v>
      </c>
      <c r="BU1231" s="6">
        <v>0</v>
      </c>
      <c r="BV1231" s="6">
        <v>0</v>
      </c>
      <c r="BW1231" s="6">
        <v>0</v>
      </c>
      <c r="BX1231" s="6">
        <v>0</v>
      </c>
      <c r="BY1231" s="6">
        <v>0</v>
      </c>
      <c r="BZ1231" s="6">
        <v>0</v>
      </c>
      <c r="CA1231" s="6">
        <v>0</v>
      </c>
      <c r="CB1231" s="6">
        <v>0</v>
      </c>
      <c r="CC1231" s="6">
        <f>IF(Table3[[#This Row],[Type]]="EM",IF((Table3[[#This Row],[Diameter]]/2)-Table3[[#This Row],[CornerRadius]]-0.012&gt;0,(Table3[[#This Row],[Diameter]]/2)-Table3[[#This Row],[CornerRadius]]-0.012,0),)</f>
        <v>0</v>
      </c>
      <c r="CE1231" s="6" t="str">
        <f>IF(Table3[[#This Row],[ShoulderLength]]="","",IF(Table3[[#This Row],[ShoulderLength]]&lt;Table3[[#This Row],[LOC]],"FIX",""))</f>
        <v/>
      </c>
    </row>
    <row r="1232" spans="1:83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v>0</v>
      </c>
      <c r="BN1232" s="6">
        <v>0</v>
      </c>
      <c r="BO1232" s="6">
        <v>0</v>
      </c>
      <c r="BP1232" s="6">
        <v>0</v>
      </c>
      <c r="BQ1232" s="6">
        <v>0</v>
      </c>
      <c r="BR1232" s="6">
        <v>0</v>
      </c>
      <c r="BS1232" s="6">
        <v>0</v>
      </c>
      <c r="BT1232" s="6">
        <v>0</v>
      </c>
      <c r="BU1232" s="6">
        <v>0</v>
      </c>
      <c r="BV1232" s="6">
        <v>0</v>
      </c>
      <c r="BW1232" s="6">
        <v>0</v>
      </c>
      <c r="BX1232" s="6">
        <v>0</v>
      </c>
      <c r="BY1232" s="6">
        <v>0</v>
      </c>
      <c r="BZ1232" s="6">
        <v>0</v>
      </c>
      <c r="CA1232" s="6">
        <v>0</v>
      </c>
      <c r="CB1232" s="6">
        <v>0</v>
      </c>
      <c r="CC1232" s="6">
        <f>IF(Table3[[#This Row],[Type]]="EM",IF((Table3[[#This Row],[Diameter]]/2)-Table3[[#This Row],[CornerRadius]]-0.012&gt;0,(Table3[[#This Row],[Diameter]]/2)-Table3[[#This Row],[CornerRadius]]-0.012,0),)</f>
        <v>0</v>
      </c>
      <c r="CE1232" s="6" t="str">
        <f>IF(Table3[[#This Row],[ShoulderLength]]="","",IF(Table3[[#This Row],[ShoulderLength]]&lt;Table3[[#This Row],[LOC]],"FIX",""))</f>
        <v/>
      </c>
    </row>
    <row r="1233" spans="1:83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v>0</v>
      </c>
      <c r="BN1233" s="6">
        <v>0</v>
      </c>
      <c r="BO1233" s="6">
        <v>0</v>
      </c>
      <c r="BP1233" s="6">
        <v>0</v>
      </c>
      <c r="BQ1233" s="6">
        <v>0</v>
      </c>
      <c r="BR1233" s="6">
        <v>0</v>
      </c>
      <c r="BS1233" s="6">
        <v>0</v>
      </c>
      <c r="BT1233" s="6">
        <v>0</v>
      </c>
      <c r="BU1233" s="6">
        <v>0</v>
      </c>
      <c r="BV1233" s="6">
        <v>0</v>
      </c>
      <c r="BW1233" s="6">
        <v>0</v>
      </c>
      <c r="BX1233" s="6">
        <v>0</v>
      </c>
      <c r="BY1233" s="6">
        <v>0</v>
      </c>
      <c r="BZ1233" s="6">
        <v>0</v>
      </c>
      <c r="CA1233" s="6">
        <v>0</v>
      </c>
      <c r="CB1233" s="6">
        <v>0</v>
      </c>
      <c r="CC1233" s="6">
        <f>IF(Table3[[#This Row],[Type]]="EM",IF((Table3[[#This Row],[Diameter]]/2)-Table3[[#This Row],[CornerRadius]]-0.012&gt;0,(Table3[[#This Row],[Diameter]]/2)-Table3[[#This Row],[CornerRadius]]-0.012,0),)</f>
        <v>0</v>
      </c>
      <c r="CE1233" s="6" t="str">
        <f>IF(Table3[[#This Row],[ShoulderLength]]="","",IF(Table3[[#This Row],[ShoulderLength]]&lt;Table3[[#This Row],[LOC]],"FIX",""))</f>
        <v/>
      </c>
    </row>
    <row r="1234" spans="1:83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v>0</v>
      </c>
      <c r="BN1234" s="6">
        <v>0</v>
      </c>
      <c r="BO1234" s="6">
        <v>0</v>
      </c>
      <c r="BP1234" s="6">
        <v>0</v>
      </c>
      <c r="BQ1234" s="6">
        <v>0</v>
      </c>
      <c r="BR1234" s="6">
        <v>0</v>
      </c>
      <c r="BS1234" s="6">
        <v>0</v>
      </c>
      <c r="BT1234" s="6">
        <v>0</v>
      </c>
      <c r="BU1234" s="6">
        <v>0</v>
      </c>
      <c r="BV1234" s="6">
        <v>0</v>
      </c>
      <c r="BW1234" s="6">
        <v>0</v>
      </c>
      <c r="BX1234" s="6">
        <v>0</v>
      </c>
      <c r="BY1234" s="6">
        <v>0</v>
      </c>
      <c r="BZ1234" s="6">
        <v>0</v>
      </c>
      <c r="CA1234" s="6">
        <v>0</v>
      </c>
      <c r="CB1234" s="6">
        <v>0</v>
      </c>
      <c r="CC1234" s="6">
        <f>IF(Table3[[#This Row],[Type]]="EM",IF((Table3[[#This Row],[Diameter]]/2)-Table3[[#This Row],[CornerRadius]]-0.012&gt;0,(Table3[[#This Row],[Diameter]]/2)-Table3[[#This Row],[CornerRadius]]-0.012,0),)</f>
        <v>0</v>
      </c>
      <c r="CE1234" s="6" t="str">
        <f>IF(Table3[[#This Row],[ShoulderLength]]="","",IF(Table3[[#This Row],[ShoulderLength]]&lt;Table3[[#This Row],[LOC]],"FIX",""))</f>
        <v/>
      </c>
    </row>
    <row r="1235" spans="1:83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v>0</v>
      </c>
      <c r="BN1235" s="6">
        <v>0</v>
      </c>
      <c r="BO1235" s="6">
        <v>0</v>
      </c>
      <c r="BP1235" s="6">
        <v>0</v>
      </c>
      <c r="BQ1235" s="6">
        <v>0</v>
      </c>
      <c r="BR1235" s="6">
        <v>0</v>
      </c>
      <c r="BS1235" s="6">
        <v>0</v>
      </c>
      <c r="BT1235" s="6">
        <v>0</v>
      </c>
      <c r="BU1235" s="6">
        <v>0</v>
      </c>
      <c r="BV1235" s="6">
        <v>0</v>
      </c>
      <c r="BW1235" s="6">
        <v>0</v>
      </c>
      <c r="BX1235" s="6">
        <v>0</v>
      </c>
      <c r="BY1235" s="6">
        <v>0</v>
      </c>
      <c r="BZ1235" s="6">
        <v>0</v>
      </c>
      <c r="CA1235" s="6">
        <v>0</v>
      </c>
      <c r="CB1235" s="6">
        <v>0</v>
      </c>
      <c r="CC1235" s="6">
        <f>IF(Table3[[#This Row],[Type]]="EM",IF((Table3[[#This Row],[Diameter]]/2)-Table3[[#This Row],[CornerRadius]]-0.012&gt;0,(Table3[[#This Row],[Diameter]]/2)-Table3[[#This Row],[CornerRadius]]-0.012,0),)</f>
        <v>0</v>
      </c>
      <c r="CE1235" s="6" t="str">
        <f>IF(Table3[[#This Row],[ShoulderLength]]="","",IF(Table3[[#This Row],[ShoulderLength]]&lt;Table3[[#This Row],[LOC]],"FIX",""))</f>
        <v/>
      </c>
    </row>
    <row r="1236" spans="1:83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v>0</v>
      </c>
      <c r="BN1236" s="6">
        <v>0</v>
      </c>
      <c r="BO1236" s="6">
        <v>0</v>
      </c>
      <c r="BP1236" s="6">
        <v>0</v>
      </c>
      <c r="BQ1236" s="6">
        <v>0</v>
      </c>
      <c r="BR1236" s="6">
        <v>0</v>
      </c>
      <c r="BS1236" s="6">
        <v>0</v>
      </c>
      <c r="BT1236" s="6">
        <v>0</v>
      </c>
      <c r="BU1236" s="6">
        <v>0</v>
      </c>
      <c r="BV1236" s="6">
        <v>0</v>
      </c>
      <c r="BW1236" s="6">
        <v>0</v>
      </c>
      <c r="BX1236" s="6">
        <v>0</v>
      </c>
      <c r="BY1236" s="6">
        <v>0</v>
      </c>
      <c r="BZ1236" s="6">
        <v>0</v>
      </c>
      <c r="CA1236" s="6">
        <v>0</v>
      </c>
      <c r="CB1236" s="6">
        <v>0</v>
      </c>
      <c r="CC1236" s="6">
        <f>IF(Table3[[#This Row],[Type]]="EM",IF((Table3[[#This Row],[Diameter]]/2)-Table3[[#This Row],[CornerRadius]]-0.012&gt;0,(Table3[[#This Row],[Diameter]]/2)-Table3[[#This Row],[CornerRadius]]-0.012,0),)</f>
        <v>0</v>
      </c>
      <c r="CE1236" s="6" t="str">
        <f>IF(Table3[[#This Row],[ShoulderLength]]="","",IF(Table3[[#This Row],[ShoulderLength]]&lt;Table3[[#This Row],[LOC]],"FIX",""))</f>
        <v/>
      </c>
    </row>
    <row r="1237" spans="1:83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v>0</v>
      </c>
      <c r="BN1237" s="6">
        <v>0</v>
      </c>
      <c r="BO1237" s="6">
        <v>0</v>
      </c>
      <c r="BP1237" s="6">
        <v>0</v>
      </c>
      <c r="BQ1237" s="6">
        <v>0</v>
      </c>
      <c r="BR1237" s="6">
        <v>0</v>
      </c>
      <c r="BS1237" s="6">
        <v>0</v>
      </c>
      <c r="BT1237" s="6">
        <v>0</v>
      </c>
      <c r="BU1237" s="6">
        <v>0</v>
      </c>
      <c r="BV1237" s="6">
        <v>0</v>
      </c>
      <c r="BW1237" s="6">
        <v>0</v>
      </c>
      <c r="BX1237" s="6">
        <v>0</v>
      </c>
      <c r="BY1237" s="6">
        <v>0</v>
      </c>
      <c r="BZ1237" s="6">
        <v>0</v>
      </c>
      <c r="CA1237" s="6">
        <v>0</v>
      </c>
      <c r="CB1237" s="6">
        <v>0</v>
      </c>
      <c r="CC1237" s="6">
        <f>IF(Table3[[#This Row],[Type]]="EM",IF((Table3[[#This Row],[Diameter]]/2)-Table3[[#This Row],[CornerRadius]]-0.012&gt;0,(Table3[[#This Row],[Diameter]]/2)-Table3[[#This Row],[CornerRadius]]-0.012,0),)</f>
        <v>0</v>
      </c>
      <c r="CE1237" s="6" t="str">
        <f>IF(Table3[[#This Row],[ShoulderLength]]="","",IF(Table3[[#This Row],[ShoulderLength]]&lt;Table3[[#This Row],[LOC]],"FIX",""))</f>
        <v/>
      </c>
    </row>
    <row r="1238" spans="1:83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v>0</v>
      </c>
      <c r="BN1238" s="6">
        <v>0</v>
      </c>
      <c r="BO1238" s="6">
        <v>0</v>
      </c>
      <c r="BP1238" s="6">
        <v>0</v>
      </c>
      <c r="BQ1238" s="6">
        <v>0</v>
      </c>
      <c r="BR1238" s="6">
        <v>0</v>
      </c>
      <c r="BS1238" s="6">
        <v>0</v>
      </c>
      <c r="BT1238" s="6">
        <v>0</v>
      </c>
      <c r="BU1238" s="6">
        <v>0</v>
      </c>
      <c r="BV1238" s="6">
        <v>0</v>
      </c>
      <c r="BW1238" s="6">
        <v>0</v>
      </c>
      <c r="BX1238" s="6">
        <v>0</v>
      </c>
      <c r="BY1238" s="6">
        <v>0</v>
      </c>
      <c r="BZ1238" s="6">
        <v>0</v>
      </c>
      <c r="CA1238" s="6">
        <v>0</v>
      </c>
      <c r="CB1238" s="6">
        <v>0</v>
      </c>
      <c r="CC1238" s="6">
        <f>IF(Table3[[#This Row],[Type]]="EM",IF((Table3[[#This Row],[Diameter]]/2)-Table3[[#This Row],[CornerRadius]]-0.012&gt;0,(Table3[[#This Row],[Diameter]]/2)-Table3[[#This Row],[CornerRadius]]-0.012,0),)</f>
        <v>0</v>
      </c>
      <c r="CE1238" s="6" t="str">
        <f>IF(Table3[[#This Row],[ShoulderLength]]="","",IF(Table3[[#This Row],[ShoulderLength]]&lt;Table3[[#This Row],[LOC]],"FIX",""))</f>
        <v/>
      </c>
    </row>
    <row r="1239" spans="1:83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v>0</v>
      </c>
      <c r="BN1239" s="6">
        <v>0</v>
      </c>
      <c r="BO1239" s="6">
        <v>0</v>
      </c>
      <c r="BP1239" s="6">
        <v>0</v>
      </c>
      <c r="BQ1239" s="6">
        <v>0</v>
      </c>
      <c r="BR1239" s="6">
        <v>0</v>
      </c>
      <c r="BS1239" s="6">
        <v>0</v>
      </c>
      <c r="BT1239" s="6">
        <v>0</v>
      </c>
      <c r="BU1239" s="6">
        <v>0</v>
      </c>
      <c r="BV1239" s="6">
        <v>0</v>
      </c>
      <c r="BW1239" s="6">
        <v>0</v>
      </c>
      <c r="BX1239" s="6">
        <v>0</v>
      </c>
      <c r="BY1239" s="6">
        <v>0</v>
      </c>
      <c r="BZ1239" s="6">
        <v>0</v>
      </c>
      <c r="CA1239" s="6">
        <v>0</v>
      </c>
      <c r="CB1239" s="6">
        <v>0</v>
      </c>
      <c r="CC1239" s="6">
        <f>IF(Table3[[#This Row],[Type]]="EM",IF((Table3[[#This Row],[Diameter]]/2)-Table3[[#This Row],[CornerRadius]]-0.012&gt;0,(Table3[[#This Row],[Diameter]]/2)-Table3[[#This Row],[CornerRadius]]-0.012,0),)</f>
        <v>0</v>
      </c>
      <c r="CE1239" s="6" t="str">
        <f>IF(Table3[[#This Row],[ShoulderLength]]="","",IF(Table3[[#This Row],[ShoulderLength]]&lt;Table3[[#This Row],[LOC]],"FIX",""))</f>
        <v/>
      </c>
    </row>
    <row r="1240" spans="1:83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v>0</v>
      </c>
      <c r="BN1240" s="6">
        <v>0</v>
      </c>
      <c r="BO1240" s="6">
        <v>0</v>
      </c>
      <c r="BP1240" s="6">
        <v>0</v>
      </c>
      <c r="BQ1240" s="6">
        <v>0</v>
      </c>
      <c r="BR1240" s="6">
        <v>0</v>
      </c>
      <c r="BS1240" s="6">
        <v>0</v>
      </c>
      <c r="BT1240" s="6">
        <v>0</v>
      </c>
      <c r="BU1240" s="6">
        <v>0</v>
      </c>
      <c r="BV1240" s="6">
        <v>0</v>
      </c>
      <c r="BW1240" s="6">
        <v>0</v>
      </c>
      <c r="BX1240" s="6">
        <v>0</v>
      </c>
      <c r="BY1240" s="6">
        <v>0</v>
      </c>
      <c r="BZ1240" s="6">
        <v>0</v>
      </c>
      <c r="CA1240" s="6">
        <v>0</v>
      </c>
      <c r="CB1240" s="6">
        <v>0</v>
      </c>
      <c r="CC1240" s="6">
        <f>IF(Table3[[#This Row],[Type]]="EM",IF((Table3[[#This Row],[Diameter]]/2)-Table3[[#This Row],[CornerRadius]]-0.012&gt;0,(Table3[[#This Row],[Diameter]]/2)-Table3[[#This Row],[CornerRadius]]-0.012,0),)</f>
        <v>0</v>
      </c>
      <c r="CE1240" s="6" t="str">
        <f>IF(Table3[[#This Row],[ShoulderLength]]="","",IF(Table3[[#This Row],[ShoulderLength]]&lt;Table3[[#This Row],[LOC]],"FIX",""))</f>
        <v/>
      </c>
    </row>
    <row r="1241" spans="1:83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v>0</v>
      </c>
      <c r="BN1241" s="6">
        <v>0</v>
      </c>
      <c r="BO1241" s="6">
        <v>0</v>
      </c>
      <c r="BP1241" s="6">
        <v>0</v>
      </c>
      <c r="BQ1241" s="6">
        <v>0</v>
      </c>
      <c r="BR1241" s="6">
        <v>0</v>
      </c>
      <c r="BS1241" s="6">
        <v>0</v>
      </c>
      <c r="BT1241" s="6">
        <v>0</v>
      </c>
      <c r="BU1241" s="6">
        <v>0</v>
      </c>
      <c r="BV1241" s="6">
        <v>0</v>
      </c>
      <c r="BW1241" s="6">
        <v>0</v>
      </c>
      <c r="BX1241" s="6">
        <v>0</v>
      </c>
      <c r="BY1241" s="6">
        <v>0</v>
      </c>
      <c r="BZ1241" s="6">
        <v>0</v>
      </c>
      <c r="CA1241" s="6">
        <v>0</v>
      </c>
      <c r="CB1241" s="6">
        <v>0</v>
      </c>
      <c r="CC1241" s="6">
        <f>IF(Table3[[#This Row],[Type]]="EM",IF((Table3[[#This Row],[Diameter]]/2)-Table3[[#This Row],[CornerRadius]]-0.012&gt;0,(Table3[[#This Row],[Diameter]]/2)-Table3[[#This Row],[CornerRadius]]-0.012,0),)</f>
        <v>0</v>
      </c>
      <c r="CE1241" s="6" t="str">
        <f>IF(Table3[[#This Row],[ShoulderLength]]="","",IF(Table3[[#This Row],[ShoulderLength]]&lt;Table3[[#This Row],[LOC]],"FIX",""))</f>
        <v/>
      </c>
    </row>
    <row r="1242" spans="1:83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v>0</v>
      </c>
      <c r="BN1242" s="6">
        <v>0</v>
      </c>
      <c r="BO1242" s="6">
        <v>0</v>
      </c>
      <c r="BP1242" s="6">
        <v>0</v>
      </c>
      <c r="BQ1242" s="6">
        <v>0</v>
      </c>
      <c r="BR1242" s="6">
        <v>0</v>
      </c>
      <c r="BS1242" s="6">
        <v>0</v>
      </c>
      <c r="BT1242" s="6">
        <v>0</v>
      </c>
      <c r="BU1242" s="6">
        <v>0</v>
      </c>
      <c r="BV1242" s="6">
        <v>0</v>
      </c>
      <c r="BW1242" s="6">
        <v>0</v>
      </c>
      <c r="BX1242" s="6">
        <v>0</v>
      </c>
      <c r="BY1242" s="6">
        <v>0</v>
      </c>
      <c r="BZ1242" s="6">
        <v>0</v>
      </c>
      <c r="CA1242" s="6">
        <v>0</v>
      </c>
      <c r="CB1242" s="6">
        <v>0</v>
      </c>
      <c r="CC1242" s="6">
        <f>IF(Table3[[#This Row],[Type]]="EM",IF((Table3[[#This Row],[Diameter]]/2)-Table3[[#This Row],[CornerRadius]]-0.012&gt;0,(Table3[[#This Row],[Diameter]]/2)-Table3[[#This Row],[CornerRadius]]-0.012,0),)</f>
        <v>0</v>
      </c>
      <c r="CE1242" s="6" t="str">
        <f>IF(Table3[[#This Row],[ShoulderLength]]="","",IF(Table3[[#This Row],[ShoulderLength]]&lt;Table3[[#This Row],[LOC]],"FIX",""))</f>
        <v/>
      </c>
    </row>
    <row r="1243" spans="1:83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v>0</v>
      </c>
      <c r="BN1243" s="6">
        <v>0</v>
      </c>
      <c r="BO1243" s="6">
        <v>0</v>
      </c>
      <c r="BP1243" s="6">
        <v>0</v>
      </c>
      <c r="BQ1243" s="6">
        <v>0</v>
      </c>
      <c r="BR1243" s="6">
        <v>0</v>
      </c>
      <c r="BS1243" s="6">
        <v>0</v>
      </c>
      <c r="BT1243" s="6">
        <v>0</v>
      </c>
      <c r="BU1243" s="6">
        <v>0</v>
      </c>
      <c r="BV1243" s="6">
        <v>0</v>
      </c>
      <c r="BW1243" s="6">
        <v>0</v>
      </c>
      <c r="BX1243" s="6">
        <v>0</v>
      </c>
      <c r="BY1243" s="6">
        <v>0</v>
      </c>
      <c r="BZ1243" s="6">
        <v>0</v>
      </c>
      <c r="CA1243" s="6">
        <v>0</v>
      </c>
      <c r="CB1243" s="6">
        <v>0</v>
      </c>
      <c r="CC1243" s="6">
        <f>IF(Table3[[#This Row],[Type]]="EM",IF((Table3[[#This Row],[Diameter]]/2)-Table3[[#This Row],[CornerRadius]]-0.012&gt;0,(Table3[[#This Row],[Diameter]]/2)-Table3[[#This Row],[CornerRadius]]-0.012,0),)</f>
        <v>0</v>
      </c>
      <c r="CE1243" s="6" t="str">
        <f>IF(Table3[[#This Row],[ShoulderLength]]="","",IF(Table3[[#This Row],[ShoulderLength]]&lt;Table3[[#This Row],[LOC]],"FIX",""))</f>
        <v/>
      </c>
    </row>
    <row r="1244" spans="1:83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v>0</v>
      </c>
      <c r="BN1244" s="6">
        <v>0</v>
      </c>
      <c r="BO1244" s="6">
        <v>0</v>
      </c>
      <c r="BP1244" s="6">
        <v>0</v>
      </c>
      <c r="BQ1244" s="6">
        <v>0</v>
      </c>
      <c r="BR1244" s="6">
        <v>0</v>
      </c>
      <c r="BS1244" s="6">
        <v>0</v>
      </c>
      <c r="BT1244" s="6">
        <v>0</v>
      </c>
      <c r="BU1244" s="6">
        <v>0</v>
      </c>
      <c r="BV1244" s="6">
        <v>0</v>
      </c>
      <c r="BW1244" s="6">
        <v>0</v>
      </c>
      <c r="BX1244" s="6">
        <v>0</v>
      </c>
      <c r="BY1244" s="6">
        <v>0</v>
      </c>
      <c r="BZ1244" s="6">
        <v>0</v>
      </c>
      <c r="CA1244" s="6">
        <v>0</v>
      </c>
      <c r="CB1244" s="6">
        <v>0</v>
      </c>
      <c r="CC1244" s="6">
        <f>IF(Table3[[#This Row],[Type]]="EM",IF((Table3[[#This Row],[Diameter]]/2)-Table3[[#This Row],[CornerRadius]]-0.012&gt;0,(Table3[[#This Row],[Diameter]]/2)-Table3[[#This Row],[CornerRadius]]-0.012,0),)</f>
        <v>0</v>
      </c>
      <c r="CE1244" s="6" t="str">
        <f>IF(Table3[[#This Row],[ShoulderLength]]="","",IF(Table3[[#This Row],[ShoulderLength]]&lt;Table3[[#This Row],[LOC]],"FIX",""))</f>
        <v/>
      </c>
    </row>
    <row r="1245" spans="1:83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v>0</v>
      </c>
      <c r="BN1245" s="6">
        <v>0</v>
      </c>
      <c r="BO1245" s="6">
        <v>0</v>
      </c>
      <c r="BP1245" s="6">
        <v>0</v>
      </c>
      <c r="BQ1245" s="6">
        <v>0</v>
      </c>
      <c r="BR1245" s="6">
        <v>0</v>
      </c>
      <c r="BS1245" s="6">
        <v>0</v>
      </c>
      <c r="BT1245" s="6">
        <v>0</v>
      </c>
      <c r="BU1245" s="6">
        <v>0</v>
      </c>
      <c r="BV1245" s="6">
        <v>0</v>
      </c>
      <c r="BW1245" s="6">
        <v>0</v>
      </c>
      <c r="BX1245" s="6">
        <v>0</v>
      </c>
      <c r="BY1245" s="6">
        <v>0</v>
      </c>
      <c r="BZ1245" s="6">
        <v>0</v>
      </c>
      <c r="CA1245" s="6">
        <v>0</v>
      </c>
      <c r="CB1245" s="6">
        <v>0</v>
      </c>
      <c r="CC1245" s="6">
        <f>IF(Table3[[#This Row],[Type]]="EM",IF((Table3[[#This Row],[Diameter]]/2)-Table3[[#This Row],[CornerRadius]]-0.012&gt;0,(Table3[[#This Row],[Diameter]]/2)-Table3[[#This Row],[CornerRadius]]-0.012,0),)</f>
        <v>0</v>
      </c>
      <c r="CE1245" s="6" t="str">
        <f>IF(Table3[[#This Row],[ShoulderLength]]="","",IF(Table3[[#This Row],[ShoulderLength]]&lt;Table3[[#This Row],[LOC]],"FIX",""))</f>
        <v/>
      </c>
    </row>
    <row r="1246" spans="1:83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v>0</v>
      </c>
      <c r="BN1246" s="6">
        <v>0</v>
      </c>
      <c r="BO1246" s="6">
        <v>0</v>
      </c>
      <c r="BP1246" s="6">
        <v>0</v>
      </c>
      <c r="BQ1246" s="6">
        <v>0</v>
      </c>
      <c r="BR1246" s="6">
        <v>0</v>
      </c>
      <c r="BS1246" s="6">
        <v>0</v>
      </c>
      <c r="BT1246" s="6">
        <v>0</v>
      </c>
      <c r="BU1246" s="6">
        <v>0</v>
      </c>
      <c r="BV1246" s="6">
        <v>0</v>
      </c>
      <c r="BW1246" s="6">
        <v>0</v>
      </c>
      <c r="BX1246" s="6">
        <v>0</v>
      </c>
      <c r="BY1246" s="6">
        <v>0</v>
      </c>
      <c r="BZ1246" s="6">
        <v>0</v>
      </c>
      <c r="CA1246" s="6">
        <v>0</v>
      </c>
      <c r="CB1246" s="6">
        <v>0</v>
      </c>
      <c r="CC1246" s="6">
        <f>IF(Table3[[#This Row],[Type]]="EM",IF((Table3[[#This Row],[Diameter]]/2)-Table3[[#This Row],[CornerRadius]]-0.012&gt;0,(Table3[[#This Row],[Diameter]]/2)-Table3[[#This Row],[CornerRadius]]-0.012,0),)</f>
        <v>0</v>
      </c>
      <c r="CE1246" s="6" t="str">
        <f>IF(Table3[[#This Row],[ShoulderLength]]="","",IF(Table3[[#This Row],[ShoulderLength]]&lt;Table3[[#This Row],[LOC]],"FIX",""))</f>
        <v/>
      </c>
    </row>
    <row r="1247" spans="1:83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v>0</v>
      </c>
      <c r="BN1247" s="6">
        <v>0</v>
      </c>
      <c r="BO1247" s="6">
        <v>0</v>
      </c>
      <c r="BP1247" s="6">
        <v>0</v>
      </c>
      <c r="BQ1247" s="6">
        <v>0</v>
      </c>
      <c r="BR1247" s="6">
        <v>0</v>
      </c>
      <c r="BS1247" s="6">
        <v>0</v>
      </c>
      <c r="BT1247" s="6">
        <v>0</v>
      </c>
      <c r="BU1247" s="6">
        <v>0</v>
      </c>
      <c r="BV1247" s="6">
        <v>0</v>
      </c>
      <c r="BW1247" s="6">
        <v>0</v>
      </c>
      <c r="BX1247" s="6">
        <v>0</v>
      </c>
      <c r="BY1247" s="6">
        <v>0</v>
      </c>
      <c r="BZ1247" s="6">
        <v>0</v>
      </c>
      <c r="CA1247" s="6">
        <v>0</v>
      </c>
      <c r="CB1247" s="6">
        <v>0</v>
      </c>
      <c r="CC1247" s="6">
        <f>IF(Table3[[#This Row],[Type]]="EM",IF((Table3[[#This Row],[Diameter]]/2)-Table3[[#This Row],[CornerRadius]]-0.012&gt;0,(Table3[[#This Row],[Diameter]]/2)-Table3[[#This Row],[CornerRadius]]-0.012,0),)</f>
        <v>0</v>
      </c>
      <c r="CE1247" s="6" t="str">
        <f>IF(Table3[[#This Row],[ShoulderLength]]="","",IF(Table3[[#This Row],[ShoulderLength]]&lt;Table3[[#This Row],[LOC]],"FIX",""))</f>
        <v/>
      </c>
    </row>
    <row r="1248" spans="1:83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v>0</v>
      </c>
      <c r="BN1248" s="6">
        <v>0</v>
      </c>
      <c r="BO1248" s="6">
        <v>0</v>
      </c>
      <c r="BP1248" s="6">
        <v>0</v>
      </c>
      <c r="BQ1248" s="6">
        <v>0</v>
      </c>
      <c r="BR1248" s="6">
        <v>0</v>
      </c>
      <c r="BS1248" s="6">
        <v>0</v>
      </c>
      <c r="BT1248" s="6">
        <v>0</v>
      </c>
      <c r="BU1248" s="6">
        <v>0</v>
      </c>
      <c r="BV1248" s="6">
        <v>0</v>
      </c>
      <c r="BW1248" s="6">
        <v>0</v>
      </c>
      <c r="BX1248" s="6">
        <v>0</v>
      </c>
      <c r="BY1248" s="6">
        <v>0</v>
      </c>
      <c r="BZ1248" s="6">
        <v>0</v>
      </c>
      <c r="CA1248" s="6">
        <v>0</v>
      </c>
      <c r="CB1248" s="6">
        <v>0</v>
      </c>
      <c r="CC1248" s="6">
        <f>IF(Table3[[#This Row],[Type]]="EM",IF((Table3[[#This Row],[Diameter]]/2)-Table3[[#This Row],[CornerRadius]]-0.012&gt;0,(Table3[[#This Row],[Diameter]]/2)-Table3[[#This Row],[CornerRadius]]-0.012,0),)</f>
        <v>0</v>
      </c>
      <c r="CE1248" s="6" t="str">
        <f>IF(Table3[[#This Row],[ShoulderLength]]="","",IF(Table3[[#This Row],[ShoulderLength]]&lt;Table3[[#This Row],[LOC]],"FIX",""))</f>
        <v/>
      </c>
    </row>
    <row r="1249" spans="1:83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v>0</v>
      </c>
      <c r="BN1249" s="6">
        <v>0</v>
      </c>
      <c r="BO1249" s="6">
        <v>0</v>
      </c>
      <c r="BP1249" s="6">
        <v>0</v>
      </c>
      <c r="BQ1249" s="6">
        <v>0</v>
      </c>
      <c r="BR1249" s="6">
        <v>0</v>
      </c>
      <c r="BS1249" s="6">
        <v>0</v>
      </c>
      <c r="BT1249" s="6">
        <v>0</v>
      </c>
      <c r="BU1249" s="6">
        <v>0</v>
      </c>
      <c r="BV1249" s="6">
        <v>0</v>
      </c>
      <c r="BW1249" s="6">
        <v>0</v>
      </c>
      <c r="BX1249" s="6">
        <v>0</v>
      </c>
      <c r="BY1249" s="6">
        <v>0</v>
      </c>
      <c r="BZ1249" s="6">
        <v>0</v>
      </c>
      <c r="CA1249" s="6">
        <v>0</v>
      </c>
      <c r="CB1249" s="6">
        <v>0</v>
      </c>
      <c r="CC1249" s="6">
        <f>IF(Table3[[#This Row],[Type]]="EM",IF((Table3[[#This Row],[Diameter]]/2)-Table3[[#This Row],[CornerRadius]]-0.012&gt;0,(Table3[[#This Row],[Diameter]]/2)-Table3[[#This Row],[CornerRadius]]-0.012,0),)</f>
        <v>0</v>
      </c>
      <c r="CE1249" s="6" t="str">
        <f>IF(Table3[[#This Row],[ShoulderLength]]="","",IF(Table3[[#This Row],[ShoulderLength]]&lt;Table3[[#This Row],[LOC]],"FIX",""))</f>
        <v/>
      </c>
    </row>
    <row r="1250" spans="1:83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v>0</v>
      </c>
      <c r="BN1250" s="6">
        <v>0</v>
      </c>
      <c r="BO1250" s="6">
        <v>0</v>
      </c>
      <c r="BP1250" s="6">
        <v>0</v>
      </c>
      <c r="BQ1250" s="6">
        <v>0</v>
      </c>
      <c r="BR1250" s="6">
        <v>0</v>
      </c>
      <c r="BS1250" s="6">
        <v>0</v>
      </c>
      <c r="BT1250" s="6">
        <v>0</v>
      </c>
      <c r="BU1250" s="6">
        <v>0</v>
      </c>
      <c r="BV1250" s="6">
        <v>0</v>
      </c>
      <c r="BW1250" s="6">
        <v>0</v>
      </c>
      <c r="BX1250" s="6">
        <v>0</v>
      </c>
      <c r="BY1250" s="6">
        <v>0</v>
      </c>
      <c r="BZ1250" s="6">
        <v>0</v>
      </c>
      <c r="CA1250" s="6">
        <v>0</v>
      </c>
      <c r="CB1250" s="6">
        <v>0</v>
      </c>
      <c r="CC1250" s="6">
        <f>IF(Table3[[#This Row],[Type]]="EM",IF((Table3[[#This Row],[Diameter]]/2)-Table3[[#This Row],[CornerRadius]]-0.012&gt;0,(Table3[[#This Row],[Diameter]]/2)-Table3[[#This Row],[CornerRadius]]-0.012,0),)</f>
        <v>0</v>
      </c>
      <c r="CE1250" s="6" t="str">
        <f>IF(Table3[[#This Row],[ShoulderLength]]="","",IF(Table3[[#This Row],[ShoulderLength]]&lt;Table3[[#This Row],[LOC]],"FIX",""))</f>
        <v/>
      </c>
    </row>
    <row r="1251" spans="1:83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v>0</v>
      </c>
      <c r="BN1251" s="6">
        <v>0</v>
      </c>
      <c r="BO1251" s="6">
        <v>0</v>
      </c>
      <c r="BP1251" s="6">
        <v>0</v>
      </c>
      <c r="BQ1251" s="6">
        <v>0</v>
      </c>
      <c r="BR1251" s="6">
        <v>0</v>
      </c>
      <c r="BS1251" s="6">
        <v>0</v>
      </c>
      <c r="BT1251" s="6">
        <v>0</v>
      </c>
      <c r="BU1251" s="6">
        <v>0</v>
      </c>
      <c r="BV1251" s="6">
        <v>0</v>
      </c>
      <c r="BW1251" s="6">
        <v>0</v>
      </c>
      <c r="BX1251" s="6">
        <v>0</v>
      </c>
      <c r="BY1251" s="6">
        <v>0</v>
      </c>
      <c r="BZ1251" s="6">
        <v>0</v>
      </c>
      <c r="CA1251" s="6">
        <v>0</v>
      </c>
      <c r="CB1251" s="6">
        <v>0</v>
      </c>
      <c r="CC1251" s="6">
        <f>IF(Table3[[#This Row],[Type]]="EM",IF((Table3[[#This Row],[Diameter]]/2)-Table3[[#This Row],[CornerRadius]]-0.012&gt;0,(Table3[[#This Row],[Diameter]]/2)-Table3[[#This Row],[CornerRadius]]-0.012,0),)</f>
        <v>0</v>
      </c>
      <c r="CE1251" s="6" t="str">
        <f>IF(Table3[[#This Row],[ShoulderLength]]="","",IF(Table3[[#This Row],[ShoulderLength]]&lt;Table3[[#This Row],[LOC]],"FIX",""))</f>
        <v/>
      </c>
    </row>
    <row r="1252" spans="1:83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v>0</v>
      </c>
      <c r="BN1252" s="6">
        <v>0</v>
      </c>
      <c r="BO1252" s="6">
        <v>0</v>
      </c>
      <c r="BP1252" s="6">
        <v>0</v>
      </c>
      <c r="BQ1252" s="6">
        <v>0</v>
      </c>
      <c r="BR1252" s="6">
        <v>0</v>
      </c>
      <c r="BS1252" s="6">
        <v>0</v>
      </c>
      <c r="BT1252" s="6">
        <v>0</v>
      </c>
      <c r="BU1252" s="6">
        <v>0</v>
      </c>
      <c r="BV1252" s="6">
        <v>0</v>
      </c>
      <c r="BW1252" s="6">
        <v>0</v>
      </c>
      <c r="BX1252" s="6">
        <v>0</v>
      </c>
      <c r="BY1252" s="6">
        <v>0</v>
      </c>
      <c r="BZ1252" s="6">
        <v>0</v>
      </c>
      <c r="CA1252" s="6">
        <v>0</v>
      </c>
      <c r="CB1252" s="6">
        <v>0</v>
      </c>
      <c r="CC1252" s="6">
        <f>IF(Table3[[#This Row],[Type]]="EM",IF((Table3[[#This Row],[Diameter]]/2)-Table3[[#This Row],[CornerRadius]]-0.012&gt;0,(Table3[[#This Row],[Diameter]]/2)-Table3[[#This Row],[CornerRadius]]-0.012,0),)</f>
        <v>0</v>
      </c>
      <c r="CE1252" s="6" t="str">
        <f>IF(Table3[[#This Row],[ShoulderLength]]="","",IF(Table3[[#This Row],[ShoulderLength]]&lt;Table3[[#This Row],[LOC]],"FIX",""))</f>
        <v/>
      </c>
    </row>
    <row r="1253" spans="1:83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v>0</v>
      </c>
      <c r="BN1253" s="6">
        <v>0</v>
      </c>
      <c r="BO1253" s="6">
        <v>0</v>
      </c>
      <c r="BP1253" s="6">
        <v>0</v>
      </c>
      <c r="BQ1253" s="6">
        <v>0</v>
      </c>
      <c r="BR1253" s="6">
        <v>0</v>
      </c>
      <c r="BS1253" s="6">
        <v>0</v>
      </c>
      <c r="BT1253" s="6">
        <v>0</v>
      </c>
      <c r="BU1253" s="6">
        <v>0</v>
      </c>
      <c r="BV1253" s="6">
        <v>0</v>
      </c>
      <c r="BW1253" s="6">
        <v>0</v>
      </c>
      <c r="BX1253" s="6">
        <v>0</v>
      </c>
      <c r="BY1253" s="6">
        <v>0</v>
      </c>
      <c r="BZ1253" s="6">
        <v>0</v>
      </c>
      <c r="CA1253" s="6">
        <v>0</v>
      </c>
      <c r="CB1253" s="6">
        <v>0</v>
      </c>
      <c r="CC1253" s="6">
        <f>IF(Table3[[#This Row],[Type]]="EM",IF((Table3[[#This Row],[Diameter]]/2)-Table3[[#This Row],[CornerRadius]]-0.012&gt;0,(Table3[[#This Row],[Diameter]]/2)-Table3[[#This Row],[CornerRadius]]-0.012,0),)</f>
        <v>0</v>
      </c>
      <c r="CE1253" s="6" t="str">
        <f>IF(Table3[[#This Row],[ShoulderLength]]="","",IF(Table3[[#This Row],[ShoulderLength]]&lt;Table3[[#This Row],[LOC]],"FIX",""))</f>
        <v/>
      </c>
    </row>
    <row r="1254" spans="1:83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v>0</v>
      </c>
      <c r="BN1254" s="6">
        <v>0</v>
      </c>
      <c r="BO1254" s="6">
        <v>0</v>
      </c>
      <c r="BP1254" s="6">
        <v>0</v>
      </c>
      <c r="BQ1254" s="6">
        <v>0</v>
      </c>
      <c r="BR1254" s="6">
        <v>0</v>
      </c>
      <c r="BS1254" s="6">
        <v>0</v>
      </c>
      <c r="BT1254" s="6">
        <v>0</v>
      </c>
      <c r="BU1254" s="6">
        <v>0</v>
      </c>
      <c r="BV1254" s="6">
        <v>0</v>
      </c>
      <c r="BW1254" s="6">
        <v>0</v>
      </c>
      <c r="BX1254" s="6">
        <v>0</v>
      </c>
      <c r="BY1254" s="6">
        <v>0</v>
      </c>
      <c r="BZ1254" s="6">
        <v>0</v>
      </c>
      <c r="CA1254" s="6">
        <v>0</v>
      </c>
      <c r="CB1254" s="6">
        <v>0</v>
      </c>
      <c r="CC1254" s="6">
        <f>IF(Table3[[#This Row],[Type]]="EM",IF((Table3[[#This Row],[Diameter]]/2)-Table3[[#This Row],[CornerRadius]]-0.012&gt;0,(Table3[[#This Row],[Diameter]]/2)-Table3[[#This Row],[CornerRadius]]-0.012,0),)</f>
        <v>0</v>
      </c>
      <c r="CE1254" s="6" t="str">
        <f>IF(Table3[[#This Row],[ShoulderLength]]="","",IF(Table3[[#This Row],[ShoulderLength]]&lt;Table3[[#This Row],[LOC]],"FIX",""))</f>
        <v/>
      </c>
    </row>
    <row r="1255" spans="1:83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v>0</v>
      </c>
      <c r="BN1255" s="6">
        <v>0</v>
      </c>
      <c r="BO1255" s="6">
        <v>0</v>
      </c>
      <c r="BP1255" s="6">
        <v>0</v>
      </c>
      <c r="BQ1255" s="6">
        <v>0</v>
      </c>
      <c r="BR1255" s="6">
        <v>0</v>
      </c>
      <c r="BS1255" s="6">
        <v>0</v>
      </c>
      <c r="BT1255" s="6">
        <v>0</v>
      </c>
      <c r="BU1255" s="6">
        <v>0</v>
      </c>
      <c r="BV1255" s="6">
        <v>0</v>
      </c>
      <c r="BW1255" s="6">
        <v>0</v>
      </c>
      <c r="BX1255" s="6">
        <v>0</v>
      </c>
      <c r="BY1255" s="6">
        <v>0</v>
      </c>
      <c r="BZ1255" s="6">
        <v>0</v>
      </c>
      <c r="CA1255" s="6">
        <v>0</v>
      </c>
      <c r="CB1255" s="6">
        <v>0</v>
      </c>
      <c r="CC1255" s="6">
        <f>IF(Table3[[#This Row],[Type]]="EM",IF((Table3[[#This Row],[Diameter]]/2)-Table3[[#This Row],[CornerRadius]]-0.012&gt;0,(Table3[[#This Row],[Diameter]]/2)-Table3[[#This Row],[CornerRadius]]-0.012,0),)</f>
        <v>0</v>
      </c>
      <c r="CE1255" s="6" t="str">
        <f>IF(Table3[[#This Row],[ShoulderLength]]="","",IF(Table3[[#This Row],[ShoulderLength]]&lt;Table3[[#This Row],[LOC]],"FIX",""))</f>
        <v/>
      </c>
    </row>
    <row r="1256" spans="1:83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v>0</v>
      </c>
      <c r="BN1256" s="6">
        <v>0</v>
      </c>
      <c r="BO1256" s="6">
        <v>0</v>
      </c>
      <c r="BP1256" s="6">
        <v>0</v>
      </c>
      <c r="BQ1256" s="6">
        <v>0</v>
      </c>
      <c r="BR1256" s="6">
        <v>0</v>
      </c>
      <c r="BS1256" s="6">
        <v>0</v>
      </c>
      <c r="BT1256" s="6">
        <v>0</v>
      </c>
      <c r="BU1256" s="6">
        <v>0</v>
      </c>
      <c r="BV1256" s="6">
        <v>0</v>
      </c>
      <c r="BW1256" s="6">
        <v>0</v>
      </c>
      <c r="BX1256" s="6">
        <v>0</v>
      </c>
      <c r="BY1256" s="6">
        <v>0</v>
      </c>
      <c r="BZ1256" s="6">
        <v>0</v>
      </c>
      <c r="CA1256" s="6">
        <v>0</v>
      </c>
      <c r="CB1256" s="6">
        <v>0</v>
      </c>
      <c r="CC1256" s="6">
        <f>IF(Table3[[#This Row],[Type]]="EM",IF((Table3[[#This Row],[Diameter]]/2)-Table3[[#This Row],[CornerRadius]]-0.012&gt;0,(Table3[[#This Row],[Diameter]]/2)-Table3[[#This Row],[CornerRadius]]-0.012,0),)</f>
        <v>0</v>
      </c>
      <c r="CE1256" s="6" t="str">
        <f>IF(Table3[[#This Row],[ShoulderLength]]="","",IF(Table3[[#This Row],[ShoulderLength]]&lt;Table3[[#This Row],[LOC]],"FIX",""))</f>
        <v/>
      </c>
    </row>
    <row r="1257" spans="1:83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v>0</v>
      </c>
      <c r="BN1257" s="6">
        <v>0</v>
      </c>
      <c r="BO1257" s="6">
        <v>0</v>
      </c>
      <c r="BP1257" s="6">
        <v>0</v>
      </c>
      <c r="BQ1257" s="6">
        <v>0</v>
      </c>
      <c r="BR1257" s="6">
        <v>0</v>
      </c>
      <c r="BS1257" s="6">
        <v>0</v>
      </c>
      <c r="BT1257" s="6">
        <v>0</v>
      </c>
      <c r="BU1257" s="6">
        <v>0</v>
      </c>
      <c r="BV1257" s="6">
        <v>0</v>
      </c>
      <c r="BW1257" s="6">
        <v>0</v>
      </c>
      <c r="BX1257" s="6">
        <v>0</v>
      </c>
      <c r="BY1257" s="6">
        <v>0</v>
      </c>
      <c r="BZ1257" s="6">
        <v>0</v>
      </c>
      <c r="CA1257" s="6">
        <v>0</v>
      </c>
      <c r="CB1257" s="6">
        <v>0</v>
      </c>
      <c r="CC1257" s="6">
        <f>IF(Table3[[#This Row],[Type]]="EM",IF((Table3[[#This Row],[Diameter]]/2)-Table3[[#This Row],[CornerRadius]]-0.012&gt;0,(Table3[[#This Row],[Diameter]]/2)-Table3[[#This Row],[CornerRadius]]-0.012,0),)</f>
        <v>0</v>
      </c>
      <c r="CE1257" s="6" t="str">
        <f>IF(Table3[[#This Row],[ShoulderLength]]="","",IF(Table3[[#This Row],[ShoulderLength]]&lt;Table3[[#This Row],[LOC]],"FIX",""))</f>
        <v/>
      </c>
    </row>
    <row r="1258" spans="1:83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v>0</v>
      </c>
      <c r="BN1258" s="6">
        <v>0</v>
      </c>
      <c r="BO1258" s="6">
        <v>0</v>
      </c>
      <c r="BP1258" s="6">
        <v>0</v>
      </c>
      <c r="BQ1258" s="6">
        <v>0</v>
      </c>
      <c r="BR1258" s="6">
        <v>0</v>
      </c>
      <c r="BS1258" s="6">
        <v>0</v>
      </c>
      <c r="BT1258" s="6">
        <v>0</v>
      </c>
      <c r="BU1258" s="6">
        <v>0</v>
      </c>
      <c r="BV1258" s="6">
        <v>0</v>
      </c>
      <c r="BW1258" s="6">
        <v>0</v>
      </c>
      <c r="BX1258" s="6">
        <v>0</v>
      </c>
      <c r="BY1258" s="6">
        <v>0</v>
      </c>
      <c r="BZ1258" s="6">
        <v>0</v>
      </c>
      <c r="CA1258" s="6">
        <v>0</v>
      </c>
      <c r="CB1258" s="6">
        <v>0</v>
      </c>
      <c r="CC1258" s="6">
        <f>IF(Table3[[#This Row],[Type]]="EM",IF((Table3[[#This Row],[Diameter]]/2)-Table3[[#This Row],[CornerRadius]]-0.012&gt;0,(Table3[[#This Row],[Diameter]]/2)-Table3[[#This Row],[CornerRadius]]-0.012,0),)</f>
        <v>0</v>
      </c>
      <c r="CE1258" s="6" t="str">
        <f>IF(Table3[[#This Row],[ShoulderLength]]="","",IF(Table3[[#This Row],[ShoulderLength]]&lt;Table3[[#This Row],[LOC]],"FIX",""))</f>
        <v/>
      </c>
    </row>
    <row r="1259" spans="1:83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v>0</v>
      </c>
      <c r="BN1259" s="6">
        <v>0</v>
      </c>
      <c r="BO1259" s="6">
        <v>0</v>
      </c>
      <c r="BP1259" s="6">
        <v>0</v>
      </c>
      <c r="BQ1259" s="6">
        <v>0</v>
      </c>
      <c r="BR1259" s="6">
        <v>0</v>
      </c>
      <c r="BS1259" s="6">
        <v>0</v>
      </c>
      <c r="BT1259" s="6">
        <v>0</v>
      </c>
      <c r="BU1259" s="6">
        <v>0</v>
      </c>
      <c r="BV1259" s="6">
        <v>0</v>
      </c>
      <c r="BW1259" s="6">
        <v>0</v>
      </c>
      <c r="BX1259" s="6">
        <v>0</v>
      </c>
      <c r="BY1259" s="6">
        <v>0</v>
      </c>
      <c r="BZ1259" s="6">
        <v>0</v>
      </c>
      <c r="CA1259" s="6">
        <v>0</v>
      </c>
      <c r="CB1259" s="6">
        <v>0</v>
      </c>
      <c r="CC1259" s="6">
        <f>IF(Table3[[#This Row],[Type]]="EM",IF((Table3[[#This Row],[Diameter]]/2)-Table3[[#This Row],[CornerRadius]]-0.012&gt;0,(Table3[[#This Row],[Diameter]]/2)-Table3[[#This Row],[CornerRadius]]-0.012,0),)</f>
        <v>0</v>
      </c>
      <c r="CE1259" s="6" t="str">
        <f>IF(Table3[[#This Row],[ShoulderLength]]="","",IF(Table3[[#This Row],[ShoulderLength]]&lt;Table3[[#This Row],[LOC]],"FIX",""))</f>
        <v/>
      </c>
    </row>
    <row r="1260" spans="1:83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v>0</v>
      </c>
      <c r="BN1260" s="6">
        <v>0</v>
      </c>
      <c r="BO1260" s="6">
        <v>0</v>
      </c>
      <c r="BP1260" s="6">
        <v>0</v>
      </c>
      <c r="BQ1260" s="6">
        <v>0</v>
      </c>
      <c r="BR1260" s="6">
        <v>0</v>
      </c>
      <c r="BS1260" s="6">
        <v>0</v>
      </c>
      <c r="BT1260" s="6">
        <v>0</v>
      </c>
      <c r="BU1260" s="6">
        <v>0</v>
      </c>
      <c r="BV1260" s="6">
        <v>0</v>
      </c>
      <c r="BW1260" s="6">
        <v>0</v>
      </c>
      <c r="BX1260" s="6">
        <v>0</v>
      </c>
      <c r="BY1260" s="6">
        <v>0</v>
      </c>
      <c r="BZ1260" s="6">
        <v>0</v>
      </c>
      <c r="CA1260" s="6">
        <v>0</v>
      </c>
      <c r="CB1260" s="6">
        <v>0</v>
      </c>
      <c r="CC1260" s="6">
        <f>IF(Table3[[#This Row],[Type]]="EM",IF((Table3[[#This Row],[Diameter]]/2)-Table3[[#This Row],[CornerRadius]]-0.012&gt;0,(Table3[[#This Row],[Diameter]]/2)-Table3[[#This Row],[CornerRadius]]-0.012,0),)</f>
        <v>0</v>
      </c>
      <c r="CE1260" s="6" t="str">
        <f>IF(Table3[[#This Row],[ShoulderLength]]="","",IF(Table3[[#This Row],[ShoulderLength]]&lt;Table3[[#This Row],[LOC]],"FIX",""))</f>
        <v/>
      </c>
    </row>
    <row r="1261" spans="1:83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v>0</v>
      </c>
      <c r="BN1261" s="6">
        <v>0</v>
      </c>
      <c r="BO1261" s="6">
        <v>0</v>
      </c>
      <c r="BP1261" s="6">
        <v>0</v>
      </c>
      <c r="BQ1261" s="6">
        <v>0</v>
      </c>
      <c r="BR1261" s="6">
        <v>0</v>
      </c>
      <c r="BS1261" s="6">
        <v>0</v>
      </c>
      <c r="BT1261" s="6">
        <v>0</v>
      </c>
      <c r="BU1261" s="6">
        <v>0</v>
      </c>
      <c r="BV1261" s="6">
        <v>0</v>
      </c>
      <c r="BW1261" s="6">
        <v>0</v>
      </c>
      <c r="BX1261" s="6">
        <v>0</v>
      </c>
      <c r="BY1261" s="6">
        <v>0</v>
      </c>
      <c r="BZ1261" s="6">
        <v>0</v>
      </c>
      <c r="CA1261" s="6">
        <v>0</v>
      </c>
      <c r="CB1261" s="6">
        <v>0</v>
      </c>
      <c r="CC1261" s="6">
        <f>IF(Table3[[#This Row],[Type]]="EM",IF((Table3[[#This Row],[Diameter]]/2)-Table3[[#This Row],[CornerRadius]]-0.012&gt;0,(Table3[[#This Row],[Diameter]]/2)-Table3[[#This Row],[CornerRadius]]-0.012,0),)</f>
        <v>0</v>
      </c>
      <c r="CE1261" s="6" t="str">
        <f>IF(Table3[[#This Row],[ShoulderLength]]="","",IF(Table3[[#This Row],[ShoulderLength]]&lt;Table3[[#This Row],[LOC]],"FIX",""))</f>
        <v/>
      </c>
    </row>
    <row r="1262" spans="1:83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v>0</v>
      </c>
      <c r="BN1262" s="6">
        <v>0</v>
      </c>
      <c r="BO1262" s="6">
        <v>0</v>
      </c>
      <c r="BP1262" s="6">
        <v>0</v>
      </c>
      <c r="BQ1262" s="6">
        <v>0</v>
      </c>
      <c r="BR1262" s="6">
        <v>0</v>
      </c>
      <c r="BS1262" s="6">
        <v>0</v>
      </c>
      <c r="BT1262" s="6">
        <v>0</v>
      </c>
      <c r="BU1262" s="6">
        <v>0</v>
      </c>
      <c r="BV1262" s="6">
        <v>0</v>
      </c>
      <c r="BW1262" s="6">
        <v>0</v>
      </c>
      <c r="BX1262" s="6">
        <v>0</v>
      </c>
      <c r="BY1262" s="6">
        <v>0</v>
      </c>
      <c r="BZ1262" s="6">
        <v>0</v>
      </c>
      <c r="CA1262" s="6">
        <v>0</v>
      </c>
      <c r="CB1262" s="6">
        <v>0</v>
      </c>
      <c r="CC1262" s="6">
        <f>IF(Table3[[#This Row],[Type]]="EM",IF((Table3[[#This Row],[Diameter]]/2)-Table3[[#This Row],[CornerRadius]]-0.012&gt;0,(Table3[[#This Row],[Diameter]]/2)-Table3[[#This Row],[CornerRadius]]-0.012,0),)</f>
        <v>0</v>
      </c>
      <c r="CE1262" s="6" t="str">
        <f>IF(Table3[[#This Row],[ShoulderLength]]="","",IF(Table3[[#This Row],[ShoulderLength]]&lt;Table3[[#This Row],[LOC]],"FIX",""))</f>
        <v/>
      </c>
    </row>
    <row r="1263" spans="1:83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v>0</v>
      </c>
      <c r="BN1263" s="6">
        <v>0</v>
      </c>
      <c r="BO1263" s="6">
        <v>0</v>
      </c>
      <c r="BP1263" s="6">
        <v>0</v>
      </c>
      <c r="BQ1263" s="6">
        <v>0</v>
      </c>
      <c r="BR1263" s="6">
        <v>0</v>
      </c>
      <c r="BS1263" s="6">
        <v>0</v>
      </c>
      <c r="BT1263" s="6">
        <v>0</v>
      </c>
      <c r="BU1263" s="6">
        <v>0</v>
      </c>
      <c r="BV1263" s="6">
        <v>0</v>
      </c>
      <c r="BW1263" s="6">
        <v>0</v>
      </c>
      <c r="BX1263" s="6">
        <v>0</v>
      </c>
      <c r="BY1263" s="6">
        <v>0</v>
      </c>
      <c r="BZ1263" s="6">
        <v>0</v>
      </c>
      <c r="CA1263" s="6">
        <v>0</v>
      </c>
      <c r="CB1263" s="6">
        <v>0</v>
      </c>
      <c r="CC1263" s="6">
        <f>IF(Table3[[#This Row],[Type]]="EM",IF((Table3[[#This Row],[Diameter]]/2)-Table3[[#This Row],[CornerRadius]]-0.012&gt;0,(Table3[[#This Row],[Diameter]]/2)-Table3[[#This Row],[CornerRadius]]-0.012,0),)</f>
        <v>0</v>
      </c>
      <c r="CE1263" s="6" t="str">
        <f>IF(Table3[[#This Row],[ShoulderLength]]="","",IF(Table3[[#This Row],[ShoulderLength]]&lt;Table3[[#This Row],[LOC]],"FIX",""))</f>
        <v/>
      </c>
    </row>
    <row r="1264" spans="1:83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v>0</v>
      </c>
      <c r="BN1264" s="6">
        <v>0</v>
      </c>
      <c r="BO1264" s="6">
        <v>0</v>
      </c>
      <c r="BP1264" s="6">
        <v>0</v>
      </c>
      <c r="BQ1264" s="6">
        <v>0</v>
      </c>
      <c r="BR1264" s="6">
        <v>0</v>
      </c>
      <c r="BS1264" s="6">
        <v>0</v>
      </c>
      <c r="BT1264" s="6">
        <v>0</v>
      </c>
      <c r="BU1264" s="6">
        <v>0</v>
      </c>
      <c r="BV1264" s="6">
        <v>0</v>
      </c>
      <c r="BW1264" s="6">
        <v>0</v>
      </c>
      <c r="BX1264" s="6">
        <v>0</v>
      </c>
      <c r="BY1264" s="6">
        <v>0</v>
      </c>
      <c r="BZ1264" s="6">
        <v>0</v>
      </c>
      <c r="CA1264" s="6">
        <v>0</v>
      </c>
      <c r="CB1264" s="6">
        <v>0</v>
      </c>
      <c r="CC1264" s="6">
        <f>IF(Table3[[#This Row],[Type]]="EM",IF((Table3[[#This Row],[Diameter]]/2)-Table3[[#This Row],[CornerRadius]]-0.012&gt;0,(Table3[[#This Row],[Diameter]]/2)-Table3[[#This Row],[CornerRadius]]-0.012,0),)</f>
        <v>0</v>
      </c>
      <c r="CE1264" s="6" t="str">
        <f>IF(Table3[[#This Row],[ShoulderLength]]="","",IF(Table3[[#This Row],[ShoulderLength]]&lt;Table3[[#This Row],[LOC]],"FIX",""))</f>
        <v/>
      </c>
    </row>
    <row r="1265" spans="1:83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v>0</v>
      </c>
      <c r="BN1265" s="6">
        <v>0</v>
      </c>
      <c r="BO1265" s="6">
        <v>0</v>
      </c>
      <c r="BP1265" s="6">
        <v>0</v>
      </c>
      <c r="BQ1265" s="6">
        <v>0</v>
      </c>
      <c r="BR1265" s="6">
        <v>0</v>
      </c>
      <c r="BS1265" s="6">
        <v>0</v>
      </c>
      <c r="BT1265" s="6">
        <v>0</v>
      </c>
      <c r="BU1265" s="6">
        <v>0</v>
      </c>
      <c r="BV1265" s="6">
        <v>0</v>
      </c>
      <c r="BW1265" s="6">
        <v>0</v>
      </c>
      <c r="BX1265" s="6">
        <v>0</v>
      </c>
      <c r="BY1265" s="6">
        <v>0</v>
      </c>
      <c r="BZ1265" s="6">
        <v>0</v>
      </c>
      <c r="CA1265" s="6">
        <v>0</v>
      </c>
      <c r="CB1265" s="6">
        <v>0</v>
      </c>
      <c r="CC1265" s="6">
        <f>IF(Table3[[#This Row],[Type]]="EM",IF((Table3[[#This Row],[Diameter]]/2)-Table3[[#This Row],[CornerRadius]]-0.012&gt;0,(Table3[[#This Row],[Diameter]]/2)-Table3[[#This Row],[CornerRadius]]-0.012,0),)</f>
        <v>0</v>
      </c>
      <c r="CE1265" s="6" t="str">
        <f>IF(Table3[[#This Row],[ShoulderLength]]="","",IF(Table3[[#This Row],[ShoulderLength]]&lt;Table3[[#This Row],[LOC]],"FIX",""))</f>
        <v/>
      </c>
    </row>
    <row r="1266" spans="1:83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v>0</v>
      </c>
      <c r="BN1266" s="6">
        <v>0</v>
      </c>
      <c r="BO1266" s="6">
        <v>0</v>
      </c>
      <c r="BP1266" s="6">
        <v>0</v>
      </c>
      <c r="BQ1266" s="6">
        <v>0</v>
      </c>
      <c r="BR1266" s="6">
        <v>0</v>
      </c>
      <c r="BS1266" s="6">
        <v>0</v>
      </c>
      <c r="BT1266" s="6">
        <v>0</v>
      </c>
      <c r="BU1266" s="6">
        <v>0</v>
      </c>
      <c r="BV1266" s="6">
        <v>0</v>
      </c>
      <c r="BW1266" s="6">
        <v>0</v>
      </c>
      <c r="BX1266" s="6">
        <v>0</v>
      </c>
      <c r="BY1266" s="6">
        <v>0</v>
      </c>
      <c r="BZ1266" s="6">
        <v>0</v>
      </c>
      <c r="CA1266" s="6">
        <v>0</v>
      </c>
      <c r="CB1266" s="6">
        <v>0</v>
      </c>
      <c r="CC1266" s="6">
        <f>IF(Table3[[#This Row],[Type]]="EM",IF((Table3[[#This Row],[Diameter]]/2)-Table3[[#This Row],[CornerRadius]]-0.012&gt;0,(Table3[[#This Row],[Diameter]]/2)-Table3[[#This Row],[CornerRadius]]-0.012,0),)</f>
        <v>0</v>
      </c>
      <c r="CE1266" s="6" t="str">
        <f>IF(Table3[[#This Row],[ShoulderLength]]="","",IF(Table3[[#This Row],[ShoulderLength]]&lt;Table3[[#This Row],[LOC]],"FIX",""))</f>
        <v/>
      </c>
    </row>
    <row r="1267" spans="1:83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v>0</v>
      </c>
      <c r="BN1267" s="6">
        <v>0</v>
      </c>
      <c r="BO1267" s="6">
        <v>0</v>
      </c>
      <c r="BP1267" s="6">
        <v>0</v>
      </c>
      <c r="BQ1267" s="6">
        <v>0</v>
      </c>
      <c r="BR1267" s="6">
        <v>0</v>
      </c>
      <c r="BS1267" s="6">
        <v>0</v>
      </c>
      <c r="BT1267" s="6">
        <v>0</v>
      </c>
      <c r="BU1267" s="6">
        <v>0</v>
      </c>
      <c r="BV1267" s="6">
        <v>0</v>
      </c>
      <c r="BW1267" s="6">
        <v>0</v>
      </c>
      <c r="BX1267" s="6">
        <v>0</v>
      </c>
      <c r="BY1267" s="6">
        <v>0</v>
      </c>
      <c r="BZ1267" s="6">
        <v>0</v>
      </c>
      <c r="CA1267" s="6">
        <v>0</v>
      </c>
      <c r="CB1267" s="6">
        <v>0</v>
      </c>
      <c r="CC1267" s="6">
        <f>IF(Table3[[#This Row],[Type]]="EM",IF((Table3[[#This Row],[Diameter]]/2)-Table3[[#This Row],[CornerRadius]]-0.012&gt;0,(Table3[[#This Row],[Diameter]]/2)-Table3[[#This Row],[CornerRadius]]-0.012,0),)</f>
        <v>0</v>
      </c>
      <c r="CE1267" s="6" t="str">
        <f>IF(Table3[[#This Row],[ShoulderLength]]="","",IF(Table3[[#This Row],[ShoulderLength]]&lt;Table3[[#This Row],[LOC]],"FIX",""))</f>
        <v/>
      </c>
    </row>
    <row r="1268" spans="1:83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v>0</v>
      </c>
      <c r="BN1268" s="6">
        <v>0</v>
      </c>
      <c r="BO1268" s="6">
        <v>0</v>
      </c>
      <c r="BP1268" s="6">
        <v>0</v>
      </c>
      <c r="BQ1268" s="6">
        <v>0</v>
      </c>
      <c r="BR1268" s="6">
        <v>0</v>
      </c>
      <c r="BS1268" s="6">
        <v>0</v>
      </c>
      <c r="BT1268" s="6">
        <v>0</v>
      </c>
      <c r="BU1268" s="6">
        <v>0</v>
      </c>
      <c r="BV1268" s="6">
        <v>0</v>
      </c>
      <c r="BW1268" s="6">
        <v>0</v>
      </c>
      <c r="BX1268" s="6">
        <v>0</v>
      </c>
      <c r="BY1268" s="6">
        <v>0</v>
      </c>
      <c r="BZ1268" s="6">
        <v>0</v>
      </c>
      <c r="CA1268" s="6">
        <v>0</v>
      </c>
      <c r="CB1268" s="6">
        <v>0</v>
      </c>
      <c r="CC1268" s="6">
        <f>IF(Table3[[#This Row],[Type]]="EM",IF((Table3[[#This Row],[Diameter]]/2)-Table3[[#This Row],[CornerRadius]]-0.012&gt;0,(Table3[[#This Row],[Diameter]]/2)-Table3[[#This Row],[CornerRadius]]-0.012,0),)</f>
        <v>0</v>
      </c>
      <c r="CE1268" s="6" t="str">
        <f>IF(Table3[[#This Row],[ShoulderLength]]="","",IF(Table3[[#This Row],[ShoulderLength]]&lt;Table3[[#This Row],[LOC]],"FIX",""))</f>
        <v/>
      </c>
    </row>
    <row r="1269" spans="1:83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v>0</v>
      </c>
      <c r="BN1269" s="6">
        <v>0</v>
      </c>
      <c r="BO1269" s="6">
        <v>0</v>
      </c>
      <c r="BP1269" s="6">
        <v>0</v>
      </c>
      <c r="BQ1269" s="6">
        <v>0</v>
      </c>
      <c r="BR1269" s="6">
        <v>0</v>
      </c>
      <c r="BS1269" s="6">
        <v>0</v>
      </c>
      <c r="BT1269" s="6">
        <v>0</v>
      </c>
      <c r="BU1269" s="6">
        <v>0</v>
      </c>
      <c r="BV1269" s="6">
        <v>0</v>
      </c>
      <c r="BW1269" s="6">
        <v>0</v>
      </c>
      <c r="BX1269" s="6">
        <v>0</v>
      </c>
      <c r="BY1269" s="6">
        <v>0</v>
      </c>
      <c r="BZ1269" s="6">
        <v>0</v>
      </c>
      <c r="CA1269" s="6">
        <v>0</v>
      </c>
      <c r="CB1269" s="6">
        <v>0</v>
      </c>
      <c r="CC1269" s="6">
        <f>IF(Table3[[#This Row],[Type]]="EM",IF((Table3[[#This Row],[Diameter]]/2)-Table3[[#This Row],[CornerRadius]]-0.012&gt;0,(Table3[[#This Row],[Diameter]]/2)-Table3[[#This Row],[CornerRadius]]-0.012,0),)</f>
        <v>0</v>
      </c>
      <c r="CE1269" s="6" t="str">
        <f>IF(Table3[[#This Row],[ShoulderLength]]="","",IF(Table3[[#This Row],[ShoulderLength]]&lt;Table3[[#This Row],[LOC]],"FIX",""))</f>
        <v/>
      </c>
    </row>
    <row r="1270" spans="1:83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v>0</v>
      </c>
      <c r="BN1270" s="6">
        <v>0</v>
      </c>
      <c r="BO1270" s="6">
        <v>0</v>
      </c>
      <c r="BP1270" s="6">
        <v>0</v>
      </c>
      <c r="BQ1270" s="6">
        <v>0</v>
      </c>
      <c r="BR1270" s="6">
        <v>0</v>
      </c>
      <c r="BS1270" s="6">
        <v>0</v>
      </c>
      <c r="BT1270" s="6">
        <v>0</v>
      </c>
      <c r="BU1270" s="6">
        <v>0</v>
      </c>
      <c r="BV1270" s="6">
        <v>0</v>
      </c>
      <c r="BW1270" s="6">
        <v>0</v>
      </c>
      <c r="BX1270" s="6">
        <v>0</v>
      </c>
      <c r="BY1270" s="6">
        <v>0</v>
      </c>
      <c r="BZ1270" s="6">
        <v>0</v>
      </c>
      <c r="CA1270" s="6">
        <v>0</v>
      </c>
      <c r="CB1270" s="6">
        <v>0</v>
      </c>
      <c r="CC1270" s="6">
        <f>IF(Table3[[#This Row],[Type]]="EM",IF((Table3[[#This Row],[Diameter]]/2)-Table3[[#This Row],[CornerRadius]]-0.012&gt;0,(Table3[[#This Row],[Diameter]]/2)-Table3[[#This Row],[CornerRadius]]-0.012,0),)</f>
        <v>0</v>
      </c>
      <c r="CE1270" s="6" t="str">
        <f>IF(Table3[[#This Row],[ShoulderLength]]="","",IF(Table3[[#This Row],[ShoulderLength]]&lt;Table3[[#This Row],[LOC]],"FIX",""))</f>
        <v/>
      </c>
    </row>
    <row r="1271" spans="1:83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v>0</v>
      </c>
      <c r="BN1271" s="6">
        <v>0</v>
      </c>
      <c r="BO1271" s="6">
        <v>0</v>
      </c>
      <c r="BP1271" s="6">
        <v>0</v>
      </c>
      <c r="BQ1271" s="6">
        <v>0</v>
      </c>
      <c r="BR1271" s="6">
        <v>0</v>
      </c>
      <c r="BS1271" s="6">
        <v>0</v>
      </c>
      <c r="BT1271" s="6">
        <v>0</v>
      </c>
      <c r="BU1271" s="6">
        <v>0</v>
      </c>
      <c r="BV1271" s="6">
        <v>0</v>
      </c>
      <c r="BW1271" s="6">
        <v>0</v>
      </c>
      <c r="BX1271" s="6">
        <v>0</v>
      </c>
      <c r="BY1271" s="6">
        <v>0</v>
      </c>
      <c r="BZ1271" s="6">
        <v>0</v>
      </c>
      <c r="CA1271" s="6">
        <v>0</v>
      </c>
      <c r="CB1271" s="6">
        <v>0</v>
      </c>
      <c r="CC1271" s="6">
        <f>IF(Table3[[#This Row],[Type]]="EM",IF((Table3[[#This Row],[Diameter]]/2)-Table3[[#This Row],[CornerRadius]]-0.012&gt;0,(Table3[[#This Row],[Diameter]]/2)-Table3[[#This Row],[CornerRadius]]-0.012,0),)</f>
        <v>0</v>
      </c>
      <c r="CE1271" s="6" t="str">
        <f>IF(Table3[[#This Row],[ShoulderLength]]="","",IF(Table3[[#This Row],[ShoulderLength]]&lt;Table3[[#This Row],[LOC]],"FIX",""))</f>
        <v/>
      </c>
    </row>
    <row r="1272" spans="1:83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v>0</v>
      </c>
      <c r="BN1272" s="6">
        <v>0</v>
      </c>
      <c r="BO1272" s="6">
        <v>0</v>
      </c>
      <c r="BP1272" s="6">
        <v>0</v>
      </c>
      <c r="BQ1272" s="6">
        <v>0</v>
      </c>
      <c r="BR1272" s="6">
        <v>0</v>
      </c>
      <c r="BS1272" s="6">
        <v>0</v>
      </c>
      <c r="BT1272" s="6">
        <v>0</v>
      </c>
      <c r="BU1272" s="6">
        <v>0</v>
      </c>
      <c r="BV1272" s="6">
        <v>0</v>
      </c>
      <c r="BW1272" s="6">
        <v>0</v>
      </c>
      <c r="BX1272" s="6">
        <v>0</v>
      </c>
      <c r="BY1272" s="6">
        <v>0</v>
      </c>
      <c r="BZ1272" s="6">
        <v>0</v>
      </c>
      <c r="CA1272" s="6">
        <v>0</v>
      </c>
      <c r="CB1272" s="6">
        <v>0</v>
      </c>
      <c r="CC1272" s="6">
        <f>IF(Table3[[#This Row],[Type]]="EM",IF((Table3[[#This Row],[Diameter]]/2)-Table3[[#This Row],[CornerRadius]]-0.012&gt;0,(Table3[[#This Row],[Diameter]]/2)-Table3[[#This Row],[CornerRadius]]-0.012,0),)</f>
        <v>0</v>
      </c>
      <c r="CE1272" s="6" t="str">
        <f>IF(Table3[[#This Row],[ShoulderLength]]="","",IF(Table3[[#This Row],[ShoulderLength]]&lt;Table3[[#This Row],[LOC]],"FIX",""))</f>
        <v/>
      </c>
    </row>
    <row r="1273" spans="1:83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v>0</v>
      </c>
      <c r="BN1273" s="6">
        <v>0</v>
      </c>
      <c r="BO1273" s="6">
        <v>0</v>
      </c>
      <c r="BP1273" s="6">
        <v>0</v>
      </c>
      <c r="BQ1273" s="6">
        <v>0</v>
      </c>
      <c r="BR1273" s="6">
        <v>0</v>
      </c>
      <c r="BS1273" s="6">
        <v>0</v>
      </c>
      <c r="BT1273" s="6">
        <v>0</v>
      </c>
      <c r="BU1273" s="6">
        <v>0</v>
      </c>
      <c r="BV1273" s="6">
        <v>0</v>
      </c>
      <c r="BW1273" s="6">
        <v>0</v>
      </c>
      <c r="BX1273" s="6">
        <v>0</v>
      </c>
      <c r="BY1273" s="6">
        <v>0</v>
      </c>
      <c r="BZ1273" s="6">
        <v>0</v>
      </c>
      <c r="CA1273" s="6">
        <v>0</v>
      </c>
      <c r="CB1273" s="6">
        <v>0</v>
      </c>
      <c r="CC1273" s="6">
        <f>IF(Table3[[#This Row],[Type]]="EM",IF((Table3[[#This Row],[Diameter]]/2)-Table3[[#This Row],[CornerRadius]]-0.012&gt;0,(Table3[[#This Row],[Diameter]]/2)-Table3[[#This Row],[CornerRadius]]-0.012,0),)</f>
        <v>0</v>
      </c>
      <c r="CE1273" s="6" t="str">
        <f>IF(Table3[[#This Row],[ShoulderLength]]="","",IF(Table3[[#This Row],[ShoulderLength]]&lt;Table3[[#This Row],[LOC]],"FIX",""))</f>
        <v/>
      </c>
    </row>
    <row r="1274" spans="1:83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v>0</v>
      </c>
      <c r="BN1274" s="6">
        <v>0</v>
      </c>
      <c r="BO1274" s="6">
        <v>0</v>
      </c>
      <c r="BP1274" s="6">
        <v>0</v>
      </c>
      <c r="BQ1274" s="6">
        <v>0</v>
      </c>
      <c r="BR1274" s="6">
        <v>0</v>
      </c>
      <c r="BS1274" s="6">
        <v>0</v>
      </c>
      <c r="BT1274" s="6">
        <v>0</v>
      </c>
      <c r="BU1274" s="6">
        <v>0</v>
      </c>
      <c r="BV1274" s="6">
        <v>0</v>
      </c>
      <c r="BW1274" s="6">
        <v>0</v>
      </c>
      <c r="BX1274" s="6">
        <v>0</v>
      </c>
      <c r="BY1274" s="6">
        <v>0</v>
      </c>
      <c r="BZ1274" s="6">
        <v>0</v>
      </c>
      <c r="CA1274" s="6">
        <v>0</v>
      </c>
      <c r="CB1274" s="6">
        <v>0</v>
      </c>
      <c r="CC1274" s="6">
        <f>IF(Table3[[#This Row],[Type]]="EM",IF((Table3[[#This Row],[Diameter]]/2)-Table3[[#This Row],[CornerRadius]]-0.012&gt;0,(Table3[[#This Row],[Diameter]]/2)-Table3[[#This Row],[CornerRadius]]-0.012,0),)</f>
        <v>0</v>
      </c>
      <c r="CE1274" s="6" t="str">
        <f>IF(Table3[[#This Row],[ShoulderLength]]="","",IF(Table3[[#This Row],[ShoulderLength]]&lt;Table3[[#This Row],[LOC]],"FIX",""))</f>
        <v/>
      </c>
    </row>
    <row r="1275" spans="1:83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v>0</v>
      </c>
      <c r="BN1275" s="6">
        <v>0</v>
      </c>
      <c r="BO1275" s="6">
        <v>0</v>
      </c>
      <c r="BP1275" s="6">
        <v>0</v>
      </c>
      <c r="BQ1275" s="6">
        <v>0</v>
      </c>
      <c r="BR1275" s="6">
        <v>0</v>
      </c>
      <c r="BS1275" s="6">
        <v>0</v>
      </c>
      <c r="BT1275" s="6">
        <v>0</v>
      </c>
      <c r="BU1275" s="6">
        <v>0</v>
      </c>
      <c r="BV1275" s="6">
        <v>0</v>
      </c>
      <c r="BW1275" s="6">
        <v>0</v>
      </c>
      <c r="BX1275" s="6">
        <v>0</v>
      </c>
      <c r="BY1275" s="6">
        <v>0</v>
      </c>
      <c r="BZ1275" s="6">
        <v>0</v>
      </c>
      <c r="CA1275" s="6">
        <v>0</v>
      </c>
      <c r="CB1275" s="6">
        <v>0</v>
      </c>
      <c r="CC1275" s="6">
        <f>IF(Table3[[#This Row],[Type]]="EM",IF((Table3[[#This Row],[Diameter]]/2)-Table3[[#This Row],[CornerRadius]]-0.012&gt;0,(Table3[[#This Row],[Diameter]]/2)-Table3[[#This Row],[CornerRadius]]-0.012,0),)</f>
        <v>0</v>
      </c>
      <c r="CE1275" s="6" t="str">
        <f>IF(Table3[[#This Row],[ShoulderLength]]="","",IF(Table3[[#This Row],[ShoulderLength]]&lt;Table3[[#This Row],[LOC]],"FIX",""))</f>
        <v/>
      </c>
    </row>
    <row r="1276" spans="1:83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v>0</v>
      </c>
      <c r="BN1276" s="6">
        <v>0</v>
      </c>
      <c r="BO1276" s="6">
        <v>0</v>
      </c>
      <c r="BP1276" s="6">
        <v>0</v>
      </c>
      <c r="BQ1276" s="6">
        <v>0</v>
      </c>
      <c r="BR1276" s="6">
        <v>0</v>
      </c>
      <c r="BS1276" s="6">
        <v>0</v>
      </c>
      <c r="BT1276" s="6">
        <v>0</v>
      </c>
      <c r="BU1276" s="6">
        <v>0</v>
      </c>
      <c r="BV1276" s="6">
        <v>0</v>
      </c>
      <c r="BW1276" s="6">
        <v>0</v>
      </c>
      <c r="BX1276" s="6">
        <v>0</v>
      </c>
      <c r="BY1276" s="6">
        <v>0</v>
      </c>
      <c r="BZ1276" s="6">
        <v>0</v>
      </c>
      <c r="CA1276" s="6">
        <v>0</v>
      </c>
      <c r="CB1276" s="6">
        <v>0</v>
      </c>
      <c r="CC1276" s="6">
        <f>IF(Table3[[#This Row],[Type]]="EM",IF((Table3[[#This Row],[Diameter]]/2)-Table3[[#This Row],[CornerRadius]]-0.012&gt;0,(Table3[[#This Row],[Diameter]]/2)-Table3[[#This Row],[CornerRadius]]-0.012,0),)</f>
        <v>0</v>
      </c>
      <c r="CE1276" s="6" t="str">
        <f>IF(Table3[[#This Row],[ShoulderLength]]="","",IF(Table3[[#This Row],[ShoulderLength]]&lt;Table3[[#This Row],[LOC]],"FIX",""))</f>
        <v/>
      </c>
    </row>
    <row r="1277" spans="1:83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v>0</v>
      </c>
      <c r="BN1277" s="6">
        <v>0</v>
      </c>
      <c r="BO1277" s="6">
        <v>0</v>
      </c>
      <c r="BP1277" s="6">
        <v>0</v>
      </c>
      <c r="BQ1277" s="6">
        <v>0</v>
      </c>
      <c r="BR1277" s="6">
        <v>0</v>
      </c>
      <c r="BS1277" s="6">
        <v>0</v>
      </c>
      <c r="BT1277" s="6">
        <v>0</v>
      </c>
      <c r="BU1277" s="6">
        <v>0</v>
      </c>
      <c r="BV1277" s="6">
        <v>0</v>
      </c>
      <c r="BW1277" s="6">
        <v>0</v>
      </c>
      <c r="BX1277" s="6">
        <v>0</v>
      </c>
      <c r="BY1277" s="6">
        <v>0</v>
      </c>
      <c r="BZ1277" s="6">
        <v>0</v>
      </c>
      <c r="CA1277" s="6">
        <v>0</v>
      </c>
      <c r="CB1277" s="6">
        <v>0</v>
      </c>
      <c r="CC1277" s="6">
        <f>IF(Table3[[#This Row],[Type]]="EM",IF((Table3[[#This Row],[Diameter]]/2)-Table3[[#This Row],[CornerRadius]]-0.012&gt;0,(Table3[[#This Row],[Diameter]]/2)-Table3[[#This Row],[CornerRadius]]-0.012,0),)</f>
        <v>0</v>
      </c>
      <c r="CE1277" s="6" t="str">
        <f>IF(Table3[[#This Row],[ShoulderLength]]="","",IF(Table3[[#This Row],[ShoulderLength]]&lt;Table3[[#This Row],[LOC]],"FIX",""))</f>
        <v/>
      </c>
    </row>
    <row r="1278" spans="1:83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v>0</v>
      </c>
      <c r="BN1278" s="6">
        <v>0</v>
      </c>
      <c r="BO1278" s="6">
        <v>0</v>
      </c>
      <c r="BP1278" s="6">
        <v>0</v>
      </c>
      <c r="BQ1278" s="6">
        <v>0</v>
      </c>
      <c r="BR1278" s="6">
        <v>0</v>
      </c>
      <c r="BS1278" s="6">
        <v>0</v>
      </c>
      <c r="BT1278" s="6">
        <v>0</v>
      </c>
      <c r="BU1278" s="6">
        <v>0</v>
      </c>
      <c r="BV1278" s="6">
        <v>0</v>
      </c>
      <c r="BW1278" s="6">
        <v>0</v>
      </c>
      <c r="BX1278" s="6">
        <v>0</v>
      </c>
      <c r="BY1278" s="6">
        <v>0</v>
      </c>
      <c r="BZ1278" s="6">
        <v>0</v>
      </c>
      <c r="CA1278" s="6">
        <v>0</v>
      </c>
      <c r="CB1278" s="6">
        <v>0</v>
      </c>
      <c r="CC1278" s="6">
        <f>IF(Table3[[#This Row],[Type]]="EM",IF((Table3[[#This Row],[Diameter]]/2)-Table3[[#This Row],[CornerRadius]]-0.012&gt;0,(Table3[[#This Row],[Diameter]]/2)-Table3[[#This Row],[CornerRadius]]-0.012,0),)</f>
        <v>0</v>
      </c>
      <c r="CE1278" s="6" t="str">
        <f>IF(Table3[[#This Row],[ShoulderLength]]="","",IF(Table3[[#This Row],[ShoulderLength]]&lt;Table3[[#This Row],[LOC]],"FIX",""))</f>
        <v/>
      </c>
    </row>
    <row r="1279" spans="1:83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v>0</v>
      </c>
      <c r="BN1279" s="6">
        <v>0</v>
      </c>
      <c r="BO1279" s="6">
        <v>0</v>
      </c>
      <c r="BP1279" s="6">
        <v>0</v>
      </c>
      <c r="BQ1279" s="6">
        <v>0</v>
      </c>
      <c r="BR1279" s="6">
        <v>0</v>
      </c>
      <c r="BS1279" s="6">
        <v>0</v>
      </c>
      <c r="BT1279" s="6">
        <v>0</v>
      </c>
      <c r="BU1279" s="6">
        <v>0</v>
      </c>
      <c r="BV1279" s="6">
        <v>0</v>
      </c>
      <c r="BW1279" s="6">
        <v>0</v>
      </c>
      <c r="BX1279" s="6">
        <v>0</v>
      </c>
      <c r="BY1279" s="6">
        <v>0</v>
      </c>
      <c r="BZ1279" s="6">
        <v>0</v>
      </c>
      <c r="CA1279" s="6">
        <v>0</v>
      </c>
      <c r="CB1279" s="6">
        <v>0</v>
      </c>
      <c r="CC1279" s="6">
        <f>IF(Table3[[#This Row],[Type]]="EM",IF((Table3[[#This Row],[Diameter]]/2)-Table3[[#This Row],[CornerRadius]]-0.012&gt;0,(Table3[[#This Row],[Diameter]]/2)-Table3[[#This Row],[CornerRadius]]-0.012,0),)</f>
        <v>0</v>
      </c>
      <c r="CE1279" s="6" t="str">
        <f>IF(Table3[[#This Row],[ShoulderLength]]="","",IF(Table3[[#This Row],[ShoulderLength]]&lt;Table3[[#This Row],[LOC]],"FIX",""))</f>
        <v/>
      </c>
    </row>
    <row r="1280" spans="1:83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v>0</v>
      </c>
      <c r="BN1280" s="6">
        <v>0</v>
      </c>
      <c r="BO1280" s="6">
        <v>0</v>
      </c>
      <c r="BP1280" s="6">
        <v>0</v>
      </c>
      <c r="BQ1280" s="6">
        <v>0</v>
      </c>
      <c r="BR1280" s="6">
        <v>0</v>
      </c>
      <c r="BS1280" s="6">
        <v>0</v>
      </c>
      <c r="BT1280" s="6">
        <v>0</v>
      </c>
      <c r="BU1280" s="6">
        <v>0</v>
      </c>
      <c r="BV1280" s="6">
        <v>0</v>
      </c>
      <c r="BW1280" s="6">
        <v>0</v>
      </c>
      <c r="BX1280" s="6">
        <v>0</v>
      </c>
      <c r="BY1280" s="6">
        <v>0</v>
      </c>
      <c r="BZ1280" s="6">
        <v>0</v>
      </c>
      <c r="CA1280" s="6">
        <v>0</v>
      </c>
      <c r="CB1280" s="6">
        <v>0</v>
      </c>
      <c r="CC1280" s="6">
        <f>IF(Table3[[#This Row],[Type]]="EM",IF((Table3[[#This Row],[Diameter]]/2)-Table3[[#This Row],[CornerRadius]]-0.012&gt;0,(Table3[[#This Row],[Diameter]]/2)-Table3[[#This Row],[CornerRadius]]-0.012,0),)</f>
        <v>0</v>
      </c>
      <c r="CE1280" s="6" t="str">
        <f>IF(Table3[[#This Row],[ShoulderLength]]="","",IF(Table3[[#This Row],[ShoulderLength]]&lt;Table3[[#This Row],[LOC]],"FIX",""))</f>
        <v/>
      </c>
    </row>
    <row r="1281" spans="1:83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v>0</v>
      </c>
      <c r="BN1281" s="6">
        <v>0</v>
      </c>
      <c r="BO1281" s="6">
        <v>0</v>
      </c>
      <c r="BP1281" s="6">
        <v>0</v>
      </c>
      <c r="BQ1281" s="6">
        <v>0</v>
      </c>
      <c r="BR1281" s="6">
        <v>0</v>
      </c>
      <c r="BS1281" s="6">
        <v>0</v>
      </c>
      <c r="BT1281" s="6">
        <v>0</v>
      </c>
      <c r="BU1281" s="6">
        <v>0</v>
      </c>
      <c r="BV1281" s="6">
        <v>0</v>
      </c>
      <c r="BW1281" s="6">
        <v>0</v>
      </c>
      <c r="BX1281" s="6">
        <v>0</v>
      </c>
      <c r="BY1281" s="6">
        <v>0</v>
      </c>
      <c r="BZ1281" s="6">
        <v>0</v>
      </c>
      <c r="CA1281" s="6">
        <v>0</v>
      </c>
      <c r="CB1281" s="6">
        <v>0</v>
      </c>
      <c r="CC1281" s="6">
        <f>IF(Table3[[#This Row],[Type]]="EM",IF((Table3[[#This Row],[Diameter]]/2)-Table3[[#This Row],[CornerRadius]]-0.012&gt;0,(Table3[[#This Row],[Diameter]]/2)-Table3[[#This Row],[CornerRadius]]-0.012,0),)</f>
        <v>0</v>
      </c>
      <c r="CE1281" s="6" t="str">
        <f>IF(Table3[[#This Row],[ShoulderLength]]="","",IF(Table3[[#This Row],[ShoulderLength]]&lt;Table3[[#This Row],[LOC]],"FIX",""))</f>
        <v/>
      </c>
    </row>
    <row r="1282" spans="1:83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v>0</v>
      </c>
      <c r="BN1282" s="6">
        <v>0</v>
      </c>
      <c r="BO1282" s="6">
        <v>0</v>
      </c>
      <c r="BP1282" s="6">
        <v>0</v>
      </c>
      <c r="BQ1282" s="6">
        <v>0</v>
      </c>
      <c r="BR1282" s="6">
        <v>0</v>
      </c>
      <c r="BS1282" s="6">
        <v>0</v>
      </c>
      <c r="BT1282" s="6">
        <v>0</v>
      </c>
      <c r="BU1282" s="6">
        <v>0</v>
      </c>
      <c r="BV1282" s="6">
        <v>0</v>
      </c>
      <c r="BW1282" s="6">
        <v>0</v>
      </c>
      <c r="BX1282" s="6">
        <v>0</v>
      </c>
      <c r="BY1282" s="6">
        <v>0</v>
      </c>
      <c r="BZ1282" s="6">
        <v>0</v>
      </c>
      <c r="CA1282" s="6">
        <v>0</v>
      </c>
      <c r="CB1282" s="6">
        <v>0</v>
      </c>
      <c r="CC1282" s="6">
        <f>IF(Table3[[#This Row],[Type]]="EM",IF((Table3[[#This Row],[Diameter]]/2)-Table3[[#This Row],[CornerRadius]]-0.012&gt;0,(Table3[[#This Row],[Diameter]]/2)-Table3[[#This Row],[CornerRadius]]-0.012,0),)</f>
        <v>0</v>
      </c>
      <c r="CE1282" s="6" t="str">
        <f>IF(Table3[[#This Row],[ShoulderLength]]="","",IF(Table3[[#This Row],[ShoulderLength]]&lt;Table3[[#This Row],[LOC]],"FIX",""))</f>
        <v/>
      </c>
    </row>
    <row r="1283" spans="1:83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v>0</v>
      </c>
      <c r="BN1283" s="6">
        <v>0</v>
      </c>
      <c r="BO1283" s="6">
        <v>0</v>
      </c>
      <c r="BP1283" s="6">
        <v>0</v>
      </c>
      <c r="BQ1283" s="6">
        <v>0</v>
      </c>
      <c r="BR1283" s="6">
        <v>0</v>
      </c>
      <c r="BS1283" s="6">
        <v>0</v>
      </c>
      <c r="BT1283" s="6">
        <v>0</v>
      </c>
      <c r="BU1283" s="6">
        <v>0</v>
      </c>
      <c r="BV1283" s="6">
        <v>0</v>
      </c>
      <c r="BW1283" s="6">
        <v>0</v>
      </c>
      <c r="BX1283" s="6">
        <v>0</v>
      </c>
      <c r="BY1283" s="6">
        <v>0</v>
      </c>
      <c r="BZ1283" s="6">
        <v>0</v>
      </c>
      <c r="CA1283" s="6">
        <v>0</v>
      </c>
      <c r="CB1283" s="6">
        <v>0</v>
      </c>
      <c r="CC1283" s="6">
        <f>IF(Table3[[#This Row],[Type]]="EM",IF((Table3[[#This Row],[Diameter]]/2)-Table3[[#This Row],[CornerRadius]]-0.012&gt;0,(Table3[[#This Row],[Diameter]]/2)-Table3[[#This Row],[CornerRadius]]-0.012,0),)</f>
        <v>0</v>
      </c>
      <c r="CE1283" s="6" t="str">
        <f>IF(Table3[[#This Row],[ShoulderLength]]="","",IF(Table3[[#This Row],[ShoulderLength]]&lt;Table3[[#This Row],[LOC]],"FIX",""))</f>
        <v/>
      </c>
    </row>
    <row r="1284" spans="1:83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v>0</v>
      </c>
      <c r="BN1284" s="6">
        <v>0</v>
      </c>
      <c r="BO1284" s="6">
        <v>0</v>
      </c>
      <c r="BP1284" s="6">
        <v>0</v>
      </c>
      <c r="BQ1284" s="6">
        <v>0</v>
      </c>
      <c r="BR1284" s="6">
        <v>0</v>
      </c>
      <c r="BS1284" s="6">
        <v>0</v>
      </c>
      <c r="BT1284" s="6">
        <v>0</v>
      </c>
      <c r="BU1284" s="6">
        <v>0</v>
      </c>
      <c r="BV1284" s="6">
        <v>0</v>
      </c>
      <c r="BW1284" s="6">
        <v>0</v>
      </c>
      <c r="BX1284" s="6">
        <v>0</v>
      </c>
      <c r="BY1284" s="6">
        <v>0</v>
      </c>
      <c r="BZ1284" s="6">
        <v>0</v>
      </c>
      <c r="CA1284" s="6">
        <v>0</v>
      </c>
      <c r="CB1284" s="6">
        <v>0</v>
      </c>
      <c r="CC1284" s="6">
        <f>IF(Table3[[#This Row],[Type]]="EM",IF((Table3[[#This Row],[Diameter]]/2)-Table3[[#This Row],[CornerRadius]]-0.012&gt;0,(Table3[[#This Row],[Diameter]]/2)-Table3[[#This Row],[CornerRadius]]-0.012,0),)</f>
        <v>0</v>
      </c>
      <c r="CE1284" s="6" t="str">
        <f>IF(Table3[[#This Row],[ShoulderLength]]="","",IF(Table3[[#This Row],[ShoulderLength]]&lt;Table3[[#This Row],[LOC]],"FIX",""))</f>
        <v/>
      </c>
    </row>
    <row r="1285" spans="1:83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v>0</v>
      </c>
      <c r="BN1285" s="6">
        <v>0</v>
      </c>
      <c r="BO1285" s="6">
        <v>0</v>
      </c>
      <c r="BP1285" s="6">
        <v>0</v>
      </c>
      <c r="BQ1285" s="6">
        <v>0</v>
      </c>
      <c r="BR1285" s="6">
        <v>0</v>
      </c>
      <c r="BS1285" s="6">
        <v>0</v>
      </c>
      <c r="BT1285" s="6">
        <v>0</v>
      </c>
      <c r="BU1285" s="6">
        <v>0</v>
      </c>
      <c r="BV1285" s="6">
        <v>0</v>
      </c>
      <c r="BW1285" s="6">
        <v>0</v>
      </c>
      <c r="BX1285" s="6">
        <v>0</v>
      </c>
      <c r="BY1285" s="6">
        <v>0</v>
      </c>
      <c r="BZ1285" s="6">
        <v>0</v>
      </c>
      <c r="CA1285" s="6">
        <v>0</v>
      </c>
      <c r="CB1285" s="6">
        <v>0</v>
      </c>
      <c r="CC1285" s="6">
        <f>IF(Table3[[#This Row],[Type]]="EM",IF((Table3[[#This Row],[Diameter]]/2)-Table3[[#This Row],[CornerRadius]]-0.012&gt;0,(Table3[[#This Row],[Diameter]]/2)-Table3[[#This Row],[CornerRadius]]-0.012,0),)</f>
        <v>0</v>
      </c>
      <c r="CE1285" s="6" t="str">
        <f>IF(Table3[[#This Row],[ShoulderLength]]="","",IF(Table3[[#This Row],[ShoulderLength]]&lt;Table3[[#This Row],[LOC]],"FIX",""))</f>
        <v/>
      </c>
    </row>
    <row r="1286" spans="1:83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v>0</v>
      </c>
      <c r="BN1286" s="6">
        <v>0</v>
      </c>
      <c r="BO1286" s="6">
        <v>0</v>
      </c>
      <c r="BP1286" s="6">
        <v>0</v>
      </c>
      <c r="BQ1286" s="6">
        <v>0</v>
      </c>
      <c r="BR1286" s="6">
        <v>0</v>
      </c>
      <c r="BS1286" s="6">
        <v>0</v>
      </c>
      <c r="BT1286" s="6">
        <v>0</v>
      </c>
      <c r="BU1286" s="6">
        <v>0</v>
      </c>
      <c r="BV1286" s="6">
        <v>0</v>
      </c>
      <c r="BW1286" s="6">
        <v>0</v>
      </c>
      <c r="BX1286" s="6">
        <v>0</v>
      </c>
      <c r="BY1286" s="6">
        <v>0</v>
      </c>
      <c r="BZ1286" s="6">
        <v>0</v>
      </c>
      <c r="CA1286" s="6">
        <v>0</v>
      </c>
      <c r="CB1286" s="6">
        <v>0</v>
      </c>
      <c r="CC1286" s="6">
        <f>IF(Table3[[#This Row],[Type]]="EM",IF((Table3[[#This Row],[Diameter]]/2)-Table3[[#This Row],[CornerRadius]]-0.012&gt;0,(Table3[[#This Row],[Diameter]]/2)-Table3[[#This Row],[CornerRadius]]-0.012,0),)</f>
        <v>0</v>
      </c>
      <c r="CE1286" s="6" t="str">
        <f>IF(Table3[[#This Row],[ShoulderLength]]="","",IF(Table3[[#This Row],[ShoulderLength]]&lt;Table3[[#This Row],[LOC]],"FIX",""))</f>
        <v/>
      </c>
    </row>
    <row r="1287" spans="1:83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v>0</v>
      </c>
      <c r="BN1287" s="6">
        <v>0</v>
      </c>
      <c r="BO1287" s="6">
        <v>0</v>
      </c>
      <c r="BP1287" s="6">
        <v>0</v>
      </c>
      <c r="BQ1287" s="6">
        <v>0</v>
      </c>
      <c r="BR1287" s="6">
        <v>0</v>
      </c>
      <c r="BS1287" s="6">
        <v>0</v>
      </c>
      <c r="BT1287" s="6">
        <v>0</v>
      </c>
      <c r="BU1287" s="6">
        <v>0</v>
      </c>
      <c r="BV1287" s="6">
        <v>0</v>
      </c>
      <c r="BW1287" s="6">
        <v>0</v>
      </c>
      <c r="BX1287" s="6">
        <v>0</v>
      </c>
      <c r="BY1287" s="6">
        <v>0</v>
      </c>
      <c r="BZ1287" s="6">
        <v>0</v>
      </c>
      <c r="CA1287" s="6">
        <v>0</v>
      </c>
      <c r="CB1287" s="6">
        <v>0</v>
      </c>
      <c r="CC1287" s="6">
        <f>IF(Table3[[#This Row],[Type]]="EM",IF((Table3[[#This Row],[Diameter]]/2)-Table3[[#This Row],[CornerRadius]]-0.012&gt;0,(Table3[[#This Row],[Diameter]]/2)-Table3[[#This Row],[CornerRadius]]-0.012,0),)</f>
        <v>0</v>
      </c>
      <c r="CE1287" s="6" t="str">
        <f>IF(Table3[[#This Row],[ShoulderLength]]="","",IF(Table3[[#This Row],[ShoulderLength]]&lt;Table3[[#This Row],[LOC]],"FIX",""))</f>
        <v/>
      </c>
    </row>
    <row r="1288" spans="1:83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v>0</v>
      </c>
      <c r="BN1288" s="6">
        <v>0</v>
      </c>
      <c r="BO1288" s="6">
        <v>0</v>
      </c>
      <c r="BP1288" s="6">
        <v>0</v>
      </c>
      <c r="BQ1288" s="6">
        <v>0</v>
      </c>
      <c r="BR1288" s="6">
        <v>0</v>
      </c>
      <c r="BS1288" s="6">
        <v>0</v>
      </c>
      <c r="BT1288" s="6">
        <v>0</v>
      </c>
      <c r="BU1288" s="6">
        <v>0</v>
      </c>
      <c r="BV1288" s="6">
        <v>0</v>
      </c>
      <c r="BW1288" s="6">
        <v>0</v>
      </c>
      <c r="BX1288" s="6">
        <v>0</v>
      </c>
      <c r="BY1288" s="6">
        <v>0</v>
      </c>
      <c r="BZ1288" s="6">
        <v>0</v>
      </c>
      <c r="CA1288" s="6">
        <v>0</v>
      </c>
      <c r="CB1288" s="6">
        <v>0</v>
      </c>
      <c r="CC1288" s="6">
        <f>IF(Table3[[#This Row],[Type]]="EM",IF((Table3[[#This Row],[Diameter]]/2)-Table3[[#This Row],[CornerRadius]]-0.012&gt;0,(Table3[[#This Row],[Diameter]]/2)-Table3[[#This Row],[CornerRadius]]-0.012,0),)</f>
        <v>0</v>
      </c>
      <c r="CE1288" s="6" t="str">
        <f>IF(Table3[[#This Row],[ShoulderLength]]="","",IF(Table3[[#This Row],[ShoulderLength]]&lt;Table3[[#This Row],[LOC]],"FIX",""))</f>
        <v/>
      </c>
    </row>
    <row r="1289" spans="1:83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v>0</v>
      </c>
      <c r="BN1289" s="6">
        <v>0</v>
      </c>
      <c r="BO1289" s="6">
        <v>0</v>
      </c>
      <c r="BP1289" s="6">
        <v>0</v>
      </c>
      <c r="BQ1289" s="6">
        <v>0</v>
      </c>
      <c r="BR1289" s="6">
        <v>0</v>
      </c>
      <c r="BS1289" s="6">
        <v>0</v>
      </c>
      <c r="BT1289" s="6">
        <v>0</v>
      </c>
      <c r="BU1289" s="6">
        <v>0</v>
      </c>
      <c r="BV1289" s="6">
        <v>0</v>
      </c>
      <c r="BW1289" s="6">
        <v>0</v>
      </c>
      <c r="BX1289" s="6">
        <v>0</v>
      </c>
      <c r="BY1289" s="6">
        <v>0</v>
      </c>
      <c r="BZ1289" s="6">
        <v>0</v>
      </c>
      <c r="CA1289" s="6">
        <v>0</v>
      </c>
      <c r="CB1289" s="6">
        <v>0</v>
      </c>
      <c r="CC1289" s="6">
        <f>IF(Table3[[#This Row],[Type]]="EM",IF((Table3[[#This Row],[Diameter]]/2)-Table3[[#This Row],[CornerRadius]]-0.012&gt;0,(Table3[[#This Row],[Diameter]]/2)-Table3[[#This Row],[CornerRadius]]-0.012,0),)</f>
        <v>0</v>
      </c>
      <c r="CE1289" s="6" t="str">
        <f>IF(Table3[[#This Row],[ShoulderLength]]="","",IF(Table3[[#This Row],[ShoulderLength]]&lt;Table3[[#This Row],[LOC]],"FIX",""))</f>
        <v/>
      </c>
    </row>
    <row r="1290" spans="1:83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v>0</v>
      </c>
      <c r="BN1290" s="6">
        <v>0</v>
      </c>
      <c r="BO1290" s="6">
        <v>0</v>
      </c>
      <c r="BP1290" s="6">
        <v>0</v>
      </c>
      <c r="BQ1290" s="6">
        <v>0</v>
      </c>
      <c r="BR1290" s="6">
        <v>0</v>
      </c>
      <c r="BS1290" s="6">
        <v>0</v>
      </c>
      <c r="BT1290" s="6">
        <v>0</v>
      </c>
      <c r="BU1290" s="6">
        <v>0</v>
      </c>
      <c r="BV1290" s="6">
        <v>0</v>
      </c>
      <c r="BW1290" s="6">
        <v>0</v>
      </c>
      <c r="BX1290" s="6">
        <v>0</v>
      </c>
      <c r="BY1290" s="6">
        <v>0</v>
      </c>
      <c r="BZ1290" s="6">
        <v>0</v>
      </c>
      <c r="CA1290" s="6">
        <v>0</v>
      </c>
      <c r="CB1290" s="6">
        <v>0</v>
      </c>
      <c r="CC1290" s="6">
        <f>IF(Table3[[#This Row],[Type]]="EM",IF((Table3[[#This Row],[Diameter]]/2)-Table3[[#This Row],[CornerRadius]]-0.012&gt;0,(Table3[[#This Row],[Diameter]]/2)-Table3[[#This Row],[CornerRadius]]-0.012,0),)</f>
        <v>0</v>
      </c>
      <c r="CE1290" s="6" t="str">
        <f>IF(Table3[[#This Row],[ShoulderLength]]="","",IF(Table3[[#This Row],[ShoulderLength]]&lt;Table3[[#This Row],[LOC]],"FIX",""))</f>
        <v/>
      </c>
    </row>
    <row r="1291" spans="1:83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v>0</v>
      </c>
      <c r="BN1291" s="6">
        <v>0</v>
      </c>
      <c r="BO1291" s="6">
        <v>0</v>
      </c>
      <c r="BP1291" s="6">
        <v>0</v>
      </c>
      <c r="BQ1291" s="6">
        <v>0</v>
      </c>
      <c r="BR1291" s="6">
        <v>0</v>
      </c>
      <c r="BS1291" s="6">
        <v>0</v>
      </c>
      <c r="BT1291" s="6">
        <v>0</v>
      </c>
      <c r="BU1291" s="6">
        <v>0</v>
      </c>
      <c r="BV1291" s="6">
        <v>0</v>
      </c>
      <c r="BW1291" s="6">
        <v>0</v>
      </c>
      <c r="BX1291" s="6">
        <v>0</v>
      </c>
      <c r="BY1291" s="6">
        <v>0</v>
      </c>
      <c r="BZ1291" s="6">
        <v>0</v>
      </c>
      <c r="CA1291" s="6">
        <v>0</v>
      </c>
      <c r="CB1291" s="6">
        <v>0</v>
      </c>
      <c r="CC1291" s="6">
        <f>IF(Table3[[#This Row],[Type]]="EM",IF((Table3[[#This Row],[Diameter]]/2)-Table3[[#This Row],[CornerRadius]]-0.012&gt;0,(Table3[[#This Row],[Diameter]]/2)-Table3[[#This Row],[CornerRadius]]-0.012,0),)</f>
        <v>0</v>
      </c>
      <c r="CE1291" s="6" t="str">
        <f>IF(Table3[[#This Row],[ShoulderLength]]="","",IF(Table3[[#This Row],[ShoulderLength]]&lt;Table3[[#This Row],[LOC]],"FIX",""))</f>
        <v/>
      </c>
    </row>
    <row r="1292" spans="1:83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v>0</v>
      </c>
      <c r="BN1292" s="6">
        <v>0</v>
      </c>
      <c r="BO1292" s="6">
        <v>0</v>
      </c>
      <c r="BP1292" s="6">
        <v>0</v>
      </c>
      <c r="BQ1292" s="6">
        <v>0</v>
      </c>
      <c r="BR1292" s="6">
        <v>0</v>
      </c>
      <c r="BS1292" s="6">
        <v>0</v>
      </c>
      <c r="BT1292" s="6">
        <v>0</v>
      </c>
      <c r="BU1292" s="6">
        <v>0</v>
      </c>
      <c r="BV1292" s="6">
        <v>0</v>
      </c>
      <c r="BW1292" s="6">
        <v>0</v>
      </c>
      <c r="BX1292" s="6">
        <v>0</v>
      </c>
      <c r="BY1292" s="6">
        <v>0</v>
      </c>
      <c r="BZ1292" s="6">
        <v>0</v>
      </c>
      <c r="CA1292" s="6">
        <v>0</v>
      </c>
      <c r="CB1292" s="6">
        <v>0</v>
      </c>
      <c r="CC1292" s="6">
        <f>IF(Table3[[#This Row],[Type]]="EM",IF((Table3[[#This Row],[Diameter]]/2)-Table3[[#This Row],[CornerRadius]]-0.012&gt;0,(Table3[[#This Row],[Diameter]]/2)-Table3[[#This Row],[CornerRadius]]-0.012,0),)</f>
        <v>0</v>
      </c>
      <c r="CE1292" s="6" t="str">
        <f>IF(Table3[[#This Row],[ShoulderLength]]="","",IF(Table3[[#This Row],[ShoulderLength]]&lt;Table3[[#This Row],[LOC]],"FIX",""))</f>
        <v/>
      </c>
    </row>
    <row r="1293" spans="1:83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v>0</v>
      </c>
      <c r="BN1293" s="6">
        <v>0</v>
      </c>
      <c r="BO1293" s="6">
        <v>0</v>
      </c>
      <c r="BP1293" s="6">
        <v>0</v>
      </c>
      <c r="BQ1293" s="6">
        <v>0</v>
      </c>
      <c r="BR1293" s="6">
        <v>0</v>
      </c>
      <c r="BS1293" s="6">
        <v>0</v>
      </c>
      <c r="BT1293" s="6">
        <v>0</v>
      </c>
      <c r="BU1293" s="6">
        <v>0</v>
      </c>
      <c r="BV1293" s="6">
        <v>0</v>
      </c>
      <c r="BW1293" s="6">
        <v>0</v>
      </c>
      <c r="BX1293" s="6">
        <v>0</v>
      </c>
      <c r="BY1293" s="6">
        <v>0</v>
      </c>
      <c r="BZ1293" s="6">
        <v>0</v>
      </c>
      <c r="CA1293" s="6">
        <v>0</v>
      </c>
      <c r="CB1293" s="6">
        <v>0</v>
      </c>
      <c r="CC1293" s="6">
        <f>IF(Table3[[#This Row],[Type]]="EM",IF((Table3[[#This Row],[Diameter]]/2)-Table3[[#This Row],[CornerRadius]]-0.012&gt;0,(Table3[[#This Row],[Diameter]]/2)-Table3[[#This Row],[CornerRadius]]-0.012,0),)</f>
        <v>0</v>
      </c>
      <c r="CE1293" s="6" t="str">
        <f>IF(Table3[[#This Row],[ShoulderLength]]="","",IF(Table3[[#This Row],[ShoulderLength]]&lt;Table3[[#This Row],[LOC]],"FIX",""))</f>
        <v/>
      </c>
    </row>
    <row r="1294" spans="1:83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v>0</v>
      </c>
      <c r="BN1294" s="6">
        <v>0</v>
      </c>
      <c r="BO1294" s="6">
        <v>0</v>
      </c>
      <c r="BP1294" s="6">
        <v>0</v>
      </c>
      <c r="BQ1294" s="6">
        <v>0</v>
      </c>
      <c r="BR1294" s="6">
        <v>0</v>
      </c>
      <c r="BS1294" s="6">
        <v>0</v>
      </c>
      <c r="BT1294" s="6">
        <v>0</v>
      </c>
      <c r="BU1294" s="6">
        <v>0</v>
      </c>
      <c r="BV1294" s="6">
        <v>0</v>
      </c>
      <c r="BW1294" s="6">
        <v>0</v>
      </c>
      <c r="BX1294" s="6">
        <v>0</v>
      </c>
      <c r="BY1294" s="6">
        <v>0</v>
      </c>
      <c r="BZ1294" s="6">
        <v>0</v>
      </c>
      <c r="CA1294" s="6">
        <v>0</v>
      </c>
      <c r="CB1294" s="6">
        <v>0</v>
      </c>
      <c r="CC1294" s="6">
        <f>IF(Table3[[#This Row],[Type]]="EM",IF((Table3[[#This Row],[Diameter]]/2)-Table3[[#This Row],[CornerRadius]]-0.012&gt;0,(Table3[[#This Row],[Diameter]]/2)-Table3[[#This Row],[CornerRadius]]-0.012,0),)</f>
        <v>0</v>
      </c>
      <c r="CE1294" s="6" t="str">
        <f>IF(Table3[[#This Row],[ShoulderLength]]="","",IF(Table3[[#This Row],[ShoulderLength]]&lt;Table3[[#This Row],[LOC]],"FIX",""))</f>
        <v/>
      </c>
    </row>
    <row r="1295" spans="1:83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v>0</v>
      </c>
      <c r="BN1295" s="6">
        <v>0</v>
      </c>
      <c r="BO1295" s="6">
        <v>0</v>
      </c>
      <c r="BP1295" s="6">
        <v>0</v>
      </c>
      <c r="BQ1295" s="6">
        <v>0</v>
      </c>
      <c r="BR1295" s="6">
        <v>0</v>
      </c>
      <c r="BS1295" s="6">
        <v>0</v>
      </c>
      <c r="BT1295" s="6">
        <v>0</v>
      </c>
      <c r="BU1295" s="6">
        <v>0</v>
      </c>
      <c r="BV1295" s="6">
        <v>0</v>
      </c>
      <c r="BW1295" s="6">
        <v>0</v>
      </c>
      <c r="BX1295" s="6">
        <v>0</v>
      </c>
      <c r="BY1295" s="6">
        <v>0</v>
      </c>
      <c r="BZ1295" s="6">
        <v>0</v>
      </c>
      <c r="CA1295" s="6">
        <v>0</v>
      </c>
      <c r="CB1295" s="6">
        <v>0</v>
      </c>
      <c r="CC1295" s="6">
        <f>IF(Table3[[#This Row],[Type]]="EM",IF((Table3[[#This Row],[Diameter]]/2)-Table3[[#This Row],[CornerRadius]]-0.012&gt;0,(Table3[[#This Row],[Diameter]]/2)-Table3[[#This Row],[CornerRadius]]-0.012,0),)</f>
        <v>0</v>
      </c>
      <c r="CE1295" s="6" t="str">
        <f>IF(Table3[[#This Row],[ShoulderLength]]="","",IF(Table3[[#This Row],[ShoulderLength]]&lt;Table3[[#This Row],[LOC]],"FIX",""))</f>
        <v/>
      </c>
    </row>
    <row r="1296" spans="1:83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v>0</v>
      </c>
      <c r="BN1296" s="6">
        <v>0</v>
      </c>
      <c r="BO1296" s="6">
        <v>0</v>
      </c>
      <c r="BP1296" s="6">
        <v>0</v>
      </c>
      <c r="BQ1296" s="6">
        <v>0</v>
      </c>
      <c r="BR1296" s="6">
        <v>0</v>
      </c>
      <c r="BS1296" s="6">
        <v>0</v>
      </c>
      <c r="BT1296" s="6">
        <v>0</v>
      </c>
      <c r="BU1296" s="6">
        <v>0</v>
      </c>
      <c r="BV1296" s="6">
        <v>0</v>
      </c>
      <c r="BW1296" s="6">
        <v>0</v>
      </c>
      <c r="BX1296" s="6">
        <v>0</v>
      </c>
      <c r="BY1296" s="6">
        <v>0</v>
      </c>
      <c r="BZ1296" s="6">
        <v>0</v>
      </c>
      <c r="CA1296" s="6">
        <v>0</v>
      </c>
      <c r="CB1296" s="6">
        <v>0</v>
      </c>
      <c r="CC1296" s="6">
        <f>IF(Table3[[#This Row],[Type]]="EM",IF((Table3[[#This Row],[Diameter]]/2)-Table3[[#This Row],[CornerRadius]]-0.012&gt;0,(Table3[[#This Row],[Diameter]]/2)-Table3[[#This Row],[CornerRadius]]-0.012,0),)</f>
        <v>0</v>
      </c>
      <c r="CE1296" s="6" t="str">
        <f>IF(Table3[[#This Row],[ShoulderLength]]="","",IF(Table3[[#This Row],[ShoulderLength]]&lt;Table3[[#This Row],[LOC]],"FIX",""))</f>
        <v/>
      </c>
    </row>
    <row r="1297" spans="1:83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v>0</v>
      </c>
      <c r="BN1297" s="6">
        <v>0</v>
      </c>
      <c r="BO1297" s="6">
        <v>0</v>
      </c>
      <c r="BP1297" s="6">
        <v>0</v>
      </c>
      <c r="BQ1297" s="6">
        <v>0</v>
      </c>
      <c r="BR1297" s="6">
        <v>0</v>
      </c>
      <c r="BS1297" s="6">
        <v>0</v>
      </c>
      <c r="BT1297" s="6">
        <v>0</v>
      </c>
      <c r="BU1297" s="6">
        <v>0</v>
      </c>
      <c r="BV1297" s="6">
        <v>0</v>
      </c>
      <c r="BW1297" s="6">
        <v>0</v>
      </c>
      <c r="BX1297" s="6">
        <v>0</v>
      </c>
      <c r="BY1297" s="6">
        <v>0</v>
      </c>
      <c r="BZ1297" s="6">
        <v>0</v>
      </c>
      <c r="CA1297" s="6">
        <v>0</v>
      </c>
      <c r="CB1297" s="6">
        <v>0</v>
      </c>
      <c r="CC1297" s="6">
        <f>IF(Table3[[#This Row],[Type]]="EM",IF((Table3[[#This Row],[Diameter]]/2)-Table3[[#This Row],[CornerRadius]]-0.012&gt;0,(Table3[[#This Row],[Diameter]]/2)-Table3[[#This Row],[CornerRadius]]-0.012,0),)</f>
        <v>0</v>
      </c>
      <c r="CE1297" s="6" t="str">
        <f>IF(Table3[[#This Row],[ShoulderLength]]="","",IF(Table3[[#This Row],[ShoulderLength]]&lt;Table3[[#This Row],[LOC]],"FIX",""))</f>
        <v/>
      </c>
    </row>
    <row r="1298" spans="1:83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v>0</v>
      </c>
      <c r="BN1298" s="6">
        <v>0</v>
      </c>
      <c r="BO1298" s="6">
        <v>0</v>
      </c>
      <c r="BP1298" s="6">
        <v>0</v>
      </c>
      <c r="BQ1298" s="6">
        <v>0</v>
      </c>
      <c r="BR1298" s="6">
        <v>0</v>
      </c>
      <c r="BS1298" s="6">
        <v>0</v>
      </c>
      <c r="BT1298" s="6">
        <v>0</v>
      </c>
      <c r="BU1298" s="6">
        <v>0</v>
      </c>
      <c r="BV1298" s="6">
        <v>0</v>
      </c>
      <c r="BW1298" s="6">
        <v>0</v>
      </c>
      <c r="BX1298" s="6">
        <v>0</v>
      </c>
      <c r="BY1298" s="6">
        <v>0</v>
      </c>
      <c r="BZ1298" s="6">
        <v>0</v>
      </c>
      <c r="CA1298" s="6">
        <v>0</v>
      </c>
      <c r="CB1298" s="6">
        <v>0</v>
      </c>
      <c r="CC1298" s="6">
        <f>IF(Table3[[#This Row],[Type]]="EM",IF((Table3[[#This Row],[Diameter]]/2)-Table3[[#This Row],[CornerRadius]]-0.012&gt;0,(Table3[[#This Row],[Diameter]]/2)-Table3[[#This Row],[CornerRadius]]-0.012,0),)</f>
        <v>0</v>
      </c>
      <c r="CE1298" s="6" t="str">
        <f>IF(Table3[[#This Row],[ShoulderLength]]="","",IF(Table3[[#This Row],[ShoulderLength]]&lt;Table3[[#This Row],[LOC]],"FIX",""))</f>
        <v/>
      </c>
    </row>
    <row r="1299" spans="1:83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v>0</v>
      </c>
      <c r="BN1299" s="6">
        <v>0</v>
      </c>
      <c r="BO1299" s="6">
        <v>0</v>
      </c>
      <c r="BP1299" s="6">
        <v>0</v>
      </c>
      <c r="BQ1299" s="6">
        <v>0</v>
      </c>
      <c r="BR1299" s="6">
        <v>0</v>
      </c>
      <c r="BS1299" s="6">
        <v>0</v>
      </c>
      <c r="BT1299" s="6">
        <v>0</v>
      </c>
      <c r="BU1299" s="6">
        <v>0</v>
      </c>
      <c r="BV1299" s="6">
        <v>0</v>
      </c>
      <c r="BW1299" s="6">
        <v>0</v>
      </c>
      <c r="BX1299" s="6">
        <v>0</v>
      </c>
      <c r="BY1299" s="6">
        <v>0</v>
      </c>
      <c r="BZ1299" s="6">
        <v>0</v>
      </c>
      <c r="CA1299" s="6">
        <v>0</v>
      </c>
      <c r="CB1299" s="6">
        <v>0</v>
      </c>
      <c r="CC1299" s="6">
        <f>IF(Table3[[#This Row],[Type]]="EM",IF((Table3[[#This Row],[Diameter]]/2)-Table3[[#This Row],[CornerRadius]]-0.012&gt;0,(Table3[[#This Row],[Diameter]]/2)-Table3[[#This Row],[CornerRadius]]-0.012,0),)</f>
        <v>0</v>
      </c>
      <c r="CE1299" s="6" t="str">
        <f>IF(Table3[[#This Row],[ShoulderLength]]="","",IF(Table3[[#This Row],[ShoulderLength]]&lt;Table3[[#This Row],[LOC]],"FIX",""))</f>
        <v/>
      </c>
    </row>
    <row r="1300" spans="1:83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v>0</v>
      </c>
      <c r="BN1300" s="6">
        <v>0</v>
      </c>
      <c r="BO1300" s="6">
        <v>0</v>
      </c>
      <c r="BP1300" s="6">
        <v>0</v>
      </c>
      <c r="BQ1300" s="6">
        <v>0</v>
      </c>
      <c r="BR1300" s="6">
        <v>0</v>
      </c>
      <c r="BS1300" s="6">
        <v>0</v>
      </c>
      <c r="BT1300" s="6">
        <v>0</v>
      </c>
      <c r="BU1300" s="6">
        <v>0</v>
      </c>
      <c r="BV1300" s="6">
        <v>0</v>
      </c>
      <c r="BW1300" s="6">
        <v>0</v>
      </c>
      <c r="BX1300" s="6">
        <v>0</v>
      </c>
      <c r="BY1300" s="6">
        <v>0</v>
      </c>
      <c r="BZ1300" s="6">
        <v>0</v>
      </c>
      <c r="CA1300" s="6">
        <v>0</v>
      </c>
      <c r="CB1300" s="6">
        <v>0</v>
      </c>
      <c r="CC1300" s="6">
        <f>IF(Table3[[#This Row],[Type]]="EM",IF((Table3[[#This Row],[Diameter]]/2)-Table3[[#This Row],[CornerRadius]]-0.012&gt;0,(Table3[[#This Row],[Diameter]]/2)-Table3[[#This Row],[CornerRadius]]-0.012,0),)</f>
        <v>0</v>
      </c>
      <c r="CE1300" s="6" t="str">
        <f>IF(Table3[[#This Row],[ShoulderLength]]="","",IF(Table3[[#This Row],[ShoulderLength]]&lt;Table3[[#This Row],[LOC]],"FIX",""))</f>
        <v/>
      </c>
    </row>
    <row r="1301" spans="1:83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v>0</v>
      </c>
      <c r="BN1301" s="6">
        <v>0</v>
      </c>
      <c r="BO1301" s="6">
        <v>0</v>
      </c>
      <c r="BP1301" s="6">
        <v>0</v>
      </c>
      <c r="BQ1301" s="6">
        <v>0</v>
      </c>
      <c r="BR1301" s="6">
        <v>0</v>
      </c>
      <c r="BS1301" s="6">
        <v>0</v>
      </c>
      <c r="BT1301" s="6">
        <v>0</v>
      </c>
      <c r="BU1301" s="6">
        <v>0</v>
      </c>
      <c r="BV1301" s="6">
        <v>0</v>
      </c>
      <c r="BW1301" s="6">
        <v>0</v>
      </c>
      <c r="BX1301" s="6">
        <v>0</v>
      </c>
      <c r="BY1301" s="6">
        <v>0</v>
      </c>
      <c r="BZ1301" s="6">
        <v>0</v>
      </c>
      <c r="CA1301" s="6">
        <v>0</v>
      </c>
      <c r="CB1301" s="6">
        <v>0</v>
      </c>
      <c r="CC1301" s="6">
        <f>IF(Table3[[#This Row],[Type]]="EM",IF((Table3[[#This Row],[Diameter]]/2)-Table3[[#This Row],[CornerRadius]]-0.012&gt;0,(Table3[[#This Row],[Diameter]]/2)-Table3[[#This Row],[CornerRadius]]-0.012,0),)</f>
        <v>0</v>
      </c>
      <c r="CE1301" s="6" t="str">
        <f>IF(Table3[[#This Row],[ShoulderLength]]="","",IF(Table3[[#This Row],[ShoulderLength]]&lt;Table3[[#This Row],[LOC]],"FIX",""))</f>
        <v/>
      </c>
    </row>
    <row r="1302" spans="1:83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v>0</v>
      </c>
      <c r="BN1302" s="6">
        <v>0</v>
      </c>
      <c r="BO1302" s="6">
        <v>0</v>
      </c>
      <c r="BP1302" s="6">
        <v>0</v>
      </c>
      <c r="BQ1302" s="6">
        <v>0</v>
      </c>
      <c r="BR1302" s="6">
        <v>0</v>
      </c>
      <c r="BS1302" s="6">
        <v>0</v>
      </c>
      <c r="BT1302" s="6">
        <v>0</v>
      </c>
      <c r="BU1302" s="6">
        <v>0</v>
      </c>
      <c r="BV1302" s="6">
        <v>0</v>
      </c>
      <c r="BW1302" s="6">
        <v>0</v>
      </c>
      <c r="BX1302" s="6">
        <v>0</v>
      </c>
      <c r="BY1302" s="6">
        <v>0</v>
      </c>
      <c r="BZ1302" s="6">
        <v>0</v>
      </c>
      <c r="CA1302" s="6">
        <v>0</v>
      </c>
      <c r="CB1302" s="6">
        <v>0</v>
      </c>
      <c r="CC1302" s="6">
        <f>IF(Table3[[#This Row],[Type]]="EM",IF((Table3[[#This Row],[Diameter]]/2)-Table3[[#This Row],[CornerRadius]]-0.012&gt;0,(Table3[[#This Row],[Diameter]]/2)-Table3[[#This Row],[CornerRadius]]-0.012,0),)</f>
        <v>0</v>
      </c>
      <c r="CE1302" s="6" t="str">
        <f>IF(Table3[[#This Row],[ShoulderLength]]="","",IF(Table3[[#This Row],[ShoulderLength]]&lt;Table3[[#This Row],[LOC]],"FIX",""))</f>
        <v/>
      </c>
    </row>
    <row r="1303" spans="1:83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v>0</v>
      </c>
      <c r="BN1303" s="6">
        <v>0</v>
      </c>
      <c r="BO1303" s="6">
        <v>0</v>
      </c>
      <c r="BP1303" s="6">
        <v>0</v>
      </c>
      <c r="BQ1303" s="6">
        <v>0</v>
      </c>
      <c r="BR1303" s="6">
        <v>0</v>
      </c>
      <c r="BS1303" s="6">
        <v>0</v>
      </c>
      <c r="BT1303" s="6">
        <v>0</v>
      </c>
      <c r="BU1303" s="6">
        <v>0</v>
      </c>
      <c r="BV1303" s="6">
        <v>0</v>
      </c>
      <c r="BW1303" s="6">
        <v>0</v>
      </c>
      <c r="BX1303" s="6">
        <v>0</v>
      </c>
      <c r="BY1303" s="6">
        <v>0</v>
      </c>
      <c r="BZ1303" s="6">
        <v>0</v>
      </c>
      <c r="CA1303" s="6">
        <v>0</v>
      </c>
      <c r="CB1303" s="6">
        <v>0</v>
      </c>
      <c r="CC1303" s="6">
        <f>IF(Table3[[#This Row],[Type]]="EM",IF((Table3[[#This Row],[Diameter]]/2)-Table3[[#This Row],[CornerRadius]]-0.012&gt;0,(Table3[[#This Row],[Diameter]]/2)-Table3[[#This Row],[CornerRadius]]-0.012,0),)</f>
        <v>0</v>
      </c>
      <c r="CE1303" s="6" t="str">
        <f>IF(Table3[[#This Row],[ShoulderLength]]="","",IF(Table3[[#This Row],[ShoulderLength]]&lt;Table3[[#This Row],[LOC]],"FIX",""))</f>
        <v/>
      </c>
    </row>
    <row r="1304" spans="1:83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v>0</v>
      </c>
      <c r="BN1304" s="6">
        <v>0</v>
      </c>
      <c r="BO1304" s="6">
        <v>0</v>
      </c>
      <c r="BP1304" s="6">
        <v>0</v>
      </c>
      <c r="BQ1304" s="6">
        <v>0</v>
      </c>
      <c r="BR1304" s="6">
        <v>0</v>
      </c>
      <c r="BS1304" s="6">
        <v>0</v>
      </c>
      <c r="BT1304" s="6">
        <v>0</v>
      </c>
      <c r="BU1304" s="6">
        <v>0</v>
      </c>
      <c r="BV1304" s="6">
        <v>0</v>
      </c>
      <c r="BW1304" s="6">
        <v>0</v>
      </c>
      <c r="BX1304" s="6">
        <v>0</v>
      </c>
      <c r="BY1304" s="6">
        <v>0</v>
      </c>
      <c r="BZ1304" s="6">
        <v>0</v>
      </c>
      <c r="CA1304" s="6">
        <v>0</v>
      </c>
      <c r="CB1304" s="6">
        <v>0</v>
      </c>
      <c r="CC1304" s="6">
        <f>IF(Table3[[#This Row],[Type]]="EM",IF((Table3[[#This Row],[Diameter]]/2)-Table3[[#This Row],[CornerRadius]]-0.012&gt;0,(Table3[[#This Row],[Diameter]]/2)-Table3[[#This Row],[CornerRadius]]-0.012,0),)</f>
        <v>0</v>
      </c>
      <c r="CE1304" s="6" t="str">
        <f>IF(Table3[[#This Row],[ShoulderLength]]="","",IF(Table3[[#This Row],[ShoulderLength]]&lt;Table3[[#This Row],[LOC]],"FIX",""))</f>
        <v/>
      </c>
    </row>
    <row r="1305" spans="1:83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v>0</v>
      </c>
      <c r="BN1305" s="6">
        <v>0</v>
      </c>
      <c r="BO1305" s="6">
        <v>0</v>
      </c>
      <c r="BP1305" s="6">
        <v>0</v>
      </c>
      <c r="BQ1305" s="6">
        <v>0</v>
      </c>
      <c r="BR1305" s="6">
        <v>0</v>
      </c>
      <c r="BS1305" s="6">
        <v>0</v>
      </c>
      <c r="BT1305" s="6">
        <v>0</v>
      </c>
      <c r="BU1305" s="6">
        <v>0</v>
      </c>
      <c r="BV1305" s="6">
        <v>0</v>
      </c>
      <c r="BW1305" s="6">
        <v>0</v>
      </c>
      <c r="BX1305" s="6">
        <v>0</v>
      </c>
      <c r="BY1305" s="6">
        <v>0</v>
      </c>
      <c r="BZ1305" s="6">
        <v>0</v>
      </c>
      <c r="CA1305" s="6">
        <v>0</v>
      </c>
      <c r="CB1305" s="6">
        <v>0</v>
      </c>
      <c r="CC1305" s="6">
        <f>IF(Table3[[#This Row],[Type]]="EM",IF((Table3[[#This Row],[Diameter]]/2)-Table3[[#This Row],[CornerRadius]]-0.012&gt;0,(Table3[[#This Row],[Diameter]]/2)-Table3[[#This Row],[CornerRadius]]-0.012,0),)</f>
        <v>0</v>
      </c>
      <c r="CE1305" s="6" t="str">
        <f>IF(Table3[[#This Row],[ShoulderLength]]="","",IF(Table3[[#This Row],[ShoulderLength]]&lt;Table3[[#This Row],[LOC]],"FIX",""))</f>
        <v/>
      </c>
    </row>
    <row r="1306" spans="1:83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v>0</v>
      </c>
      <c r="BN1306" s="6">
        <v>0</v>
      </c>
      <c r="BO1306" s="6">
        <v>0</v>
      </c>
      <c r="BP1306" s="6">
        <v>0</v>
      </c>
      <c r="BQ1306" s="6">
        <v>0</v>
      </c>
      <c r="BR1306" s="6">
        <v>0</v>
      </c>
      <c r="BS1306" s="6">
        <v>0</v>
      </c>
      <c r="BT1306" s="6">
        <v>0</v>
      </c>
      <c r="BU1306" s="6">
        <v>0</v>
      </c>
      <c r="BV1306" s="6">
        <v>0</v>
      </c>
      <c r="BW1306" s="6">
        <v>0</v>
      </c>
      <c r="BX1306" s="6">
        <v>0</v>
      </c>
      <c r="BY1306" s="6">
        <v>0</v>
      </c>
      <c r="BZ1306" s="6">
        <v>0</v>
      </c>
      <c r="CA1306" s="6">
        <v>0</v>
      </c>
      <c r="CB1306" s="6">
        <v>0</v>
      </c>
      <c r="CC1306" s="6">
        <f>IF(Table3[[#This Row],[Type]]="EM",IF((Table3[[#This Row],[Diameter]]/2)-Table3[[#This Row],[CornerRadius]]-0.012&gt;0,(Table3[[#This Row],[Diameter]]/2)-Table3[[#This Row],[CornerRadius]]-0.012,0),)</f>
        <v>0</v>
      </c>
      <c r="CE1306" s="6" t="str">
        <f>IF(Table3[[#This Row],[ShoulderLength]]="","",IF(Table3[[#This Row],[ShoulderLength]]&lt;Table3[[#This Row],[LOC]],"FIX",""))</f>
        <v/>
      </c>
    </row>
    <row r="1307" spans="1:83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v>0</v>
      </c>
      <c r="BN1307" s="6">
        <v>0</v>
      </c>
      <c r="BO1307" s="6">
        <v>0</v>
      </c>
      <c r="BP1307" s="6">
        <v>0</v>
      </c>
      <c r="BQ1307" s="6">
        <v>0</v>
      </c>
      <c r="BR1307" s="6">
        <v>0</v>
      </c>
      <c r="BS1307" s="6">
        <v>0</v>
      </c>
      <c r="BT1307" s="6">
        <v>0</v>
      </c>
      <c r="BU1307" s="6">
        <v>0</v>
      </c>
      <c r="BV1307" s="6">
        <v>0</v>
      </c>
      <c r="BW1307" s="6">
        <v>0</v>
      </c>
      <c r="BX1307" s="6">
        <v>0</v>
      </c>
      <c r="BY1307" s="6">
        <v>0</v>
      </c>
      <c r="BZ1307" s="6">
        <v>0</v>
      </c>
      <c r="CA1307" s="6">
        <v>0</v>
      </c>
      <c r="CB1307" s="6">
        <v>0</v>
      </c>
      <c r="CC1307" s="6">
        <f>IF(Table3[[#This Row],[Type]]="EM",IF((Table3[[#This Row],[Diameter]]/2)-Table3[[#This Row],[CornerRadius]]-0.012&gt;0,(Table3[[#This Row],[Diameter]]/2)-Table3[[#This Row],[CornerRadius]]-0.012,0),)</f>
        <v>0</v>
      </c>
      <c r="CE1307" s="6" t="str">
        <f>IF(Table3[[#This Row],[ShoulderLength]]="","",IF(Table3[[#This Row],[ShoulderLength]]&lt;Table3[[#This Row],[LOC]],"FIX",""))</f>
        <v/>
      </c>
    </row>
    <row r="1308" spans="1:83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v>0</v>
      </c>
      <c r="BN1308" s="6">
        <v>0</v>
      </c>
      <c r="BO1308" s="6">
        <v>0</v>
      </c>
      <c r="BP1308" s="6">
        <v>0</v>
      </c>
      <c r="BQ1308" s="6">
        <v>0</v>
      </c>
      <c r="BR1308" s="6">
        <v>0</v>
      </c>
      <c r="BS1308" s="6">
        <v>0</v>
      </c>
      <c r="BT1308" s="6">
        <v>0</v>
      </c>
      <c r="BU1308" s="6">
        <v>0</v>
      </c>
      <c r="BV1308" s="6">
        <v>0</v>
      </c>
      <c r="BW1308" s="6">
        <v>0</v>
      </c>
      <c r="BX1308" s="6">
        <v>0</v>
      </c>
      <c r="BY1308" s="6">
        <v>0</v>
      </c>
      <c r="BZ1308" s="6">
        <v>0</v>
      </c>
      <c r="CA1308" s="6">
        <v>0</v>
      </c>
      <c r="CB1308" s="6">
        <v>0</v>
      </c>
      <c r="CC1308" s="6">
        <f>IF(Table3[[#This Row],[Type]]="EM",IF((Table3[[#This Row],[Diameter]]/2)-Table3[[#This Row],[CornerRadius]]-0.012&gt;0,(Table3[[#This Row],[Diameter]]/2)-Table3[[#This Row],[CornerRadius]]-0.012,0),)</f>
        <v>0</v>
      </c>
      <c r="CE1308" s="6" t="str">
        <f>IF(Table3[[#This Row],[ShoulderLength]]="","",IF(Table3[[#This Row],[ShoulderLength]]&lt;Table3[[#This Row],[LOC]],"FIX",""))</f>
        <v/>
      </c>
    </row>
    <row r="1309" spans="1:83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v>0</v>
      </c>
      <c r="BN1309" s="6">
        <v>0</v>
      </c>
      <c r="BO1309" s="6">
        <v>0</v>
      </c>
      <c r="BP1309" s="6">
        <v>0</v>
      </c>
      <c r="BQ1309" s="6">
        <v>0</v>
      </c>
      <c r="BR1309" s="6">
        <v>0</v>
      </c>
      <c r="BS1309" s="6">
        <v>0</v>
      </c>
      <c r="BT1309" s="6">
        <v>0</v>
      </c>
      <c r="BU1309" s="6">
        <v>0</v>
      </c>
      <c r="BV1309" s="6">
        <v>0</v>
      </c>
      <c r="BW1309" s="6">
        <v>0</v>
      </c>
      <c r="BX1309" s="6">
        <v>0</v>
      </c>
      <c r="BY1309" s="6">
        <v>0</v>
      </c>
      <c r="BZ1309" s="6">
        <v>0</v>
      </c>
      <c r="CA1309" s="6">
        <v>0</v>
      </c>
      <c r="CB1309" s="6">
        <v>0</v>
      </c>
      <c r="CC1309" s="6">
        <f>IF(Table3[[#This Row],[Type]]="EM",IF((Table3[[#This Row],[Diameter]]/2)-Table3[[#This Row],[CornerRadius]]-0.012&gt;0,(Table3[[#This Row],[Diameter]]/2)-Table3[[#This Row],[CornerRadius]]-0.012,0),)</f>
        <v>1.9E-2</v>
      </c>
      <c r="CE1309" s="6" t="str">
        <f>IF(Table3[[#This Row],[ShoulderLength]]="","",IF(Table3[[#This Row],[ShoulderLength]]&lt;Table3[[#This Row],[LOC]],"FIX",""))</f>
        <v/>
      </c>
    </row>
    <row r="1310" spans="1:83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v>0</v>
      </c>
      <c r="BN1310" s="6">
        <v>0</v>
      </c>
      <c r="BO1310" s="6">
        <v>0</v>
      </c>
      <c r="BP1310" s="6">
        <v>0</v>
      </c>
      <c r="BQ1310" s="6">
        <v>0</v>
      </c>
      <c r="BR1310" s="6">
        <v>0</v>
      </c>
      <c r="BS1310" s="6">
        <v>0</v>
      </c>
      <c r="BT1310" s="6">
        <v>0</v>
      </c>
      <c r="BU1310" s="6">
        <v>0</v>
      </c>
      <c r="BV1310" s="6">
        <v>0</v>
      </c>
      <c r="BW1310" s="6">
        <v>0</v>
      </c>
      <c r="BX1310" s="6">
        <v>0</v>
      </c>
      <c r="BY1310" s="6">
        <v>0</v>
      </c>
      <c r="BZ1310" s="6">
        <v>0</v>
      </c>
      <c r="CA1310" s="6">
        <v>0</v>
      </c>
      <c r="CB1310" s="6">
        <v>0</v>
      </c>
      <c r="CC1310" s="6">
        <f>IF(Table3[[#This Row],[Type]]="EM",IF((Table3[[#This Row],[Diameter]]/2)-Table3[[#This Row],[CornerRadius]]-0.012&gt;0,(Table3[[#This Row],[Diameter]]/2)-Table3[[#This Row],[CornerRadius]]-0.012,0),)</f>
        <v>0</v>
      </c>
      <c r="CE1310" s="6" t="str">
        <f>IF(Table3[[#This Row],[ShoulderLength]]="","",IF(Table3[[#This Row],[ShoulderLength]]&lt;Table3[[#This Row],[LOC]],"FIX",""))</f>
        <v/>
      </c>
    </row>
    <row r="1311" spans="1:83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v>0</v>
      </c>
      <c r="BN1311" s="6">
        <v>0</v>
      </c>
      <c r="BO1311" s="6">
        <v>0</v>
      </c>
      <c r="BP1311" s="6">
        <v>0</v>
      </c>
      <c r="BQ1311" s="6">
        <v>0</v>
      </c>
      <c r="BR1311" s="6">
        <v>0</v>
      </c>
      <c r="BS1311" s="6">
        <v>0</v>
      </c>
      <c r="BT1311" s="6">
        <v>0</v>
      </c>
      <c r="BU1311" s="6">
        <v>0</v>
      </c>
      <c r="BV1311" s="6">
        <v>0</v>
      </c>
      <c r="BW1311" s="6">
        <v>0</v>
      </c>
      <c r="BX1311" s="6">
        <v>0</v>
      </c>
      <c r="BY1311" s="6">
        <v>0</v>
      </c>
      <c r="BZ1311" s="6">
        <v>0</v>
      </c>
      <c r="CA1311" s="6">
        <v>0</v>
      </c>
      <c r="CB1311" s="6">
        <v>0</v>
      </c>
      <c r="CC1311" s="6">
        <f>IF(Table3[[#This Row],[Type]]="EM",IF((Table3[[#This Row],[Diameter]]/2)-Table3[[#This Row],[CornerRadius]]-0.012&gt;0,(Table3[[#This Row],[Diameter]]/2)-Table3[[#This Row],[CornerRadius]]-0.012,0),)</f>
        <v>0</v>
      </c>
      <c r="CE1311" s="6" t="str">
        <f>IF(Table3[[#This Row],[ShoulderLength]]="","",IF(Table3[[#This Row],[ShoulderLength]]&lt;Table3[[#This Row],[LOC]],"FIX",""))</f>
        <v/>
      </c>
    </row>
    <row r="1312" spans="1:83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v>0</v>
      </c>
      <c r="BN1312" s="6">
        <v>0</v>
      </c>
      <c r="BO1312" s="6">
        <v>0</v>
      </c>
      <c r="BP1312" s="6">
        <v>0</v>
      </c>
      <c r="BQ1312" s="6">
        <v>0</v>
      </c>
      <c r="BR1312" s="6">
        <v>0</v>
      </c>
      <c r="BS1312" s="6">
        <v>0</v>
      </c>
      <c r="BT1312" s="6">
        <v>0</v>
      </c>
      <c r="BU1312" s="6">
        <v>0</v>
      </c>
      <c r="BV1312" s="6">
        <v>0</v>
      </c>
      <c r="BW1312" s="6">
        <v>0</v>
      </c>
      <c r="BX1312" s="6">
        <v>0</v>
      </c>
      <c r="BY1312" s="6">
        <v>0</v>
      </c>
      <c r="BZ1312" s="6">
        <v>0</v>
      </c>
      <c r="CA1312" s="6">
        <v>0</v>
      </c>
      <c r="CB1312" s="6">
        <v>0</v>
      </c>
      <c r="CC1312" s="6">
        <f>IF(Table3[[#This Row],[Type]]="EM",IF((Table3[[#This Row],[Diameter]]/2)-Table3[[#This Row],[CornerRadius]]-0.012&gt;0,(Table3[[#This Row],[Diameter]]/2)-Table3[[#This Row],[CornerRadius]]-0.012,0),)</f>
        <v>0</v>
      </c>
      <c r="CE1312" s="6" t="str">
        <f>IF(Table3[[#This Row],[ShoulderLength]]="","",IF(Table3[[#This Row],[ShoulderLength]]&lt;Table3[[#This Row],[LOC]],"FIX",""))</f>
        <v/>
      </c>
    </row>
    <row r="1313" spans="1:83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v>0</v>
      </c>
      <c r="BN1313" s="6">
        <v>0</v>
      </c>
      <c r="BO1313" s="6">
        <v>0</v>
      </c>
      <c r="BP1313" s="6">
        <v>0</v>
      </c>
      <c r="BQ1313" s="6">
        <v>0</v>
      </c>
      <c r="BR1313" s="6">
        <v>0</v>
      </c>
      <c r="BS1313" s="6">
        <v>0</v>
      </c>
      <c r="BT1313" s="6">
        <v>0</v>
      </c>
      <c r="BU1313" s="6">
        <v>0</v>
      </c>
      <c r="BV1313" s="6">
        <v>0</v>
      </c>
      <c r="BW1313" s="6">
        <v>0</v>
      </c>
      <c r="BX1313" s="6">
        <v>0</v>
      </c>
      <c r="BY1313" s="6">
        <v>0</v>
      </c>
      <c r="BZ1313" s="6">
        <v>0</v>
      </c>
      <c r="CA1313" s="6">
        <v>0</v>
      </c>
      <c r="CB1313" s="6">
        <v>0</v>
      </c>
      <c r="CC1313" s="6">
        <f>IF(Table3[[#This Row],[Type]]="EM",IF((Table3[[#This Row],[Diameter]]/2)-Table3[[#This Row],[CornerRadius]]-0.012&gt;0,(Table3[[#This Row],[Diameter]]/2)-Table3[[#This Row],[CornerRadius]]-0.012,0),)</f>
        <v>0</v>
      </c>
      <c r="CE1313" s="6" t="str">
        <f>IF(Table3[[#This Row],[ShoulderLength]]="","",IF(Table3[[#This Row],[ShoulderLength]]&lt;Table3[[#This Row],[LOC]],"FIX",""))</f>
        <v/>
      </c>
    </row>
    <row r="1314" spans="1:83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v>0</v>
      </c>
      <c r="BN1314" s="6">
        <v>0</v>
      </c>
      <c r="BO1314" s="6">
        <v>0</v>
      </c>
      <c r="BP1314" s="6">
        <v>0</v>
      </c>
      <c r="BQ1314" s="6">
        <v>0</v>
      </c>
      <c r="BR1314" s="6">
        <v>0</v>
      </c>
      <c r="BS1314" s="6">
        <v>0</v>
      </c>
      <c r="BT1314" s="6">
        <v>0</v>
      </c>
      <c r="BU1314" s="6">
        <v>0</v>
      </c>
      <c r="BV1314" s="6">
        <v>0</v>
      </c>
      <c r="BW1314" s="6">
        <v>0</v>
      </c>
      <c r="BX1314" s="6">
        <v>0</v>
      </c>
      <c r="BY1314" s="6">
        <v>0</v>
      </c>
      <c r="BZ1314" s="6">
        <v>0</v>
      </c>
      <c r="CA1314" s="6">
        <v>0</v>
      </c>
      <c r="CB1314" s="6">
        <v>0</v>
      </c>
      <c r="CC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83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v>0</v>
      </c>
      <c r="BN1315" s="6">
        <v>0</v>
      </c>
      <c r="BO1315" s="6">
        <v>0</v>
      </c>
      <c r="BP1315" s="6">
        <v>0</v>
      </c>
      <c r="BQ1315" s="6">
        <v>0</v>
      </c>
      <c r="BR1315" s="6">
        <v>0</v>
      </c>
      <c r="BS1315" s="6">
        <v>0</v>
      </c>
      <c r="BT1315" s="6">
        <v>0</v>
      </c>
      <c r="BU1315" s="6">
        <v>0</v>
      </c>
      <c r="BV1315" s="6">
        <v>0</v>
      </c>
      <c r="BW1315" s="6">
        <v>0</v>
      </c>
      <c r="BX1315" s="6">
        <v>0</v>
      </c>
      <c r="BY1315" s="6">
        <v>0</v>
      </c>
      <c r="BZ1315" s="6">
        <v>0</v>
      </c>
      <c r="CA1315" s="6">
        <v>0</v>
      </c>
      <c r="CB1315" s="6">
        <v>0</v>
      </c>
      <c r="CC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83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v>0</v>
      </c>
      <c r="BN1316" s="6">
        <v>0</v>
      </c>
      <c r="BO1316" s="6">
        <v>0</v>
      </c>
      <c r="BP1316" s="6">
        <v>0</v>
      </c>
      <c r="BQ1316" s="6">
        <v>0</v>
      </c>
      <c r="BR1316" s="6">
        <v>0</v>
      </c>
      <c r="BS1316" s="6">
        <v>0</v>
      </c>
      <c r="BT1316" s="6">
        <v>0</v>
      </c>
      <c r="BU1316" s="6">
        <v>0</v>
      </c>
      <c r="BV1316" s="6">
        <v>0</v>
      </c>
      <c r="BW1316" s="6">
        <v>0</v>
      </c>
      <c r="BX1316" s="6">
        <v>0</v>
      </c>
      <c r="BY1316" s="6">
        <v>0</v>
      </c>
      <c r="BZ1316" s="6">
        <v>0</v>
      </c>
      <c r="CA1316" s="6">
        <v>0</v>
      </c>
      <c r="CB1316" s="6">
        <v>0</v>
      </c>
      <c r="CC1316" s="6">
        <f>IF(Table3[[#This Row],[Type]]="EM",IF((Table3[[#This Row],[Diameter]]/2)-Table3[[#This Row],[CornerRadius]]-0.012&gt;0,(Table3[[#This Row],[Diameter]]/2)-Table3[[#This Row],[CornerRadius]]-0.012,0),)</f>
        <v>0</v>
      </c>
      <c r="CE1316" s="6" t="str">
        <f>IF(Table3[[#This Row],[ShoulderLength]]="","",IF(Table3[[#This Row],[ShoulderLength]]&lt;Table3[[#This Row],[LOC]],"FIX",""))</f>
        <v/>
      </c>
    </row>
    <row r="1317" spans="1:83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v>0</v>
      </c>
      <c r="BN1317" s="6">
        <v>0</v>
      </c>
      <c r="BO1317" s="6">
        <v>0</v>
      </c>
      <c r="BP1317" s="6">
        <v>0</v>
      </c>
      <c r="BQ1317" s="6">
        <v>0</v>
      </c>
      <c r="BR1317" s="6">
        <v>0</v>
      </c>
      <c r="BS1317" s="6">
        <v>0</v>
      </c>
      <c r="BT1317" s="6">
        <v>0</v>
      </c>
      <c r="BU1317" s="6">
        <v>0</v>
      </c>
      <c r="BV1317" s="6">
        <v>0</v>
      </c>
      <c r="BW1317" s="6">
        <v>0</v>
      </c>
      <c r="BX1317" s="6">
        <v>0</v>
      </c>
      <c r="BY1317" s="6">
        <v>0</v>
      </c>
      <c r="BZ1317" s="6">
        <v>0</v>
      </c>
      <c r="CA1317" s="6">
        <v>0</v>
      </c>
      <c r="CB1317" s="6">
        <v>0</v>
      </c>
      <c r="CC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83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v>0</v>
      </c>
      <c r="BN1318" s="6">
        <v>0</v>
      </c>
      <c r="BO1318" s="6">
        <v>0</v>
      </c>
      <c r="BP1318" s="6">
        <v>0</v>
      </c>
      <c r="BQ1318" s="6">
        <v>0</v>
      </c>
      <c r="BR1318" s="6">
        <v>0</v>
      </c>
      <c r="BS1318" s="6">
        <v>0</v>
      </c>
      <c r="BT1318" s="6">
        <v>0</v>
      </c>
      <c r="BU1318" s="6">
        <v>0</v>
      </c>
      <c r="BV1318" s="6">
        <v>0</v>
      </c>
      <c r="BW1318" s="6">
        <v>0</v>
      </c>
      <c r="BX1318" s="6">
        <v>0</v>
      </c>
      <c r="BY1318" s="6">
        <v>0</v>
      </c>
      <c r="BZ1318" s="6">
        <v>0</v>
      </c>
      <c r="CA1318" s="6">
        <v>0</v>
      </c>
      <c r="CB1318" s="6">
        <v>0</v>
      </c>
      <c r="CC1318" s="6">
        <f>IF(Table3[[#This Row],[Type]]="EM",IF((Table3[[#This Row],[Diameter]]/2)-Table3[[#This Row],[CornerRadius]]-0.012&gt;0,(Table3[[#This Row],[Diameter]]/2)-Table3[[#This Row],[CornerRadius]]-0.012,0),)</f>
        <v>0</v>
      </c>
      <c r="CE1318" s="6" t="str">
        <f>IF(Table3[[#This Row],[ShoulderLength]]="","",IF(Table3[[#This Row],[ShoulderLength]]&lt;Table3[[#This Row],[LOC]],"FIX",""))</f>
        <v/>
      </c>
    </row>
    <row r="1319" spans="1:83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v>0</v>
      </c>
      <c r="BN1319" s="6">
        <v>0</v>
      </c>
      <c r="BO1319" s="6">
        <v>0</v>
      </c>
      <c r="BP1319" s="6">
        <v>0</v>
      </c>
      <c r="BQ1319" s="6">
        <v>0</v>
      </c>
      <c r="BR1319" s="6">
        <v>0</v>
      </c>
      <c r="BS1319" s="6">
        <v>0</v>
      </c>
      <c r="BT1319" s="6">
        <v>0</v>
      </c>
      <c r="BU1319" s="6">
        <v>0</v>
      </c>
      <c r="BV1319" s="6">
        <v>0</v>
      </c>
      <c r="BW1319" s="6">
        <v>0</v>
      </c>
      <c r="BX1319" s="6">
        <v>0</v>
      </c>
      <c r="BY1319" s="6">
        <v>0</v>
      </c>
      <c r="BZ1319" s="6">
        <v>0</v>
      </c>
      <c r="CA1319" s="6">
        <v>0</v>
      </c>
      <c r="CB1319" s="6">
        <v>0</v>
      </c>
      <c r="CC1319" s="6">
        <f>IF(Table3[[#This Row],[Type]]="EM",IF((Table3[[#This Row],[Diameter]]/2)-Table3[[#This Row],[CornerRadius]]-0.012&gt;0,(Table3[[#This Row],[Diameter]]/2)-Table3[[#This Row],[CornerRadius]]-0.012,0),)</f>
        <v>0</v>
      </c>
      <c r="CE1319" s="6" t="str">
        <f>IF(Table3[[#This Row],[ShoulderLength]]="","",IF(Table3[[#This Row],[ShoulderLength]]&lt;Table3[[#This Row],[LOC]],"FIX",""))</f>
        <v/>
      </c>
    </row>
    <row r="1320" spans="1:83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v>0</v>
      </c>
      <c r="BN1320" s="6">
        <v>0</v>
      </c>
      <c r="BO1320" s="6">
        <v>0</v>
      </c>
      <c r="BP1320" s="6">
        <v>0</v>
      </c>
      <c r="BQ1320" s="6">
        <v>0</v>
      </c>
      <c r="BR1320" s="6">
        <v>0</v>
      </c>
      <c r="BS1320" s="6">
        <v>0</v>
      </c>
      <c r="BT1320" s="6">
        <v>0</v>
      </c>
      <c r="BU1320" s="6">
        <v>0</v>
      </c>
      <c r="BV1320" s="6">
        <v>0</v>
      </c>
      <c r="BW1320" s="6">
        <v>0</v>
      </c>
      <c r="BX1320" s="6">
        <v>0</v>
      </c>
      <c r="BY1320" s="6">
        <v>0</v>
      </c>
      <c r="BZ1320" s="6">
        <v>0</v>
      </c>
      <c r="CA1320" s="6">
        <v>0</v>
      </c>
      <c r="CB1320" s="6">
        <v>0</v>
      </c>
      <c r="CC1320" s="6">
        <f>IF(Table3[[#This Row],[Type]]="EM",IF((Table3[[#This Row],[Diameter]]/2)-Table3[[#This Row],[CornerRadius]]-0.012&gt;0,(Table3[[#This Row],[Diameter]]/2)-Table3[[#This Row],[CornerRadius]]-0.012,0),)</f>
        <v>0</v>
      </c>
      <c r="CE1320" s="6" t="str">
        <f>IF(Table3[[#This Row],[ShoulderLength]]="","",IF(Table3[[#This Row],[ShoulderLength]]&lt;Table3[[#This Row],[LOC]],"FIX",""))</f>
        <v/>
      </c>
    </row>
    <row r="1321" spans="1:83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v>0</v>
      </c>
      <c r="BN1321" s="6">
        <v>0</v>
      </c>
      <c r="BO1321" s="6">
        <v>0</v>
      </c>
      <c r="BP1321" s="6">
        <v>0</v>
      </c>
      <c r="BQ1321" s="6">
        <v>0</v>
      </c>
      <c r="BR1321" s="6">
        <v>0</v>
      </c>
      <c r="BS1321" s="6">
        <v>0</v>
      </c>
      <c r="BT1321" s="6">
        <v>0</v>
      </c>
      <c r="BU1321" s="6">
        <v>0</v>
      </c>
      <c r="BV1321" s="6">
        <v>0</v>
      </c>
      <c r="BW1321" s="6">
        <v>0</v>
      </c>
      <c r="BX1321" s="6">
        <v>0</v>
      </c>
      <c r="BY1321" s="6">
        <v>0</v>
      </c>
      <c r="BZ1321" s="6">
        <v>0</v>
      </c>
      <c r="CA1321" s="6">
        <v>0</v>
      </c>
      <c r="CB1321" s="6">
        <v>0</v>
      </c>
      <c r="CC1321" s="6">
        <f>IF(Table3[[#This Row],[Type]]="EM",IF((Table3[[#This Row],[Diameter]]/2)-Table3[[#This Row],[CornerRadius]]-0.012&gt;0,(Table3[[#This Row],[Diameter]]/2)-Table3[[#This Row],[CornerRadius]]-0.012,0),)</f>
        <v>0</v>
      </c>
      <c r="CE1321" s="6" t="str">
        <f>IF(Table3[[#This Row],[ShoulderLength]]="","",IF(Table3[[#This Row],[ShoulderLength]]&lt;Table3[[#This Row],[LOC]],"FIX",""))</f>
        <v/>
      </c>
    </row>
    <row r="1322" spans="1:83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v>0</v>
      </c>
      <c r="BN1322" s="6">
        <v>0</v>
      </c>
      <c r="BO1322" s="6">
        <v>0</v>
      </c>
      <c r="BP1322" s="6">
        <v>0</v>
      </c>
      <c r="BQ1322" s="6">
        <v>0</v>
      </c>
      <c r="BR1322" s="6">
        <v>0</v>
      </c>
      <c r="BS1322" s="6">
        <v>0</v>
      </c>
      <c r="BT1322" s="6">
        <v>0</v>
      </c>
      <c r="BU1322" s="6">
        <v>0</v>
      </c>
      <c r="BV1322" s="6">
        <v>0</v>
      </c>
      <c r="BW1322" s="6">
        <v>0</v>
      </c>
      <c r="BX1322" s="6">
        <v>0</v>
      </c>
      <c r="BY1322" s="6">
        <v>0</v>
      </c>
      <c r="BZ1322" s="6">
        <v>0</v>
      </c>
      <c r="CA1322" s="6">
        <v>0</v>
      </c>
      <c r="CB1322" s="6">
        <v>0</v>
      </c>
      <c r="CC1322" s="6">
        <f>IF(Table3[[#This Row],[Type]]="EM",IF((Table3[[#This Row],[Diameter]]/2)-Table3[[#This Row],[CornerRadius]]-0.012&gt;0,(Table3[[#This Row],[Diameter]]/2)-Table3[[#This Row],[CornerRadius]]-0.012,0),)</f>
        <v>0</v>
      </c>
      <c r="CE1322" s="6" t="str">
        <f>IF(Table3[[#This Row],[ShoulderLength]]="","",IF(Table3[[#This Row],[ShoulderLength]]&lt;Table3[[#This Row],[LOC]],"FIX",""))</f>
        <v>FIX</v>
      </c>
    </row>
    <row r="1323" spans="1:83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v>0</v>
      </c>
      <c r="BN1323" s="6">
        <v>0</v>
      </c>
      <c r="BO1323" s="6">
        <v>0</v>
      </c>
      <c r="BP1323" s="6">
        <v>0</v>
      </c>
      <c r="BQ1323" s="6">
        <v>0</v>
      </c>
      <c r="BR1323" s="6">
        <v>0</v>
      </c>
      <c r="BS1323" s="6">
        <v>0</v>
      </c>
      <c r="BT1323" s="6">
        <v>0</v>
      </c>
      <c r="BU1323" s="6">
        <v>0</v>
      </c>
      <c r="BV1323" s="6">
        <v>0</v>
      </c>
      <c r="BW1323" s="6">
        <v>0</v>
      </c>
      <c r="BX1323" s="6">
        <v>0</v>
      </c>
      <c r="BY1323" s="6">
        <v>0</v>
      </c>
      <c r="BZ1323" s="6">
        <v>0</v>
      </c>
      <c r="CA1323" s="6">
        <v>0</v>
      </c>
      <c r="CB1323" s="6">
        <v>0</v>
      </c>
      <c r="CC1323" s="6">
        <f>IF(Table3[[#This Row],[Type]]="EM",IF((Table3[[#This Row],[Diameter]]/2)-Table3[[#This Row],[CornerRadius]]-0.012&gt;0,(Table3[[#This Row],[Diameter]]/2)-Table3[[#This Row],[CornerRadius]]-0.012,0),)</f>
        <v>0</v>
      </c>
      <c r="CE1323" s="6" t="str">
        <f>IF(Table3[[#This Row],[ShoulderLength]]="","",IF(Table3[[#This Row],[ShoulderLength]]&lt;Table3[[#This Row],[LOC]],"FIX",""))</f>
        <v/>
      </c>
    </row>
    <row r="1324" spans="1:83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v>0</v>
      </c>
      <c r="BN1324" s="6">
        <v>0</v>
      </c>
      <c r="BO1324" s="6">
        <v>0</v>
      </c>
      <c r="BP1324" s="6">
        <v>0</v>
      </c>
      <c r="BQ1324" s="6">
        <v>0</v>
      </c>
      <c r="BR1324" s="6">
        <v>0</v>
      </c>
      <c r="BS1324" s="6">
        <v>0</v>
      </c>
      <c r="BT1324" s="6">
        <v>0</v>
      </c>
      <c r="BU1324" s="6">
        <v>0</v>
      </c>
      <c r="BV1324" s="6">
        <v>0</v>
      </c>
      <c r="BW1324" s="6">
        <v>0</v>
      </c>
      <c r="BX1324" s="6">
        <v>0</v>
      </c>
      <c r="BY1324" s="6">
        <v>0</v>
      </c>
      <c r="BZ1324" s="6">
        <v>0</v>
      </c>
      <c r="CA1324" s="6">
        <v>0</v>
      </c>
      <c r="CB1324" s="6">
        <v>0</v>
      </c>
      <c r="CC1324" s="6">
        <f>IF(Table3[[#This Row],[Type]]="EM",IF((Table3[[#This Row],[Diameter]]/2)-Table3[[#This Row],[CornerRadius]]-0.012&gt;0,(Table3[[#This Row],[Diameter]]/2)-Table3[[#This Row],[CornerRadius]]-0.012,0),)</f>
        <v>0</v>
      </c>
      <c r="CE1324" s="6" t="str">
        <f>IF(Table3[[#This Row],[ShoulderLength]]="","",IF(Table3[[#This Row],[ShoulderLength]]&lt;Table3[[#This Row],[LOC]],"FIX",""))</f>
        <v/>
      </c>
    </row>
    <row r="1325" spans="1:83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v>0</v>
      </c>
      <c r="BN1325" s="6">
        <v>0</v>
      </c>
      <c r="BO1325" s="6">
        <v>0</v>
      </c>
      <c r="BP1325" s="6">
        <v>0</v>
      </c>
      <c r="BQ1325" s="6">
        <v>0</v>
      </c>
      <c r="BR1325" s="6">
        <v>0</v>
      </c>
      <c r="BS1325" s="6">
        <v>0</v>
      </c>
      <c r="BT1325" s="6">
        <v>0</v>
      </c>
      <c r="BU1325" s="6">
        <v>0</v>
      </c>
      <c r="BV1325" s="6">
        <v>0</v>
      </c>
      <c r="BW1325" s="6">
        <v>0</v>
      </c>
      <c r="BX1325" s="6">
        <v>0</v>
      </c>
      <c r="BY1325" s="6">
        <v>0</v>
      </c>
      <c r="BZ1325" s="6">
        <v>0</v>
      </c>
      <c r="CA1325" s="6">
        <v>0</v>
      </c>
      <c r="CB1325" s="6">
        <v>0</v>
      </c>
      <c r="CC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83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v>0</v>
      </c>
      <c r="BN1326" s="6">
        <v>0</v>
      </c>
      <c r="BO1326" s="6">
        <v>0</v>
      </c>
      <c r="BP1326" s="6">
        <v>0</v>
      </c>
      <c r="BQ1326" s="6">
        <v>0</v>
      </c>
      <c r="BR1326" s="6">
        <v>0</v>
      </c>
      <c r="BS1326" s="6">
        <v>0</v>
      </c>
      <c r="BT1326" s="6">
        <v>0</v>
      </c>
      <c r="BU1326" s="6">
        <v>0</v>
      </c>
      <c r="BV1326" s="6">
        <v>0</v>
      </c>
      <c r="BW1326" s="6">
        <v>0</v>
      </c>
      <c r="BX1326" s="6">
        <v>0</v>
      </c>
      <c r="BY1326" s="6">
        <v>0</v>
      </c>
      <c r="BZ1326" s="6">
        <v>0</v>
      </c>
      <c r="CA1326" s="6">
        <v>0</v>
      </c>
      <c r="CB1326" s="6">
        <v>0</v>
      </c>
      <c r="CC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83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v>0</v>
      </c>
      <c r="BN1327" s="6">
        <v>0</v>
      </c>
      <c r="BO1327" s="6">
        <v>0</v>
      </c>
      <c r="BP1327" s="6">
        <v>0</v>
      </c>
      <c r="BQ1327" s="6">
        <v>0</v>
      </c>
      <c r="BR1327" s="6">
        <v>0</v>
      </c>
      <c r="BS1327" s="6">
        <v>0</v>
      </c>
      <c r="BT1327" s="6">
        <v>0</v>
      </c>
      <c r="BU1327" s="6">
        <v>0</v>
      </c>
      <c r="BV1327" s="6">
        <v>0</v>
      </c>
      <c r="BW1327" s="6">
        <v>0</v>
      </c>
      <c r="BX1327" s="6">
        <v>0</v>
      </c>
      <c r="BY1327" s="6">
        <v>0</v>
      </c>
      <c r="BZ1327" s="6">
        <v>0</v>
      </c>
      <c r="CA1327" s="6">
        <v>0</v>
      </c>
      <c r="CB1327" s="6">
        <v>0</v>
      </c>
      <c r="CC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83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v>0</v>
      </c>
      <c r="BN1328" s="6">
        <v>0</v>
      </c>
      <c r="BO1328" s="6">
        <v>0</v>
      </c>
      <c r="BP1328" s="6">
        <v>0</v>
      </c>
      <c r="BQ1328" s="6">
        <v>0</v>
      </c>
      <c r="BR1328" s="6">
        <v>0</v>
      </c>
      <c r="BS1328" s="6">
        <v>0</v>
      </c>
      <c r="BT1328" s="6">
        <v>0</v>
      </c>
      <c r="BU1328" s="6">
        <v>0</v>
      </c>
      <c r="BV1328" s="6">
        <v>0</v>
      </c>
      <c r="BW1328" s="6">
        <v>0</v>
      </c>
      <c r="BX1328" s="6">
        <v>0</v>
      </c>
      <c r="BY1328" s="6">
        <v>0</v>
      </c>
      <c r="BZ1328" s="6">
        <v>0</v>
      </c>
      <c r="CA1328" s="6">
        <v>0</v>
      </c>
      <c r="CB1328" s="6">
        <v>0</v>
      </c>
      <c r="CC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83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v>0</v>
      </c>
      <c r="BN1329" s="6">
        <v>0</v>
      </c>
      <c r="BO1329" s="6">
        <v>0</v>
      </c>
      <c r="BP1329" s="6">
        <v>0</v>
      </c>
      <c r="BQ1329" s="6">
        <v>0</v>
      </c>
      <c r="BR1329" s="6">
        <v>0</v>
      </c>
      <c r="BS1329" s="6">
        <v>0</v>
      </c>
      <c r="BT1329" s="6">
        <v>0</v>
      </c>
      <c r="BU1329" s="6">
        <v>0</v>
      </c>
      <c r="BV1329" s="6">
        <v>0</v>
      </c>
      <c r="BW1329" s="6">
        <v>0</v>
      </c>
      <c r="BX1329" s="6">
        <v>0</v>
      </c>
      <c r="BY1329" s="6">
        <v>0</v>
      </c>
      <c r="BZ1329" s="6">
        <v>0</v>
      </c>
      <c r="CA1329" s="6">
        <v>0</v>
      </c>
      <c r="CB1329" s="6">
        <v>0</v>
      </c>
      <c r="CC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83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v>0</v>
      </c>
      <c r="BN1330" s="6">
        <v>0</v>
      </c>
      <c r="BO1330" s="6">
        <v>0</v>
      </c>
      <c r="BP1330" s="6">
        <v>0</v>
      </c>
      <c r="BQ1330" s="6">
        <v>0</v>
      </c>
      <c r="BR1330" s="6">
        <v>0</v>
      </c>
      <c r="BS1330" s="6">
        <v>0</v>
      </c>
      <c r="BT1330" s="6">
        <v>0</v>
      </c>
      <c r="BU1330" s="6">
        <v>0</v>
      </c>
      <c r="BV1330" s="6">
        <v>0</v>
      </c>
      <c r="BW1330" s="6">
        <v>0</v>
      </c>
      <c r="BX1330" s="6">
        <v>0</v>
      </c>
      <c r="BY1330" s="6">
        <v>0</v>
      </c>
      <c r="BZ1330" s="6">
        <v>0</v>
      </c>
      <c r="CA1330" s="6">
        <v>0</v>
      </c>
      <c r="CB1330" s="6">
        <v>0</v>
      </c>
      <c r="CC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83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v>0</v>
      </c>
      <c r="BN1331" s="6">
        <v>0</v>
      </c>
      <c r="BO1331" s="6">
        <v>0</v>
      </c>
      <c r="BP1331" s="6">
        <v>0</v>
      </c>
      <c r="BQ1331" s="6">
        <v>0</v>
      </c>
      <c r="BR1331" s="6">
        <v>0</v>
      </c>
      <c r="BS1331" s="6">
        <v>0</v>
      </c>
      <c r="BT1331" s="6">
        <v>0</v>
      </c>
      <c r="BU1331" s="6">
        <v>0</v>
      </c>
      <c r="BV1331" s="6">
        <v>0</v>
      </c>
      <c r="BW1331" s="6">
        <v>0</v>
      </c>
      <c r="BX1331" s="6">
        <v>0</v>
      </c>
      <c r="BY1331" s="6">
        <v>0</v>
      </c>
      <c r="BZ1331" s="6">
        <v>0</v>
      </c>
      <c r="CA1331" s="6">
        <v>0</v>
      </c>
      <c r="CB1331" s="6">
        <v>0</v>
      </c>
      <c r="CC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83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v>0</v>
      </c>
      <c r="BN1332" s="6">
        <v>0</v>
      </c>
      <c r="BO1332" s="6">
        <v>0</v>
      </c>
      <c r="BP1332" s="6">
        <v>0</v>
      </c>
      <c r="BQ1332" s="6">
        <v>0</v>
      </c>
      <c r="BR1332" s="6">
        <v>0</v>
      </c>
      <c r="BS1332" s="6">
        <v>0</v>
      </c>
      <c r="BT1332" s="6">
        <v>0</v>
      </c>
      <c r="BU1332" s="6">
        <v>0</v>
      </c>
      <c r="BV1332" s="6">
        <v>0</v>
      </c>
      <c r="BW1332" s="6">
        <v>0</v>
      </c>
      <c r="BX1332" s="6">
        <v>0</v>
      </c>
      <c r="BY1332" s="6">
        <v>0</v>
      </c>
      <c r="BZ1332" s="6">
        <v>0</v>
      </c>
      <c r="CA1332" s="6">
        <v>0</v>
      </c>
      <c r="CB1332" s="6">
        <v>0</v>
      </c>
      <c r="CC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83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v>0</v>
      </c>
      <c r="BN1333" s="6">
        <v>0</v>
      </c>
      <c r="BO1333" s="6">
        <v>0</v>
      </c>
      <c r="BP1333" s="6">
        <v>0</v>
      </c>
      <c r="BQ1333" s="6">
        <v>0</v>
      </c>
      <c r="BR1333" s="6">
        <v>0</v>
      </c>
      <c r="BS1333" s="6">
        <v>0</v>
      </c>
      <c r="BT1333" s="6">
        <v>0</v>
      </c>
      <c r="BU1333" s="6">
        <v>0</v>
      </c>
      <c r="BV1333" s="6">
        <v>0</v>
      </c>
      <c r="BW1333" s="6">
        <v>0</v>
      </c>
      <c r="BX1333" s="6">
        <v>0</v>
      </c>
      <c r="BY1333" s="6">
        <v>0</v>
      </c>
      <c r="BZ1333" s="6">
        <v>0</v>
      </c>
      <c r="CA1333" s="6">
        <v>0</v>
      </c>
      <c r="CB1333" s="6">
        <v>0</v>
      </c>
      <c r="CC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83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v>0</v>
      </c>
      <c r="BN1334" s="6">
        <v>0</v>
      </c>
      <c r="BO1334" s="6">
        <v>0</v>
      </c>
      <c r="BP1334" s="6">
        <v>0</v>
      </c>
      <c r="BQ1334" s="6">
        <v>0</v>
      </c>
      <c r="BR1334" s="6">
        <v>0</v>
      </c>
      <c r="BS1334" s="6">
        <v>0</v>
      </c>
      <c r="BT1334" s="6">
        <v>0</v>
      </c>
      <c r="BU1334" s="6">
        <v>0</v>
      </c>
      <c r="BV1334" s="6">
        <v>0</v>
      </c>
      <c r="BW1334" s="6">
        <v>0</v>
      </c>
      <c r="BX1334" s="6">
        <v>0</v>
      </c>
      <c r="BY1334" s="6">
        <v>0</v>
      </c>
      <c r="BZ1334" s="6">
        <v>0</v>
      </c>
      <c r="CA1334" s="6">
        <v>0</v>
      </c>
      <c r="CB1334" s="6">
        <v>0</v>
      </c>
      <c r="CC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83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v>0</v>
      </c>
      <c r="BN1335" s="6">
        <v>0</v>
      </c>
      <c r="BO1335" s="6">
        <v>0</v>
      </c>
      <c r="BP1335" s="6">
        <v>0</v>
      </c>
      <c r="BQ1335" s="6">
        <v>0</v>
      </c>
      <c r="BR1335" s="6">
        <v>0</v>
      </c>
      <c r="BS1335" s="6">
        <v>0</v>
      </c>
      <c r="BT1335" s="6">
        <v>0</v>
      </c>
      <c r="BU1335" s="6">
        <v>0</v>
      </c>
      <c r="BV1335" s="6">
        <v>0</v>
      </c>
      <c r="BW1335" s="6">
        <v>0</v>
      </c>
      <c r="BX1335" s="6">
        <v>0</v>
      </c>
      <c r="BY1335" s="6">
        <v>0</v>
      </c>
      <c r="BZ1335" s="6">
        <v>0</v>
      </c>
      <c r="CA1335" s="6">
        <v>0</v>
      </c>
      <c r="CB1335" s="6">
        <v>0</v>
      </c>
      <c r="CC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83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v>0</v>
      </c>
      <c r="BN1336" s="6">
        <v>0</v>
      </c>
      <c r="BO1336" s="6">
        <v>0</v>
      </c>
      <c r="BP1336" s="6">
        <v>0</v>
      </c>
      <c r="BQ1336" s="6">
        <v>0</v>
      </c>
      <c r="BR1336" s="6">
        <v>0</v>
      </c>
      <c r="BS1336" s="6">
        <v>0</v>
      </c>
      <c r="BT1336" s="6">
        <v>0</v>
      </c>
      <c r="BU1336" s="6">
        <v>0</v>
      </c>
      <c r="BV1336" s="6">
        <v>0</v>
      </c>
      <c r="BW1336" s="6">
        <v>0</v>
      </c>
      <c r="BX1336" s="6">
        <v>0</v>
      </c>
      <c r="BY1336" s="6">
        <v>0</v>
      </c>
      <c r="BZ1336" s="6">
        <v>0</v>
      </c>
      <c r="CA1336" s="6">
        <v>0</v>
      </c>
      <c r="CB1336" s="6">
        <v>0</v>
      </c>
      <c r="CC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83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v>0</v>
      </c>
      <c r="BN1337" s="6">
        <v>0</v>
      </c>
      <c r="BO1337" s="6">
        <v>0</v>
      </c>
      <c r="BP1337" s="6">
        <v>0</v>
      </c>
      <c r="BQ1337" s="6">
        <v>0</v>
      </c>
      <c r="BR1337" s="6">
        <v>0</v>
      </c>
      <c r="BS1337" s="6">
        <v>0</v>
      </c>
      <c r="BT1337" s="6">
        <v>0</v>
      </c>
      <c r="BU1337" s="6">
        <v>0</v>
      </c>
      <c r="BV1337" s="6">
        <v>0</v>
      </c>
      <c r="BW1337" s="6">
        <v>0</v>
      </c>
      <c r="BX1337" s="6">
        <v>0</v>
      </c>
      <c r="BY1337" s="6">
        <v>0</v>
      </c>
      <c r="BZ1337" s="6">
        <v>0</v>
      </c>
      <c r="CA1337" s="6">
        <v>0</v>
      </c>
      <c r="CB1337" s="6">
        <v>0</v>
      </c>
      <c r="CC1337" s="6">
        <f>IF(Table3[[#This Row],[Type]]="EM",IF((Table3[[#This Row],[Diameter]]/2)-Table3[[#This Row],[CornerRadius]]-0.012&gt;0,(Table3[[#This Row],[Diameter]]/2)-Table3[[#This Row],[CornerRadius]]-0.012,0),)</f>
        <v>0</v>
      </c>
      <c r="CE1337" s="6" t="str">
        <f>IF(Table3[[#This Row],[ShoulderLength]]="","",IF(Table3[[#This Row],[ShoulderLength]]&lt;Table3[[#This Row],[LOC]],"FIX",""))</f>
        <v/>
      </c>
    </row>
    <row r="1338" spans="1:83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6">
        <v>0</v>
      </c>
      <c r="BN1338" s="6">
        <v>0</v>
      </c>
      <c r="BO1338" s="6">
        <v>0</v>
      </c>
      <c r="BP1338" s="6">
        <v>0</v>
      </c>
      <c r="BQ1338" s="6">
        <v>0</v>
      </c>
      <c r="BR1338" s="6">
        <v>0</v>
      </c>
      <c r="BS1338" s="6">
        <v>0</v>
      </c>
      <c r="BT1338" s="6">
        <v>0</v>
      </c>
      <c r="BU1338" s="6">
        <v>0</v>
      </c>
      <c r="BV1338" s="6">
        <v>0</v>
      </c>
      <c r="BW1338" s="6">
        <v>0</v>
      </c>
      <c r="BX1338" s="6">
        <v>0</v>
      </c>
      <c r="BY1338" s="6">
        <v>0</v>
      </c>
      <c r="BZ1338" s="6">
        <v>0</v>
      </c>
      <c r="CA1338" s="6">
        <v>0</v>
      </c>
      <c r="CB1338" s="6">
        <v>0</v>
      </c>
      <c r="CC1338" s="75">
        <v>0</v>
      </c>
    </row>
    <row r="1339" spans="1:83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6">
        <v>0</v>
      </c>
      <c r="BN1339" s="6">
        <v>0</v>
      </c>
      <c r="BO1339" s="6">
        <v>0</v>
      </c>
      <c r="BP1339" s="6">
        <v>0</v>
      </c>
      <c r="BQ1339" s="6">
        <v>0</v>
      </c>
      <c r="BR1339" s="6">
        <v>0</v>
      </c>
      <c r="BS1339" s="6">
        <v>0</v>
      </c>
      <c r="BT1339" s="6">
        <v>0</v>
      </c>
      <c r="BU1339" s="6">
        <v>0</v>
      </c>
      <c r="BV1339" s="6">
        <v>0</v>
      </c>
      <c r="BW1339" s="6">
        <v>0</v>
      </c>
      <c r="BX1339" s="6">
        <v>0</v>
      </c>
      <c r="BY1339" s="6">
        <v>0</v>
      </c>
      <c r="BZ1339" s="6">
        <v>0</v>
      </c>
      <c r="CA1339" s="6">
        <v>0</v>
      </c>
      <c r="CB1339" s="6">
        <v>0</v>
      </c>
      <c r="CC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83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6">
        <v>0</v>
      </c>
      <c r="BN1340" s="6">
        <v>0</v>
      </c>
      <c r="BO1340" s="6">
        <v>0</v>
      </c>
      <c r="BP1340" s="6">
        <v>0</v>
      </c>
      <c r="BQ1340" s="6">
        <v>0</v>
      </c>
      <c r="BR1340" s="6">
        <v>0</v>
      </c>
      <c r="BS1340" s="6">
        <v>0</v>
      </c>
      <c r="BT1340" s="6">
        <v>0</v>
      </c>
      <c r="BU1340" s="6">
        <v>0</v>
      </c>
      <c r="BV1340" s="6">
        <v>0</v>
      </c>
      <c r="BW1340" s="6">
        <v>0</v>
      </c>
      <c r="BX1340" s="6">
        <v>0</v>
      </c>
      <c r="BY1340" s="6">
        <v>0</v>
      </c>
      <c r="BZ1340" s="6">
        <v>0</v>
      </c>
      <c r="CA1340" s="6">
        <v>0</v>
      </c>
      <c r="CB1340" s="6">
        <v>0</v>
      </c>
      <c r="CC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83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6">
        <v>0</v>
      </c>
      <c r="BN1341" s="6">
        <v>0</v>
      </c>
      <c r="BO1341" s="6">
        <v>0</v>
      </c>
      <c r="BP1341" s="6">
        <v>0</v>
      </c>
      <c r="BQ1341" s="6">
        <v>0</v>
      </c>
      <c r="BR1341" s="6">
        <v>0</v>
      </c>
      <c r="BS1341" s="6">
        <v>0</v>
      </c>
      <c r="BT1341" s="6">
        <v>0</v>
      </c>
      <c r="BU1341" s="6">
        <v>0</v>
      </c>
      <c r="BV1341" s="6">
        <v>0</v>
      </c>
      <c r="BW1341" s="6">
        <v>0</v>
      </c>
      <c r="BX1341" s="6">
        <v>0</v>
      </c>
      <c r="BY1341" s="6">
        <v>0</v>
      </c>
      <c r="BZ1341" s="6">
        <v>0</v>
      </c>
      <c r="CA1341" s="6">
        <v>0</v>
      </c>
      <c r="CB1341" s="6">
        <v>0</v>
      </c>
      <c r="CC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83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6">
        <v>0</v>
      </c>
      <c r="BN1342" s="6">
        <v>0</v>
      </c>
      <c r="BO1342" s="6">
        <v>0</v>
      </c>
      <c r="BP1342" s="6">
        <v>0</v>
      </c>
      <c r="BQ1342" s="6">
        <v>0</v>
      </c>
      <c r="BR1342" s="6">
        <v>0</v>
      </c>
      <c r="BS1342" s="6">
        <v>0</v>
      </c>
      <c r="BT1342" s="6">
        <v>0</v>
      </c>
      <c r="BU1342" s="6">
        <v>0</v>
      </c>
      <c r="BV1342" s="6">
        <v>0</v>
      </c>
      <c r="BW1342" s="6">
        <v>0</v>
      </c>
      <c r="BX1342" s="6">
        <v>0</v>
      </c>
      <c r="BY1342" s="6">
        <v>0</v>
      </c>
      <c r="BZ1342" s="6">
        <v>0</v>
      </c>
      <c r="CA1342" s="6">
        <v>0</v>
      </c>
      <c r="CB1342" s="6">
        <v>0</v>
      </c>
      <c r="CC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83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6">
        <v>0</v>
      </c>
      <c r="BN1343" s="6">
        <v>0</v>
      </c>
      <c r="BO1343" s="6">
        <v>0</v>
      </c>
      <c r="BP1343" s="6">
        <v>0</v>
      </c>
      <c r="BQ1343" s="6">
        <v>0</v>
      </c>
      <c r="BR1343" s="6">
        <v>0</v>
      </c>
      <c r="BS1343" s="6">
        <v>0</v>
      </c>
      <c r="BT1343" s="6">
        <v>0</v>
      </c>
      <c r="BU1343" s="6">
        <v>0</v>
      </c>
      <c r="BV1343" s="6">
        <v>0</v>
      </c>
      <c r="BW1343" s="6">
        <v>0</v>
      </c>
      <c r="BX1343" s="6">
        <v>0</v>
      </c>
      <c r="BY1343" s="6">
        <v>0</v>
      </c>
      <c r="BZ1343" s="6">
        <v>0</v>
      </c>
      <c r="CA1343" s="6">
        <v>0</v>
      </c>
      <c r="CB1343" s="6">
        <v>0</v>
      </c>
      <c r="CC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83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N1344" s="6">
        <v>0</v>
      </c>
      <c r="BO1344" s="6">
        <v>0</v>
      </c>
      <c r="BP1344" s="6">
        <v>0</v>
      </c>
      <c r="BQ1344" s="6">
        <v>0</v>
      </c>
      <c r="BR1344" s="6">
        <v>0</v>
      </c>
      <c r="BS1344" s="6">
        <v>0</v>
      </c>
      <c r="BT1344" s="6">
        <v>0</v>
      </c>
      <c r="BU1344" s="6">
        <v>0</v>
      </c>
      <c r="BV1344" s="6">
        <v>0</v>
      </c>
      <c r="BW1344" s="6">
        <v>0</v>
      </c>
      <c r="BX1344" s="6">
        <v>0</v>
      </c>
      <c r="BY1344" s="6">
        <v>0</v>
      </c>
      <c r="BZ1344" s="6">
        <v>0</v>
      </c>
      <c r="CA1344" s="6">
        <v>0</v>
      </c>
      <c r="CB1344" s="6">
        <v>0</v>
      </c>
      <c r="CC1344" s="6">
        <v>0</v>
      </c>
      <c r="CE1344" s="6" t="s">
        <v>3342</v>
      </c>
    </row>
    <row r="1345" spans="1:81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6">
        <v>0</v>
      </c>
      <c r="BN1345" s="6">
        <v>0</v>
      </c>
      <c r="BO1345" s="6">
        <v>0</v>
      </c>
      <c r="BP1345" s="6">
        <v>0</v>
      </c>
      <c r="BQ1345" s="6">
        <v>0</v>
      </c>
      <c r="BR1345" s="6">
        <v>0</v>
      </c>
      <c r="BS1345" s="6">
        <v>0</v>
      </c>
      <c r="BT1345" s="6">
        <v>0</v>
      </c>
      <c r="BU1345" s="6">
        <v>0</v>
      </c>
      <c r="BV1345" s="6">
        <v>0</v>
      </c>
      <c r="BW1345" s="6">
        <v>0</v>
      </c>
      <c r="BX1345" s="6">
        <v>0</v>
      </c>
      <c r="BY1345" s="6">
        <v>0</v>
      </c>
      <c r="BZ1345" s="6">
        <v>0</v>
      </c>
      <c r="CA1345" s="6">
        <v>0</v>
      </c>
      <c r="CB1345" s="6">
        <v>0</v>
      </c>
      <c r="CC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81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6">
        <v>0</v>
      </c>
      <c r="BN1346" s="6">
        <v>0</v>
      </c>
      <c r="BO1346" s="6">
        <v>0</v>
      </c>
      <c r="BP1346" s="6">
        <v>0</v>
      </c>
      <c r="BQ1346" s="6">
        <v>0</v>
      </c>
      <c r="BR1346" s="6">
        <v>0</v>
      </c>
      <c r="BS1346" s="6">
        <v>0</v>
      </c>
      <c r="BT1346" s="6">
        <v>0</v>
      </c>
      <c r="BU1346" s="6">
        <v>0</v>
      </c>
      <c r="BV1346" s="6">
        <v>0</v>
      </c>
      <c r="BW1346" s="6">
        <v>0</v>
      </c>
      <c r="BX1346" s="6">
        <v>0</v>
      </c>
      <c r="BY1346" s="6">
        <v>0</v>
      </c>
      <c r="BZ1346" s="6">
        <v>0</v>
      </c>
      <c r="CA1346" s="6">
        <v>0</v>
      </c>
      <c r="CB1346" s="6">
        <v>0</v>
      </c>
      <c r="CC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81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6">
        <v>0</v>
      </c>
      <c r="BN1347" s="6">
        <v>0</v>
      </c>
      <c r="BO1347" s="6">
        <v>0</v>
      </c>
      <c r="BP1347" s="6">
        <v>0</v>
      </c>
      <c r="BQ1347" s="6">
        <v>0</v>
      </c>
      <c r="BR1347" s="6">
        <v>0</v>
      </c>
      <c r="BS1347" s="6">
        <v>0</v>
      </c>
      <c r="BT1347" s="6">
        <v>0</v>
      </c>
      <c r="BU1347" s="6">
        <v>0</v>
      </c>
      <c r="BV1347" s="6">
        <v>0</v>
      </c>
      <c r="BW1347" s="6">
        <v>0</v>
      </c>
      <c r="BX1347" s="6">
        <v>0</v>
      </c>
      <c r="BY1347" s="6">
        <v>0</v>
      </c>
      <c r="BZ1347" s="6">
        <v>0</v>
      </c>
      <c r="CA1347" s="6">
        <v>0</v>
      </c>
      <c r="CB1347" s="6">
        <v>0</v>
      </c>
      <c r="CC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81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6">
        <v>0</v>
      </c>
      <c r="BN1348" s="6">
        <v>0</v>
      </c>
      <c r="BO1348" s="6">
        <v>0</v>
      </c>
      <c r="BP1348" s="6">
        <v>0</v>
      </c>
      <c r="BQ1348" s="6">
        <v>0</v>
      </c>
      <c r="BR1348" s="6">
        <v>0</v>
      </c>
      <c r="BS1348" s="6">
        <v>0</v>
      </c>
      <c r="BT1348" s="6">
        <v>0</v>
      </c>
      <c r="BU1348" s="6">
        <v>0</v>
      </c>
      <c r="BV1348" s="6">
        <v>0</v>
      </c>
      <c r="BW1348" s="6">
        <v>0</v>
      </c>
      <c r="BX1348" s="6">
        <v>0</v>
      </c>
      <c r="BY1348" s="6">
        <v>0</v>
      </c>
      <c r="BZ1348" s="6">
        <v>0</v>
      </c>
      <c r="CA1348" s="6">
        <v>0</v>
      </c>
      <c r="CB1348" s="6">
        <v>0</v>
      </c>
      <c r="CC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81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6">
        <v>0</v>
      </c>
      <c r="BN1349" s="6">
        <v>0</v>
      </c>
      <c r="BO1349" s="6">
        <v>0</v>
      </c>
      <c r="BP1349" s="6">
        <v>0</v>
      </c>
      <c r="BQ1349" s="6">
        <v>0</v>
      </c>
      <c r="BR1349" s="6">
        <v>0</v>
      </c>
      <c r="BS1349" s="6">
        <v>0</v>
      </c>
      <c r="BT1349" s="6">
        <v>0</v>
      </c>
      <c r="BU1349" s="6">
        <v>0</v>
      </c>
      <c r="BV1349" s="6">
        <v>0</v>
      </c>
      <c r="BW1349" s="6">
        <v>0</v>
      </c>
      <c r="BX1349" s="6">
        <v>0</v>
      </c>
      <c r="BY1349" s="6">
        <v>0</v>
      </c>
      <c r="BZ1349" s="6">
        <v>0</v>
      </c>
      <c r="CA1349" s="6">
        <v>0</v>
      </c>
      <c r="CB1349" s="6">
        <v>0</v>
      </c>
      <c r="CC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81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6">
        <v>0</v>
      </c>
      <c r="BN1350" s="6">
        <v>0</v>
      </c>
      <c r="BO1350" s="6">
        <v>0</v>
      </c>
      <c r="BP1350" s="6">
        <v>0</v>
      </c>
      <c r="BQ1350" s="6">
        <v>0</v>
      </c>
      <c r="BR1350" s="6">
        <v>0</v>
      </c>
      <c r="BS1350" s="6">
        <v>0</v>
      </c>
      <c r="BT1350" s="6">
        <v>0</v>
      </c>
      <c r="BU1350" s="6">
        <v>0</v>
      </c>
      <c r="BV1350" s="6">
        <v>0</v>
      </c>
      <c r="BW1350" s="6">
        <v>0</v>
      </c>
      <c r="BX1350" s="6">
        <v>0</v>
      </c>
      <c r="BY1350" s="6">
        <v>0</v>
      </c>
      <c r="BZ1350" s="6">
        <v>0</v>
      </c>
      <c r="CA1350" s="6">
        <v>0</v>
      </c>
      <c r="CB1350" s="6">
        <v>0</v>
      </c>
      <c r="CC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81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6">
        <v>0</v>
      </c>
      <c r="BN1351" s="6">
        <v>0</v>
      </c>
      <c r="BO1351" s="6">
        <v>0</v>
      </c>
      <c r="BP1351" s="6">
        <v>0</v>
      </c>
      <c r="BQ1351" s="6">
        <v>0</v>
      </c>
      <c r="BR1351" s="6">
        <v>0</v>
      </c>
      <c r="BS1351" s="6">
        <v>0</v>
      </c>
      <c r="BT1351" s="6">
        <v>0</v>
      </c>
      <c r="BU1351" s="6">
        <v>0</v>
      </c>
      <c r="BV1351" s="6">
        <v>0</v>
      </c>
      <c r="BW1351" s="6">
        <v>0</v>
      </c>
      <c r="BX1351" s="6">
        <v>0</v>
      </c>
      <c r="BY1351" s="6">
        <v>0</v>
      </c>
      <c r="BZ1351" s="6">
        <v>0</v>
      </c>
      <c r="CA1351" s="6">
        <v>0</v>
      </c>
      <c r="CB1351" s="6">
        <v>0</v>
      </c>
      <c r="CC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81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6">
        <v>0</v>
      </c>
      <c r="BN1352" s="6">
        <v>0</v>
      </c>
      <c r="BO1352" s="6">
        <v>0</v>
      </c>
      <c r="BP1352" s="6">
        <v>0</v>
      </c>
      <c r="BQ1352" s="6">
        <v>0</v>
      </c>
      <c r="BR1352" s="6">
        <v>0</v>
      </c>
      <c r="BS1352" s="6">
        <v>0</v>
      </c>
      <c r="BT1352" s="6">
        <v>0</v>
      </c>
      <c r="BU1352" s="6">
        <v>0</v>
      </c>
      <c r="BV1352" s="6">
        <v>0</v>
      </c>
      <c r="BW1352" s="6">
        <v>0</v>
      </c>
      <c r="BX1352" s="6">
        <v>0</v>
      </c>
      <c r="BY1352" s="6">
        <v>0</v>
      </c>
      <c r="BZ1352" s="6">
        <v>0</v>
      </c>
      <c r="CA1352" s="6">
        <v>0</v>
      </c>
      <c r="CB1352" s="6">
        <v>0</v>
      </c>
      <c r="CC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81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6">
        <v>0</v>
      </c>
      <c r="BN1353" s="6">
        <v>0</v>
      </c>
      <c r="BO1353" s="6">
        <v>0</v>
      </c>
      <c r="BP1353" s="6">
        <v>0</v>
      </c>
      <c r="BQ1353" s="6">
        <v>0</v>
      </c>
      <c r="BR1353" s="6">
        <v>0</v>
      </c>
      <c r="BS1353" s="6">
        <v>0</v>
      </c>
      <c r="BT1353" s="6">
        <v>0</v>
      </c>
      <c r="BU1353" s="6">
        <v>0</v>
      </c>
      <c r="BV1353" s="6">
        <v>0</v>
      </c>
      <c r="BW1353" s="6">
        <v>0</v>
      </c>
      <c r="BX1353" s="6">
        <v>0</v>
      </c>
      <c r="BY1353" s="6">
        <v>0</v>
      </c>
      <c r="BZ1353" s="6">
        <v>0</v>
      </c>
      <c r="CA1353" s="6">
        <v>0</v>
      </c>
      <c r="CB1353" s="6">
        <v>0</v>
      </c>
      <c r="CC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81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6">
        <v>0</v>
      </c>
      <c r="BN1354" s="6">
        <v>0</v>
      </c>
      <c r="BO1354" s="6">
        <v>0</v>
      </c>
      <c r="BP1354" s="6">
        <v>0</v>
      </c>
      <c r="BQ1354" s="6">
        <v>0</v>
      </c>
      <c r="BR1354" s="6">
        <v>0</v>
      </c>
      <c r="BS1354" s="6">
        <v>0</v>
      </c>
      <c r="BT1354" s="6">
        <v>0</v>
      </c>
      <c r="BU1354" s="6">
        <v>0</v>
      </c>
      <c r="BV1354" s="6">
        <v>0</v>
      </c>
      <c r="BW1354" s="6">
        <v>0</v>
      </c>
      <c r="BX1354" s="6">
        <v>0</v>
      </c>
      <c r="BY1354" s="6">
        <v>0</v>
      </c>
      <c r="BZ1354" s="6">
        <v>0</v>
      </c>
      <c r="CA1354" s="6">
        <v>0</v>
      </c>
      <c r="CB1354" s="6">
        <v>0</v>
      </c>
      <c r="CC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81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6">
        <v>0</v>
      </c>
      <c r="BN1355" s="6">
        <v>0</v>
      </c>
      <c r="BO1355" s="6">
        <v>0</v>
      </c>
      <c r="BP1355" s="6">
        <v>0</v>
      </c>
      <c r="BQ1355" s="6">
        <v>0</v>
      </c>
      <c r="BR1355" s="6">
        <v>0</v>
      </c>
      <c r="BS1355" s="6">
        <v>0</v>
      </c>
      <c r="BT1355" s="6">
        <v>0</v>
      </c>
      <c r="BU1355" s="6">
        <v>0</v>
      </c>
      <c r="BV1355" s="6">
        <v>0</v>
      </c>
      <c r="BW1355" s="6">
        <v>0</v>
      </c>
      <c r="BX1355" s="6">
        <v>0</v>
      </c>
      <c r="BY1355" s="6">
        <v>0</v>
      </c>
      <c r="BZ1355" s="6">
        <v>0</v>
      </c>
      <c r="CA1355" s="6">
        <v>0</v>
      </c>
      <c r="CB1355" s="6">
        <v>0</v>
      </c>
      <c r="CC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81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6">
        <v>0</v>
      </c>
      <c r="BN1356" s="6">
        <v>0</v>
      </c>
      <c r="BO1356" s="6">
        <v>0</v>
      </c>
      <c r="BP1356" s="6">
        <v>0</v>
      </c>
      <c r="BQ1356" s="6">
        <v>0</v>
      </c>
      <c r="BR1356" s="6">
        <v>0</v>
      </c>
      <c r="BS1356" s="6">
        <v>0</v>
      </c>
      <c r="BT1356" s="6">
        <v>0</v>
      </c>
      <c r="BU1356" s="6">
        <v>0</v>
      </c>
      <c r="BV1356" s="6">
        <v>0</v>
      </c>
      <c r="BW1356" s="6">
        <v>0</v>
      </c>
      <c r="BX1356" s="6">
        <v>0</v>
      </c>
      <c r="BY1356" s="6">
        <v>0</v>
      </c>
      <c r="BZ1356" s="6">
        <v>0</v>
      </c>
      <c r="CA1356" s="6">
        <v>0</v>
      </c>
      <c r="CB1356" s="6">
        <v>0</v>
      </c>
      <c r="CC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81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6">
        <v>0</v>
      </c>
      <c r="BN1357" s="6">
        <v>0</v>
      </c>
      <c r="BO1357" s="6">
        <v>0</v>
      </c>
      <c r="BP1357" s="6">
        <v>0</v>
      </c>
      <c r="BQ1357" s="6">
        <v>0</v>
      </c>
      <c r="BR1357" s="6">
        <v>0</v>
      </c>
      <c r="BS1357" s="6">
        <v>0</v>
      </c>
      <c r="BT1357" s="6">
        <v>0</v>
      </c>
      <c r="BU1357" s="6">
        <v>0</v>
      </c>
      <c r="BV1357" s="6">
        <v>0</v>
      </c>
      <c r="BW1357" s="6">
        <v>0</v>
      </c>
      <c r="BX1357" s="6">
        <v>0</v>
      </c>
      <c r="BY1357" s="6">
        <v>0</v>
      </c>
      <c r="BZ1357" s="6">
        <v>0</v>
      </c>
      <c r="CA1357" s="6">
        <v>0</v>
      </c>
      <c r="CB1357" s="6">
        <v>0</v>
      </c>
      <c r="CC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81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6">
        <v>0</v>
      </c>
      <c r="BN1358" s="6">
        <v>0</v>
      </c>
      <c r="BO1358" s="6">
        <v>0</v>
      </c>
      <c r="BP1358" s="6">
        <v>0</v>
      </c>
      <c r="BQ1358" s="6">
        <v>0</v>
      </c>
      <c r="BR1358" s="6">
        <v>0</v>
      </c>
      <c r="BS1358" s="6">
        <v>0</v>
      </c>
      <c r="BT1358" s="6">
        <v>0</v>
      </c>
      <c r="BU1358" s="6">
        <v>0</v>
      </c>
      <c r="BV1358" s="6">
        <v>0</v>
      </c>
      <c r="BW1358" s="6">
        <v>0</v>
      </c>
      <c r="BX1358" s="6">
        <v>0</v>
      </c>
      <c r="BY1358" s="6">
        <v>0</v>
      </c>
      <c r="BZ1358" s="6">
        <v>0</v>
      </c>
      <c r="CA1358" s="6">
        <v>0</v>
      </c>
      <c r="CB1358" s="6">
        <v>0</v>
      </c>
      <c r="CC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81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6">
        <v>0</v>
      </c>
      <c r="BN1359" s="6">
        <v>0</v>
      </c>
      <c r="BO1359" s="6">
        <v>0</v>
      </c>
      <c r="BP1359" s="6">
        <v>0</v>
      </c>
      <c r="BQ1359" s="6">
        <v>0</v>
      </c>
      <c r="BR1359" s="6">
        <v>0</v>
      </c>
      <c r="BS1359" s="6">
        <v>0</v>
      </c>
      <c r="BT1359" s="6">
        <v>0</v>
      </c>
      <c r="BU1359" s="6">
        <v>0</v>
      </c>
      <c r="BV1359" s="6">
        <v>0</v>
      </c>
      <c r="BW1359" s="6">
        <v>0</v>
      </c>
      <c r="BX1359" s="6">
        <v>0</v>
      </c>
      <c r="BY1359" s="6">
        <v>0</v>
      </c>
      <c r="BZ1359" s="6">
        <v>0</v>
      </c>
      <c r="CA1359" s="6">
        <v>0</v>
      </c>
      <c r="CB1359" s="6">
        <v>0</v>
      </c>
      <c r="CC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81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6">
        <v>0</v>
      </c>
      <c r="BN1360" s="6">
        <v>0</v>
      </c>
      <c r="BO1360" s="6">
        <v>0</v>
      </c>
      <c r="BP1360" s="6">
        <v>0</v>
      </c>
      <c r="BQ1360" s="6">
        <v>0</v>
      </c>
      <c r="BR1360" s="6">
        <v>0</v>
      </c>
      <c r="BS1360" s="6">
        <v>0</v>
      </c>
      <c r="BT1360" s="6">
        <v>0</v>
      </c>
      <c r="BU1360" s="6">
        <v>0</v>
      </c>
      <c r="BV1360" s="6">
        <v>0</v>
      </c>
      <c r="BW1360" s="6">
        <v>0</v>
      </c>
      <c r="BX1360" s="6">
        <v>0</v>
      </c>
      <c r="BY1360" s="6">
        <v>0</v>
      </c>
      <c r="BZ1360" s="6">
        <v>0</v>
      </c>
      <c r="CA1360" s="6">
        <v>0</v>
      </c>
      <c r="CB1360" s="6">
        <v>0</v>
      </c>
      <c r="CC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81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6">
        <v>0</v>
      </c>
      <c r="BN1361" s="6">
        <v>0</v>
      </c>
      <c r="BO1361" s="6">
        <v>0</v>
      </c>
      <c r="BP1361" s="6">
        <v>0</v>
      </c>
      <c r="BQ1361" s="6">
        <v>0</v>
      </c>
      <c r="BR1361" s="6">
        <v>0</v>
      </c>
      <c r="BS1361" s="6">
        <v>0</v>
      </c>
      <c r="BT1361" s="6">
        <v>0</v>
      </c>
      <c r="BU1361" s="6">
        <v>0</v>
      </c>
      <c r="BV1361" s="6">
        <v>0</v>
      </c>
      <c r="BW1361" s="6">
        <v>0</v>
      </c>
      <c r="BX1361" s="6">
        <v>0</v>
      </c>
      <c r="BY1361" s="6">
        <v>0</v>
      </c>
      <c r="BZ1361" s="6">
        <v>0</v>
      </c>
      <c r="CA1361" s="6">
        <v>0</v>
      </c>
      <c r="CB1361" s="6">
        <v>0</v>
      </c>
      <c r="CC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81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6">
        <v>0</v>
      </c>
      <c r="BN1362" s="6">
        <v>0</v>
      </c>
      <c r="BO1362" s="6">
        <v>0</v>
      </c>
      <c r="BP1362" s="6">
        <v>0</v>
      </c>
      <c r="BQ1362" s="6">
        <v>0</v>
      </c>
      <c r="BR1362" s="6">
        <v>0</v>
      </c>
      <c r="BS1362" s="6">
        <v>0</v>
      </c>
      <c r="BT1362" s="6">
        <v>0</v>
      </c>
      <c r="BU1362" s="6">
        <v>0</v>
      </c>
      <c r="BV1362" s="6">
        <v>0</v>
      </c>
      <c r="BW1362" s="6">
        <v>0</v>
      </c>
      <c r="BX1362" s="6">
        <v>0</v>
      </c>
      <c r="BY1362" s="6">
        <v>0</v>
      </c>
      <c r="BZ1362" s="6">
        <v>0</v>
      </c>
      <c r="CA1362" s="6">
        <v>0</v>
      </c>
      <c r="CB1362" s="6">
        <v>0</v>
      </c>
      <c r="CC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81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6">
        <v>0</v>
      </c>
      <c r="BN1363" s="6">
        <v>0</v>
      </c>
      <c r="BO1363" s="6">
        <v>0</v>
      </c>
      <c r="BP1363" s="6">
        <v>0</v>
      </c>
      <c r="BQ1363" s="6">
        <v>0</v>
      </c>
      <c r="BR1363" s="6">
        <v>0</v>
      </c>
      <c r="BS1363" s="6">
        <v>0</v>
      </c>
      <c r="BT1363" s="6">
        <v>0</v>
      </c>
      <c r="BU1363" s="6">
        <v>0</v>
      </c>
      <c r="BV1363" s="6">
        <v>0</v>
      </c>
      <c r="BW1363" s="6">
        <v>0</v>
      </c>
      <c r="BX1363" s="6">
        <v>0</v>
      </c>
      <c r="BY1363" s="6">
        <v>0</v>
      </c>
      <c r="BZ1363" s="6">
        <v>0</v>
      </c>
      <c r="CA1363" s="6">
        <v>0</v>
      </c>
      <c r="CB1363" s="6">
        <v>0</v>
      </c>
      <c r="CC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81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6">
        <v>0</v>
      </c>
      <c r="BN1364" s="6">
        <v>0</v>
      </c>
      <c r="BO1364" s="6">
        <v>0</v>
      </c>
      <c r="BP1364" s="6">
        <v>0</v>
      </c>
      <c r="BQ1364" s="6">
        <v>0</v>
      </c>
      <c r="BR1364" s="6">
        <v>0</v>
      </c>
      <c r="BS1364" s="6">
        <v>0</v>
      </c>
      <c r="BT1364" s="6">
        <v>0</v>
      </c>
      <c r="BU1364" s="6">
        <v>0</v>
      </c>
      <c r="BV1364" s="6">
        <v>0</v>
      </c>
      <c r="BW1364" s="6">
        <v>0</v>
      </c>
      <c r="BX1364" s="6">
        <v>0</v>
      </c>
      <c r="BY1364" s="6">
        <v>0</v>
      </c>
      <c r="BZ1364" s="6">
        <v>0</v>
      </c>
      <c r="CA1364" s="6">
        <v>0</v>
      </c>
      <c r="CB1364" s="6">
        <v>0</v>
      </c>
      <c r="CC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81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6">
        <v>0</v>
      </c>
      <c r="BN1365" s="6">
        <v>0</v>
      </c>
      <c r="BO1365" s="6">
        <v>0</v>
      </c>
      <c r="BP1365" s="6">
        <v>0</v>
      </c>
      <c r="BQ1365" s="6">
        <v>0</v>
      </c>
      <c r="BR1365" s="6">
        <v>0</v>
      </c>
      <c r="BS1365" s="6">
        <v>0</v>
      </c>
      <c r="BT1365" s="6">
        <v>0</v>
      </c>
      <c r="BU1365" s="6">
        <v>0</v>
      </c>
      <c r="BV1365" s="6">
        <v>0</v>
      </c>
      <c r="BW1365" s="6">
        <v>0</v>
      </c>
      <c r="BX1365" s="6">
        <v>0</v>
      </c>
      <c r="BY1365" s="6">
        <v>0</v>
      </c>
      <c r="BZ1365" s="6">
        <v>0</v>
      </c>
      <c r="CA1365" s="6">
        <v>0</v>
      </c>
      <c r="CB1365" s="6">
        <v>0</v>
      </c>
      <c r="CC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81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6">
        <v>0</v>
      </c>
      <c r="BN1366" s="6">
        <v>0</v>
      </c>
      <c r="BO1366" s="6">
        <v>0</v>
      </c>
      <c r="BP1366" s="6">
        <v>0</v>
      </c>
      <c r="BQ1366" s="6">
        <v>0</v>
      </c>
      <c r="BR1366" s="6">
        <v>0</v>
      </c>
      <c r="BS1366" s="6">
        <v>0</v>
      </c>
      <c r="BT1366" s="6">
        <v>0</v>
      </c>
      <c r="BU1366" s="6">
        <v>0</v>
      </c>
      <c r="BV1366" s="6">
        <v>0</v>
      </c>
      <c r="BW1366" s="6">
        <v>0</v>
      </c>
      <c r="BX1366" s="6">
        <v>0</v>
      </c>
      <c r="BY1366" s="6">
        <v>0</v>
      </c>
      <c r="BZ1366" s="6">
        <v>0</v>
      </c>
      <c r="CA1366" s="6">
        <v>0</v>
      </c>
      <c r="CB1366" s="6">
        <v>0</v>
      </c>
      <c r="CC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81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6">
        <v>0</v>
      </c>
      <c r="BN1367" s="6">
        <v>0</v>
      </c>
      <c r="BO1367" s="6">
        <v>0</v>
      </c>
      <c r="BP1367" s="6">
        <v>0</v>
      </c>
      <c r="BQ1367" s="6">
        <v>0</v>
      </c>
      <c r="BR1367" s="6">
        <v>0</v>
      </c>
      <c r="BS1367" s="6">
        <v>0</v>
      </c>
      <c r="BT1367" s="6">
        <v>0</v>
      </c>
      <c r="BU1367" s="6">
        <v>0</v>
      </c>
      <c r="BV1367" s="6">
        <v>0</v>
      </c>
      <c r="BW1367" s="6">
        <v>0</v>
      </c>
      <c r="BX1367" s="6">
        <v>0</v>
      </c>
      <c r="BY1367" s="6">
        <v>0</v>
      </c>
      <c r="BZ1367" s="6">
        <v>0</v>
      </c>
      <c r="CA1367" s="6">
        <v>0</v>
      </c>
      <c r="CB1367" s="6">
        <v>0</v>
      </c>
      <c r="CC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81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6">
        <v>0</v>
      </c>
      <c r="BN1368" s="6">
        <v>0</v>
      </c>
      <c r="BO1368" s="6">
        <v>0</v>
      </c>
      <c r="BP1368" s="6">
        <v>0</v>
      </c>
      <c r="BQ1368" s="6">
        <v>0</v>
      </c>
      <c r="BR1368" s="6">
        <v>0</v>
      </c>
      <c r="BS1368" s="6">
        <v>0</v>
      </c>
      <c r="BT1368" s="6">
        <v>0</v>
      </c>
      <c r="BU1368" s="6">
        <v>0</v>
      </c>
      <c r="BV1368" s="6">
        <v>0</v>
      </c>
      <c r="BW1368" s="6">
        <v>0</v>
      </c>
      <c r="BX1368" s="6">
        <v>0</v>
      </c>
      <c r="BY1368" s="6">
        <v>0</v>
      </c>
      <c r="BZ1368" s="6">
        <v>0</v>
      </c>
      <c r="CA1368" s="6">
        <v>0</v>
      </c>
      <c r="CB1368" s="6">
        <v>0</v>
      </c>
      <c r="CC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81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6">
        <v>0</v>
      </c>
      <c r="BN1369" s="6">
        <v>0</v>
      </c>
      <c r="BO1369" s="6">
        <v>0</v>
      </c>
      <c r="BP1369" s="6">
        <v>0</v>
      </c>
      <c r="BQ1369" s="6">
        <v>0</v>
      </c>
      <c r="BR1369" s="6">
        <v>0</v>
      </c>
      <c r="BS1369" s="6">
        <v>0</v>
      </c>
      <c r="BT1369" s="6">
        <v>0</v>
      </c>
      <c r="BU1369" s="6">
        <v>0</v>
      </c>
      <c r="BV1369" s="6">
        <v>0</v>
      </c>
      <c r="BW1369" s="6">
        <v>0</v>
      </c>
      <c r="BX1369" s="6">
        <v>0</v>
      </c>
      <c r="BY1369" s="6">
        <v>0</v>
      </c>
      <c r="BZ1369" s="6">
        <v>0</v>
      </c>
      <c r="CA1369" s="6">
        <v>0</v>
      </c>
      <c r="CB1369" s="6">
        <v>0</v>
      </c>
      <c r="CC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81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6">
        <v>0</v>
      </c>
      <c r="BN1370" s="6">
        <v>0</v>
      </c>
      <c r="BO1370" s="6">
        <v>0</v>
      </c>
      <c r="BP1370" s="6">
        <v>0</v>
      </c>
      <c r="BQ1370" s="6">
        <v>0</v>
      </c>
      <c r="BR1370" s="6">
        <v>0</v>
      </c>
      <c r="BS1370" s="6">
        <v>0</v>
      </c>
      <c r="BT1370" s="6">
        <v>0</v>
      </c>
      <c r="BU1370" s="6">
        <v>0</v>
      </c>
      <c r="BV1370" s="6">
        <v>0</v>
      </c>
      <c r="BW1370" s="6">
        <v>0</v>
      </c>
      <c r="BX1370" s="6">
        <v>0</v>
      </c>
      <c r="BY1370" s="6">
        <v>0</v>
      </c>
      <c r="BZ1370" s="6">
        <v>0</v>
      </c>
      <c r="CA1370" s="6">
        <v>0</v>
      </c>
      <c r="CB1370" s="6">
        <v>0</v>
      </c>
      <c r="CC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81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6">
        <v>0</v>
      </c>
      <c r="BN1371" s="6">
        <v>0</v>
      </c>
      <c r="BO1371" s="6">
        <v>0</v>
      </c>
      <c r="BP1371" s="6">
        <v>0</v>
      </c>
      <c r="BQ1371" s="6">
        <v>0</v>
      </c>
      <c r="BR1371" s="6">
        <v>0</v>
      </c>
      <c r="BS1371" s="6">
        <v>0</v>
      </c>
      <c r="BT1371" s="6">
        <v>0</v>
      </c>
      <c r="BU1371" s="6">
        <v>0</v>
      </c>
      <c r="BV1371" s="6">
        <v>0</v>
      </c>
      <c r="BW1371" s="6">
        <v>0</v>
      </c>
      <c r="BX1371" s="6">
        <v>0</v>
      </c>
      <c r="BY1371" s="6">
        <v>0</v>
      </c>
      <c r="BZ1371" s="6">
        <v>0</v>
      </c>
      <c r="CA1371" s="6">
        <v>0</v>
      </c>
      <c r="CB1371" s="6">
        <v>0</v>
      </c>
      <c r="CC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81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6">
        <v>0</v>
      </c>
      <c r="BN1372" s="6">
        <v>0</v>
      </c>
      <c r="BO1372" s="6">
        <v>0</v>
      </c>
      <c r="BP1372" s="6">
        <v>0</v>
      </c>
      <c r="BQ1372" s="6">
        <v>0</v>
      </c>
      <c r="BR1372" s="6">
        <v>0</v>
      </c>
      <c r="BS1372" s="6">
        <v>0</v>
      </c>
      <c r="BT1372" s="6">
        <v>0</v>
      </c>
      <c r="BU1372" s="6">
        <v>0</v>
      </c>
      <c r="BV1372" s="6">
        <v>0</v>
      </c>
      <c r="BW1372" s="6">
        <v>0</v>
      </c>
      <c r="BX1372" s="6">
        <v>0</v>
      </c>
      <c r="BY1372" s="6">
        <v>0</v>
      </c>
      <c r="BZ1372" s="6">
        <v>0</v>
      </c>
      <c r="CA1372" s="6">
        <v>0</v>
      </c>
      <c r="CB1372" s="6">
        <v>0</v>
      </c>
      <c r="CC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81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6">
        <v>0</v>
      </c>
      <c r="BN1373" s="6">
        <v>0</v>
      </c>
      <c r="BO1373" s="6">
        <v>0</v>
      </c>
      <c r="BP1373" s="6">
        <v>0</v>
      </c>
      <c r="BQ1373" s="6">
        <v>0</v>
      </c>
      <c r="BR1373" s="6">
        <v>0</v>
      </c>
      <c r="BS1373" s="6">
        <v>0</v>
      </c>
      <c r="BT1373" s="6">
        <v>0</v>
      </c>
      <c r="BU1373" s="6">
        <v>0</v>
      </c>
      <c r="BV1373" s="6">
        <v>0</v>
      </c>
      <c r="BW1373" s="6">
        <v>0</v>
      </c>
      <c r="BX1373" s="6">
        <v>0</v>
      </c>
      <c r="BY1373" s="6">
        <v>0</v>
      </c>
      <c r="BZ1373" s="6">
        <v>0</v>
      </c>
      <c r="CA1373" s="6">
        <v>0</v>
      </c>
      <c r="CB1373" s="6">
        <v>0</v>
      </c>
      <c r="CC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81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6">
        <v>0</v>
      </c>
      <c r="BN1374" s="6">
        <v>0</v>
      </c>
      <c r="BO1374" s="6">
        <v>0</v>
      </c>
      <c r="BP1374" s="6">
        <v>0</v>
      </c>
      <c r="BQ1374" s="6">
        <v>0</v>
      </c>
      <c r="BR1374" s="6">
        <v>0</v>
      </c>
      <c r="BS1374" s="6">
        <v>0</v>
      </c>
      <c r="BT1374" s="6">
        <v>0</v>
      </c>
      <c r="BU1374" s="6">
        <v>0</v>
      </c>
      <c r="BV1374" s="6">
        <v>0</v>
      </c>
      <c r="BW1374" s="6">
        <v>0</v>
      </c>
      <c r="BX1374" s="6">
        <v>0</v>
      </c>
      <c r="BY1374" s="6">
        <v>0</v>
      </c>
      <c r="BZ1374" s="6">
        <v>0</v>
      </c>
      <c r="CA1374" s="6">
        <v>0</v>
      </c>
      <c r="CB1374" s="6">
        <v>0</v>
      </c>
      <c r="CC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81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6">
        <v>0</v>
      </c>
      <c r="BN1375" s="6">
        <v>0</v>
      </c>
      <c r="BO1375" s="6">
        <v>0</v>
      </c>
      <c r="BP1375" s="6">
        <v>0</v>
      </c>
      <c r="BQ1375" s="6">
        <v>0</v>
      </c>
      <c r="BR1375" s="6">
        <v>0</v>
      </c>
      <c r="BS1375" s="6">
        <v>0</v>
      </c>
      <c r="BT1375" s="6">
        <v>0</v>
      </c>
      <c r="BU1375" s="6">
        <v>0</v>
      </c>
      <c r="BV1375" s="6">
        <v>0</v>
      </c>
      <c r="BW1375" s="6">
        <v>0</v>
      </c>
      <c r="BX1375" s="6">
        <v>0</v>
      </c>
      <c r="BY1375" s="6">
        <v>0</v>
      </c>
      <c r="BZ1375" s="6">
        <v>0</v>
      </c>
      <c r="CA1375" s="6">
        <v>0</v>
      </c>
      <c r="CB1375" s="6">
        <v>0</v>
      </c>
      <c r="CC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81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6">
        <v>0</v>
      </c>
      <c r="BN1376" s="6">
        <v>0</v>
      </c>
      <c r="BO1376" s="6">
        <v>0</v>
      </c>
      <c r="BP1376" s="6">
        <v>0</v>
      </c>
      <c r="BQ1376" s="6">
        <v>0</v>
      </c>
      <c r="BR1376" s="6">
        <v>0</v>
      </c>
      <c r="BS1376" s="6">
        <v>0</v>
      </c>
      <c r="BT1376" s="6">
        <v>0</v>
      </c>
      <c r="BU1376" s="6">
        <v>0</v>
      </c>
      <c r="BV1376" s="6">
        <v>0</v>
      </c>
      <c r="BW1376" s="6">
        <v>0</v>
      </c>
      <c r="BX1376" s="6">
        <v>0</v>
      </c>
      <c r="BY1376" s="6">
        <v>0</v>
      </c>
      <c r="BZ1376" s="6">
        <v>0</v>
      </c>
      <c r="CA1376" s="6">
        <v>0</v>
      </c>
      <c r="CB1376" s="6">
        <v>0</v>
      </c>
      <c r="CC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81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6">
        <v>0</v>
      </c>
      <c r="BN1377" s="6">
        <v>0</v>
      </c>
      <c r="BO1377" s="6">
        <v>0</v>
      </c>
      <c r="BP1377" s="6">
        <v>0</v>
      </c>
      <c r="BQ1377" s="6">
        <v>0</v>
      </c>
      <c r="BR1377" s="6">
        <v>0</v>
      </c>
      <c r="BS1377" s="6">
        <v>0</v>
      </c>
      <c r="BT1377" s="6">
        <v>0</v>
      </c>
      <c r="BU1377" s="6">
        <v>0</v>
      </c>
      <c r="BV1377" s="6">
        <v>0</v>
      </c>
      <c r="BW1377" s="6">
        <v>0</v>
      </c>
      <c r="BX1377" s="6">
        <v>0</v>
      </c>
      <c r="BY1377" s="6">
        <v>0</v>
      </c>
      <c r="BZ1377" s="6">
        <v>0</v>
      </c>
      <c r="CA1377" s="6">
        <v>0</v>
      </c>
      <c r="CB1377" s="6">
        <v>0</v>
      </c>
      <c r="CC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81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6">
        <v>0</v>
      </c>
      <c r="BN1378" s="6">
        <v>0</v>
      </c>
      <c r="BO1378" s="6">
        <v>0</v>
      </c>
      <c r="BP1378" s="6">
        <v>0</v>
      </c>
      <c r="BQ1378" s="6">
        <v>0</v>
      </c>
      <c r="BR1378" s="6">
        <v>0</v>
      </c>
      <c r="BS1378" s="6">
        <v>0</v>
      </c>
      <c r="BT1378" s="6">
        <v>0</v>
      </c>
      <c r="BU1378" s="6">
        <v>0</v>
      </c>
      <c r="BV1378" s="6">
        <v>0</v>
      </c>
      <c r="BW1378" s="6">
        <v>0</v>
      </c>
      <c r="BX1378" s="6">
        <v>0</v>
      </c>
      <c r="BY1378" s="6">
        <v>0</v>
      </c>
      <c r="BZ1378" s="6">
        <v>0</v>
      </c>
      <c r="CA1378" s="6">
        <v>0</v>
      </c>
      <c r="CB1378" s="6">
        <v>0</v>
      </c>
      <c r="CC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81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6">
        <v>0</v>
      </c>
      <c r="BN1379" s="6">
        <v>0</v>
      </c>
      <c r="BO1379" s="6">
        <v>0</v>
      </c>
      <c r="BP1379" s="6">
        <v>0</v>
      </c>
      <c r="BQ1379" s="6">
        <v>0</v>
      </c>
      <c r="BR1379" s="6">
        <v>0</v>
      </c>
      <c r="BS1379" s="6">
        <v>0</v>
      </c>
      <c r="BT1379" s="6">
        <v>0</v>
      </c>
      <c r="BU1379" s="6">
        <v>0</v>
      </c>
      <c r="BV1379" s="6">
        <v>0</v>
      </c>
      <c r="BW1379" s="6">
        <v>0</v>
      </c>
      <c r="BX1379" s="6">
        <v>0</v>
      </c>
      <c r="BY1379" s="6">
        <v>0</v>
      </c>
      <c r="BZ1379" s="6">
        <v>0</v>
      </c>
      <c r="CA1379" s="6">
        <v>0</v>
      </c>
      <c r="CB1379" s="6">
        <v>0</v>
      </c>
      <c r="CC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81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6">
        <v>0</v>
      </c>
      <c r="BN1380" s="6">
        <v>0</v>
      </c>
      <c r="BO1380" s="6">
        <v>0</v>
      </c>
      <c r="BP1380" s="6">
        <v>0</v>
      </c>
      <c r="BQ1380" s="6">
        <v>0</v>
      </c>
      <c r="BR1380" s="6">
        <v>0</v>
      </c>
      <c r="BS1380" s="6">
        <v>0</v>
      </c>
      <c r="BT1380" s="6">
        <v>0</v>
      </c>
      <c r="BU1380" s="6">
        <v>0</v>
      </c>
      <c r="BV1380" s="6">
        <v>0</v>
      </c>
      <c r="BW1380" s="6">
        <v>0</v>
      </c>
      <c r="BX1380" s="6">
        <v>0</v>
      </c>
      <c r="BY1380" s="6">
        <v>0</v>
      </c>
      <c r="BZ1380" s="6">
        <v>0</v>
      </c>
      <c r="CA1380" s="6">
        <v>0</v>
      </c>
      <c r="CB1380" s="6">
        <v>0</v>
      </c>
      <c r="CC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81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6">
        <v>0</v>
      </c>
      <c r="BN1381" s="6">
        <v>0</v>
      </c>
      <c r="BO1381" s="6">
        <v>0</v>
      </c>
      <c r="BP1381" s="6">
        <v>0</v>
      </c>
      <c r="BQ1381" s="6">
        <v>0</v>
      </c>
      <c r="BR1381" s="6">
        <v>0</v>
      </c>
      <c r="BS1381" s="6">
        <v>0</v>
      </c>
      <c r="BT1381" s="6">
        <v>0</v>
      </c>
      <c r="BU1381" s="6">
        <v>0</v>
      </c>
      <c r="BV1381" s="6">
        <v>0</v>
      </c>
      <c r="BW1381" s="6">
        <v>0</v>
      </c>
      <c r="BX1381" s="6">
        <v>0</v>
      </c>
      <c r="BY1381" s="6">
        <v>0</v>
      </c>
      <c r="BZ1381" s="6">
        <v>0</v>
      </c>
      <c r="CA1381" s="6">
        <v>0</v>
      </c>
      <c r="CB1381" s="6">
        <v>0</v>
      </c>
      <c r="CC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81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6">
        <v>0</v>
      </c>
      <c r="BN1382" s="6">
        <v>0</v>
      </c>
      <c r="BO1382" s="6">
        <v>0</v>
      </c>
      <c r="BP1382" s="6">
        <v>0</v>
      </c>
      <c r="BQ1382" s="6">
        <v>0</v>
      </c>
      <c r="BR1382" s="6">
        <v>0</v>
      </c>
      <c r="BS1382" s="6">
        <v>0</v>
      </c>
      <c r="BT1382" s="6">
        <v>0</v>
      </c>
      <c r="BU1382" s="6">
        <v>0</v>
      </c>
      <c r="BV1382" s="6">
        <v>0</v>
      </c>
      <c r="BW1382" s="6">
        <v>0</v>
      </c>
      <c r="BX1382" s="6">
        <v>0</v>
      </c>
      <c r="BY1382" s="6">
        <v>0</v>
      </c>
      <c r="BZ1382" s="6">
        <v>0</v>
      </c>
      <c r="CA1382" s="6">
        <v>0</v>
      </c>
      <c r="CB1382" s="6">
        <v>0</v>
      </c>
      <c r="CC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81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6">
        <v>0</v>
      </c>
      <c r="BN1383" s="6">
        <v>0</v>
      </c>
      <c r="BO1383" s="6">
        <v>0</v>
      </c>
      <c r="BP1383" s="6">
        <v>0</v>
      </c>
      <c r="BQ1383" s="6">
        <v>0</v>
      </c>
      <c r="BR1383" s="6">
        <v>0</v>
      </c>
      <c r="BS1383" s="6">
        <v>0</v>
      </c>
      <c r="BT1383" s="6">
        <v>0</v>
      </c>
      <c r="BU1383" s="6">
        <v>0</v>
      </c>
      <c r="BV1383" s="6">
        <v>0</v>
      </c>
      <c r="BW1383" s="6">
        <v>0</v>
      </c>
      <c r="BX1383" s="6">
        <v>0</v>
      </c>
      <c r="BY1383" s="6">
        <v>0</v>
      </c>
      <c r="BZ1383" s="6">
        <v>0</v>
      </c>
      <c r="CA1383" s="6">
        <v>0</v>
      </c>
      <c r="CB1383" s="6">
        <v>0</v>
      </c>
      <c r="CC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81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6">
        <v>0</v>
      </c>
      <c r="BN1384" s="6">
        <v>0</v>
      </c>
      <c r="BO1384" s="6">
        <v>0</v>
      </c>
      <c r="BP1384" s="6">
        <v>0</v>
      </c>
      <c r="BQ1384" s="6">
        <v>0</v>
      </c>
      <c r="BR1384" s="6">
        <v>0</v>
      </c>
      <c r="BS1384" s="6">
        <v>0</v>
      </c>
      <c r="BT1384" s="6">
        <v>0</v>
      </c>
      <c r="BU1384" s="6">
        <v>0</v>
      </c>
      <c r="BV1384" s="6">
        <v>0</v>
      </c>
      <c r="BW1384" s="6">
        <v>0</v>
      </c>
      <c r="BX1384" s="6">
        <v>0</v>
      </c>
      <c r="BY1384" s="6">
        <v>0</v>
      </c>
      <c r="BZ1384" s="6">
        <v>0</v>
      </c>
      <c r="CA1384" s="6">
        <v>0</v>
      </c>
      <c r="CB1384" s="6">
        <v>0</v>
      </c>
      <c r="CC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81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6">
        <v>0</v>
      </c>
      <c r="BN1385" s="6">
        <v>0</v>
      </c>
      <c r="BO1385" s="6">
        <v>0</v>
      </c>
      <c r="BP1385" s="6">
        <v>0</v>
      </c>
      <c r="BQ1385" s="6">
        <v>0</v>
      </c>
      <c r="BR1385" s="6">
        <v>0</v>
      </c>
      <c r="BS1385" s="6">
        <v>0</v>
      </c>
      <c r="BT1385" s="6">
        <v>0</v>
      </c>
      <c r="BU1385" s="6">
        <v>0</v>
      </c>
      <c r="BV1385" s="6">
        <v>0</v>
      </c>
      <c r="BW1385" s="6">
        <v>0</v>
      </c>
      <c r="BX1385" s="6">
        <v>0</v>
      </c>
      <c r="BY1385" s="6">
        <v>0</v>
      </c>
      <c r="BZ1385" s="6">
        <v>0</v>
      </c>
      <c r="CA1385" s="6">
        <v>0</v>
      </c>
      <c r="CB1385" s="6">
        <v>0</v>
      </c>
      <c r="CC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81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6">
        <v>0</v>
      </c>
      <c r="BN1386" s="6">
        <v>0</v>
      </c>
      <c r="BO1386" s="6">
        <v>0</v>
      </c>
      <c r="BP1386" s="6">
        <v>0</v>
      </c>
      <c r="BQ1386" s="6">
        <v>0</v>
      </c>
      <c r="BR1386" s="6">
        <v>0</v>
      </c>
      <c r="BS1386" s="6">
        <v>0</v>
      </c>
      <c r="BT1386" s="6">
        <v>0</v>
      </c>
      <c r="BU1386" s="6">
        <v>0</v>
      </c>
      <c r="BV1386" s="6">
        <v>0</v>
      </c>
      <c r="BW1386" s="6">
        <v>0</v>
      </c>
      <c r="BX1386" s="6">
        <v>0</v>
      </c>
      <c r="BY1386" s="6">
        <v>0</v>
      </c>
      <c r="BZ1386" s="6">
        <v>0</v>
      </c>
      <c r="CA1386" s="6">
        <v>0</v>
      </c>
      <c r="CB1386" s="6">
        <v>0</v>
      </c>
      <c r="CC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81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6">
        <v>0</v>
      </c>
      <c r="BN1387" s="6">
        <v>0</v>
      </c>
      <c r="BO1387" s="6">
        <v>0</v>
      </c>
      <c r="BP1387" s="6">
        <v>0</v>
      </c>
      <c r="BQ1387" s="6">
        <v>0</v>
      </c>
      <c r="BR1387" s="6">
        <v>0</v>
      </c>
      <c r="BS1387" s="6">
        <v>0</v>
      </c>
      <c r="BT1387" s="6">
        <v>0</v>
      </c>
      <c r="BU1387" s="6">
        <v>0</v>
      </c>
      <c r="BV1387" s="6">
        <v>0</v>
      </c>
      <c r="BW1387" s="6">
        <v>0</v>
      </c>
      <c r="BX1387" s="6">
        <v>0</v>
      </c>
      <c r="BY1387" s="6">
        <v>0</v>
      </c>
      <c r="BZ1387" s="6">
        <v>0</v>
      </c>
      <c r="CA1387" s="6">
        <v>0</v>
      </c>
      <c r="CB1387" s="6">
        <v>0</v>
      </c>
      <c r="CC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81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6">
        <v>0</v>
      </c>
      <c r="BN1388" s="6">
        <v>0</v>
      </c>
      <c r="BO1388" s="6">
        <v>0</v>
      </c>
      <c r="BP1388" s="6">
        <v>0</v>
      </c>
      <c r="BQ1388" s="6">
        <v>0</v>
      </c>
      <c r="BR1388" s="6">
        <v>0</v>
      </c>
      <c r="BS1388" s="6">
        <v>0</v>
      </c>
      <c r="BT1388" s="6">
        <v>0</v>
      </c>
      <c r="BU1388" s="6">
        <v>0</v>
      </c>
      <c r="BV1388" s="6">
        <v>0</v>
      </c>
      <c r="BW1388" s="6">
        <v>0</v>
      </c>
      <c r="BX1388" s="6">
        <v>0</v>
      </c>
      <c r="BY1388" s="6">
        <v>0</v>
      </c>
      <c r="BZ1388" s="6">
        <v>0</v>
      </c>
      <c r="CA1388" s="6">
        <v>0</v>
      </c>
      <c r="CB1388" s="6">
        <v>0</v>
      </c>
      <c r="CC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81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6">
        <v>0</v>
      </c>
      <c r="BN1389" s="6">
        <v>0</v>
      </c>
      <c r="BO1389" s="6">
        <v>0</v>
      </c>
      <c r="BP1389" s="6">
        <v>0</v>
      </c>
      <c r="BQ1389" s="6">
        <v>0</v>
      </c>
      <c r="BR1389" s="6">
        <v>0</v>
      </c>
      <c r="BS1389" s="6">
        <v>0</v>
      </c>
      <c r="BT1389" s="6">
        <v>0</v>
      </c>
      <c r="BU1389" s="6">
        <v>0</v>
      </c>
      <c r="BV1389" s="6">
        <v>0</v>
      </c>
      <c r="BW1389" s="6">
        <v>0</v>
      </c>
      <c r="BX1389" s="6">
        <v>0</v>
      </c>
      <c r="BY1389" s="6">
        <v>0</v>
      </c>
      <c r="BZ1389" s="6">
        <v>0</v>
      </c>
      <c r="CA1389" s="6">
        <v>0</v>
      </c>
      <c r="CB1389" s="6">
        <v>0</v>
      </c>
      <c r="CC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81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6">
        <v>0</v>
      </c>
      <c r="BN1390" s="6">
        <v>0</v>
      </c>
      <c r="BO1390" s="6">
        <v>0</v>
      </c>
      <c r="BP1390" s="6">
        <v>0</v>
      </c>
      <c r="BQ1390" s="6">
        <v>0</v>
      </c>
      <c r="BR1390" s="6">
        <v>0</v>
      </c>
      <c r="BS1390" s="6">
        <v>0</v>
      </c>
      <c r="BT1390" s="6">
        <v>0</v>
      </c>
      <c r="BU1390" s="6">
        <v>0</v>
      </c>
      <c r="BV1390" s="6">
        <v>0</v>
      </c>
      <c r="BW1390" s="6">
        <v>0</v>
      </c>
      <c r="BX1390" s="6">
        <v>0</v>
      </c>
      <c r="BY1390" s="6">
        <v>0</v>
      </c>
      <c r="BZ1390" s="6">
        <v>0</v>
      </c>
      <c r="CA1390" s="6">
        <v>0</v>
      </c>
      <c r="CB1390" s="6">
        <v>0</v>
      </c>
      <c r="CC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81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6">
        <v>0</v>
      </c>
      <c r="BN1391" s="6">
        <v>0</v>
      </c>
      <c r="BO1391" s="6">
        <v>0</v>
      </c>
      <c r="BP1391" s="6">
        <v>0</v>
      </c>
      <c r="BQ1391" s="6">
        <v>0</v>
      </c>
      <c r="BR1391" s="6">
        <v>0</v>
      </c>
      <c r="BS1391" s="6">
        <v>0</v>
      </c>
      <c r="BT1391" s="6">
        <v>0</v>
      </c>
      <c r="BU1391" s="6">
        <v>0</v>
      </c>
      <c r="BV1391" s="6">
        <v>0</v>
      </c>
      <c r="BW1391" s="6">
        <v>0</v>
      </c>
      <c r="BX1391" s="6">
        <v>0</v>
      </c>
      <c r="BY1391" s="6">
        <v>0</v>
      </c>
      <c r="BZ1391" s="6">
        <v>0</v>
      </c>
      <c r="CA1391" s="6">
        <v>0</v>
      </c>
      <c r="CB1391" s="6">
        <v>0</v>
      </c>
      <c r="CC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81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6">
        <v>0</v>
      </c>
      <c r="BN1392" s="6">
        <v>0</v>
      </c>
      <c r="BO1392" s="6">
        <v>0</v>
      </c>
      <c r="BP1392" s="6">
        <v>0</v>
      </c>
      <c r="BQ1392" s="6">
        <v>0</v>
      </c>
      <c r="BR1392" s="6">
        <v>0</v>
      </c>
      <c r="BS1392" s="6">
        <v>0</v>
      </c>
      <c r="BT1392" s="6">
        <v>0</v>
      </c>
      <c r="BU1392" s="6">
        <v>0</v>
      </c>
      <c r="BV1392" s="6">
        <v>0</v>
      </c>
      <c r="BW1392" s="6">
        <v>0</v>
      </c>
      <c r="BX1392" s="6">
        <v>0</v>
      </c>
      <c r="BY1392" s="6">
        <v>0</v>
      </c>
      <c r="BZ1392" s="6">
        <v>0</v>
      </c>
      <c r="CA1392" s="6">
        <v>0</v>
      </c>
      <c r="CB1392" s="6">
        <v>0</v>
      </c>
      <c r="CC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84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6">
        <v>0</v>
      </c>
      <c r="BN1393" s="6">
        <v>0</v>
      </c>
      <c r="BO1393" s="6">
        <v>0</v>
      </c>
      <c r="BP1393" s="6">
        <v>0</v>
      </c>
      <c r="BQ1393" s="6">
        <v>0</v>
      </c>
      <c r="BR1393" s="6">
        <v>0</v>
      </c>
      <c r="BS1393" s="6">
        <v>0</v>
      </c>
      <c r="BT1393" s="6">
        <v>0</v>
      </c>
      <c r="BU1393" s="6">
        <v>0</v>
      </c>
      <c r="BV1393" s="6">
        <v>0</v>
      </c>
      <c r="BW1393" s="6">
        <v>0</v>
      </c>
      <c r="BX1393" s="6">
        <v>0</v>
      </c>
      <c r="BY1393" s="6">
        <v>0</v>
      </c>
      <c r="BZ1393" s="6">
        <v>0</v>
      </c>
      <c r="CA1393" s="6">
        <v>0</v>
      </c>
      <c r="CB1393" s="6">
        <v>0</v>
      </c>
      <c r="CC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84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6">
        <v>0</v>
      </c>
      <c r="BN1394" s="6">
        <v>0</v>
      </c>
      <c r="BO1394" s="6">
        <v>0</v>
      </c>
      <c r="BP1394" s="6">
        <v>0</v>
      </c>
      <c r="BQ1394" s="6">
        <v>0</v>
      </c>
      <c r="BR1394" s="6">
        <v>0</v>
      </c>
      <c r="BS1394" s="6">
        <v>0</v>
      </c>
      <c r="BT1394" s="6">
        <v>0</v>
      </c>
      <c r="BU1394" s="6">
        <v>0</v>
      </c>
      <c r="BV1394" s="6">
        <v>0</v>
      </c>
      <c r="BW1394" s="6">
        <v>0</v>
      </c>
      <c r="BX1394" s="6">
        <v>0</v>
      </c>
      <c r="BY1394" s="6">
        <v>0</v>
      </c>
      <c r="BZ1394" s="6">
        <v>0</v>
      </c>
      <c r="CA1394" s="6">
        <v>0</v>
      </c>
      <c r="CB1394" s="6">
        <v>0</v>
      </c>
      <c r="CC1394" s="75">
        <f>IF(Table3[[#This Row],[Type]]="EM",IF((Table3[[#This Row],[Diameter]]/2)-Table3[[#This Row],[CornerRadius]]-0.012&gt;0,(Table3[[#This Row],[Diameter]]/2)-Table3[[#This Row],[CornerRadius]]-0.012,0),)</f>
        <v>0</v>
      </c>
      <c r="CF1394" s="6" t="s">
        <v>3498</v>
      </c>
    </row>
    <row r="1395" spans="1:84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6">
        <v>0</v>
      </c>
      <c r="BN1395" s="6">
        <v>0</v>
      </c>
      <c r="BO1395" s="6">
        <v>0</v>
      </c>
      <c r="BP1395" s="6">
        <v>0</v>
      </c>
      <c r="BQ1395" s="6">
        <v>0</v>
      </c>
      <c r="BR1395" s="6">
        <v>0</v>
      </c>
      <c r="BS1395" s="6">
        <v>0</v>
      </c>
      <c r="BT1395" s="6">
        <v>0</v>
      </c>
      <c r="BU1395" s="6">
        <v>0</v>
      </c>
      <c r="BV1395" s="6">
        <v>0</v>
      </c>
      <c r="BW1395" s="6">
        <v>0</v>
      </c>
      <c r="BX1395" s="6">
        <v>0</v>
      </c>
      <c r="BY1395" s="6">
        <v>0</v>
      </c>
      <c r="BZ1395" s="6">
        <v>0</v>
      </c>
      <c r="CA1395" s="6">
        <v>0</v>
      </c>
      <c r="CB1395" s="6">
        <v>0</v>
      </c>
      <c r="CC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84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6">
        <v>0</v>
      </c>
      <c r="BN1396" s="6">
        <v>0</v>
      </c>
      <c r="BO1396" s="6">
        <v>0</v>
      </c>
      <c r="BP1396" s="6">
        <v>0</v>
      </c>
      <c r="BQ1396" s="6">
        <v>0</v>
      </c>
      <c r="BR1396" s="6">
        <v>0</v>
      </c>
      <c r="BS1396" s="6">
        <v>0</v>
      </c>
      <c r="BT1396" s="6">
        <v>0</v>
      </c>
      <c r="BU1396" s="6">
        <v>0</v>
      </c>
      <c r="BV1396" s="6">
        <v>0</v>
      </c>
      <c r="BW1396" s="6">
        <v>0</v>
      </c>
      <c r="BX1396" s="6">
        <v>0</v>
      </c>
      <c r="BY1396" s="6">
        <v>0</v>
      </c>
      <c r="BZ1396" s="6">
        <v>0</v>
      </c>
      <c r="CA1396" s="6">
        <v>0</v>
      </c>
      <c r="CB1396" s="6">
        <v>0</v>
      </c>
      <c r="CC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84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6">
        <v>0</v>
      </c>
      <c r="BN1397" s="6">
        <v>0</v>
      </c>
      <c r="BO1397" s="6">
        <v>0</v>
      </c>
      <c r="BP1397" s="6">
        <v>0</v>
      </c>
      <c r="BQ1397" s="6">
        <v>0</v>
      </c>
      <c r="BR1397" s="6">
        <v>0</v>
      </c>
      <c r="BS1397" s="6">
        <v>0</v>
      </c>
      <c r="BT1397" s="6">
        <v>0</v>
      </c>
      <c r="BU1397" s="6">
        <v>0</v>
      </c>
      <c r="BV1397" s="6">
        <v>0</v>
      </c>
      <c r="BW1397" s="6">
        <v>0</v>
      </c>
      <c r="BX1397" s="6">
        <v>0</v>
      </c>
      <c r="BY1397" s="6">
        <v>0</v>
      </c>
      <c r="BZ1397" s="6">
        <v>0</v>
      </c>
      <c r="CA1397" s="6">
        <v>0</v>
      </c>
      <c r="CB1397" s="6">
        <v>0</v>
      </c>
      <c r="CC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84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6">
        <v>0</v>
      </c>
      <c r="BN1398" s="6">
        <v>0</v>
      </c>
      <c r="BO1398" s="6">
        <v>0</v>
      </c>
      <c r="BP1398" s="6">
        <v>0</v>
      </c>
      <c r="BQ1398" s="6">
        <v>0</v>
      </c>
      <c r="BR1398" s="6">
        <v>0</v>
      </c>
      <c r="BS1398" s="6">
        <v>0</v>
      </c>
      <c r="BT1398" s="6">
        <v>0</v>
      </c>
      <c r="BU1398" s="6">
        <v>0</v>
      </c>
      <c r="BV1398" s="6">
        <v>0</v>
      </c>
      <c r="BW1398" s="6">
        <v>0</v>
      </c>
      <c r="BX1398" s="6">
        <v>0</v>
      </c>
      <c r="BY1398" s="6">
        <v>0</v>
      </c>
      <c r="BZ1398" s="6">
        <v>0</v>
      </c>
      <c r="CA1398" s="6">
        <v>0</v>
      </c>
      <c r="CB1398" s="6">
        <v>0</v>
      </c>
      <c r="CC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84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6">
        <v>0</v>
      </c>
      <c r="BN1399" s="6">
        <v>0</v>
      </c>
      <c r="BO1399" s="6">
        <v>0</v>
      </c>
      <c r="BP1399" s="6">
        <v>0</v>
      </c>
      <c r="BQ1399" s="6">
        <v>0</v>
      </c>
      <c r="BR1399" s="6">
        <v>0</v>
      </c>
      <c r="BS1399" s="6">
        <v>0</v>
      </c>
      <c r="BT1399" s="6">
        <v>0</v>
      </c>
      <c r="BU1399" s="6">
        <v>0</v>
      </c>
      <c r="BV1399" s="6">
        <v>0</v>
      </c>
      <c r="BW1399" s="6">
        <v>0</v>
      </c>
      <c r="BX1399" s="6">
        <v>0</v>
      </c>
      <c r="BY1399" s="6">
        <v>0</v>
      </c>
      <c r="BZ1399" s="6">
        <v>0</v>
      </c>
      <c r="CA1399" s="6">
        <v>0</v>
      </c>
      <c r="CB1399" s="6">
        <v>0</v>
      </c>
      <c r="CC1399" s="75">
        <v>0.22800000000000001</v>
      </c>
    </row>
    <row r="1400" spans="1:84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6">
        <v>0</v>
      </c>
      <c r="BN1400" s="6">
        <v>0</v>
      </c>
      <c r="BO1400" s="6">
        <v>0</v>
      </c>
      <c r="BP1400" s="6">
        <v>0</v>
      </c>
      <c r="BQ1400" s="6">
        <v>0</v>
      </c>
      <c r="BR1400" s="6">
        <v>0</v>
      </c>
      <c r="BS1400" s="6">
        <v>0</v>
      </c>
      <c r="BT1400" s="6">
        <v>0</v>
      </c>
      <c r="BU1400" s="6">
        <v>0</v>
      </c>
      <c r="BV1400" s="6">
        <v>0</v>
      </c>
      <c r="BW1400" s="6">
        <v>0</v>
      </c>
      <c r="BX1400" s="6">
        <v>0</v>
      </c>
      <c r="BY1400" s="6">
        <v>0</v>
      </c>
      <c r="BZ1400" s="6">
        <v>0</v>
      </c>
      <c r="CA1400" s="6">
        <v>0</v>
      </c>
      <c r="CB1400" s="6">
        <v>0</v>
      </c>
      <c r="CC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84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2</v>
      </c>
      <c r="AW1401" s="6">
        <v>0</v>
      </c>
      <c r="AX1401" s="6">
        <v>0</v>
      </c>
      <c r="AY1401" s="6">
        <v>0</v>
      </c>
      <c r="AZ1401" s="6">
        <v>2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6">
        <v>0</v>
      </c>
      <c r="BN1401" s="6">
        <v>0</v>
      </c>
      <c r="BO1401" s="6">
        <v>1</v>
      </c>
      <c r="BP1401" s="6">
        <v>0</v>
      </c>
      <c r="BQ1401" s="6">
        <v>0</v>
      </c>
      <c r="BR1401" s="6">
        <v>0</v>
      </c>
      <c r="BS1401" s="6">
        <v>0</v>
      </c>
      <c r="BT1401" s="6">
        <v>0</v>
      </c>
      <c r="BU1401" s="6">
        <v>0</v>
      </c>
      <c r="BV1401" s="6">
        <v>0</v>
      </c>
      <c r="BW1401" s="6">
        <v>0</v>
      </c>
      <c r="BX1401" s="6">
        <v>0</v>
      </c>
      <c r="BY1401" s="6">
        <v>0</v>
      </c>
      <c r="BZ1401" s="6">
        <v>0</v>
      </c>
      <c r="CA1401" s="6">
        <v>0</v>
      </c>
      <c r="CB1401" s="6">
        <v>0</v>
      </c>
      <c r="CC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84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6">
        <v>0</v>
      </c>
      <c r="BN1402" s="6">
        <v>0</v>
      </c>
      <c r="BO1402" s="6">
        <v>0</v>
      </c>
      <c r="BP1402" s="6">
        <v>0</v>
      </c>
      <c r="BQ1402" s="6">
        <v>0</v>
      </c>
      <c r="BR1402" s="6">
        <v>0</v>
      </c>
      <c r="BS1402" s="6">
        <v>0</v>
      </c>
      <c r="BT1402" s="6">
        <v>0</v>
      </c>
      <c r="BU1402" s="6">
        <v>0</v>
      </c>
      <c r="BV1402" s="6">
        <v>0</v>
      </c>
      <c r="BW1402" s="6">
        <v>0</v>
      </c>
      <c r="BX1402" s="6">
        <v>0</v>
      </c>
      <c r="BY1402" s="6">
        <v>0</v>
      </c>
      <c r="BZ1402" s="6">
        <v>0</v>
      </c>
      <c r="CA1402" s="6">
        <v>0</v>
      </c>
      <c r="CB1402" s="6">
        <v>0</v>
      </c>
      <c r="CC1402" s="75">
        <v>0</v>
      </c>
    </row>
    <row r="1403" spans="1:84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6">
        <v>0</v>
      </c>
      <c r="BN1403" s="6">
        <v>0</v>
      </c>
      <c r="BO1403" s="6">
        <v>0</v>
      </c>
      <c r="BP1403" s="6">
        <v>0</v>
      </c>
      <c r="BQ1403" s="6">
        <v>0</v>
      </c>
      <c r="BR1403" s="6">
        <v>0</v>
      </c>
      <c r="BS1403" s="6">
        <v>0</v>
      </c>
      <c r="BT1403" s="6">
        <v>0</v>
      </c>
      <c r="BU1403" s="6">
        <v>0</v>
      </c>
      <c r="BV1403" s="6">
        <v>0</v>
      </c>
      <c r="BW1403" s="6">
        <v>0</v>
      </c>
      <c r="BX1403" s="6">
        <v>0</v>
      </c>
      <c r="BY1403" s="6">
        <v>0</v>
      </c>
      <c r="BZ1403" s="6">
        <v>0</v>
      </c>
      <c r="CA1403" s="6">
        <v>0</v>
      </c>
      <c r="CB1403" s="6">
        <v>0</v>
      </c>
      <c r="CC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84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6">
        <v>0</v>
      </c>
      <c r="BN1404" s="6">
        <v>0</v>
      </c>
      <c r="BO1404" s="6">
        <v>0</v>
      </c>
      <c r="BP1404" s="6">
        <v>0</v>
      </c>
      <c r="BQ1404" s="6">
        <v>0</v>
      </c>
      <c r="BR1404" s="6">
        <v>0</v>
      </c>
      <c r="BS1404" s="6">
        <v>0</v>
      </c>
      <c r="BT1404" s="6">
        <v>0</v>
      </c>
      <c r="BU1404" s="6">
        <v>0</v>
      </c>
      <c r="BV1404" s="6">
        <v>0</v>
      </c>
      <c r="BW1404" s="6">
        <v>0</v>
      </c>
      <c r="BX1404" s="6">
        <v>0</v>
      </c>
      <c r="BY1404" s="6">
        <v>0</v>
      </c>
      <c r="BZ1404" s="6">
        <v>0</v>
      </c>
      <c r="CA1404" s="6">
        <v>0</v>
      </c>
      <c r="CB1404" s="6">
        <v>0</v>
      </c>
      <c r="CC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84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6">
        <v>0</v>
      </c>
      <c r="BN1405" s="6">
        <v>0</v>
      </c>
      <c r="BO1405" s="6">
        <v>0</v>
      </c>
      <c r="BP1405" s="6">
        <v>0</v>
      </c>
      <c r="BQ1405" s="6">
        <v>0</v>
      </c>
      <c r="BR1405" s="6">
        <v>0</v>
      </c>
      <c r="BS1405" s="6">
        <v>0</v>
      </c>
      <c r="BT1405" s="6">
        <v>0</v>
      </c>
      <c r="BU1405" s="6">
        <v>0</v>
      </c>
      <c r="BV1405" s="6">
        <v>0</v>
      </c>
      <c r="BW1405" s="6">
        <v>0</v>
      </c>
      <c r="BX1405" s="6">
        <v>0</v>
      </c>
      <c r="BY1405" s="6">
        <v>0</v>
      </c>
      <c r="BZ1405" s="6">
        <v>0</v>
      </c>
      <c r="CA1405" s="6">
        <v>0</v>
      </c>
      <c r="CB1405" s="6">
        <v>0</v>
      </c>
      <c r="CC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84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6">
        <v>0</v>
      </c>
      <c r="BN1406" s="6">
        <v>0</v>
      </c>
      <c r="BO1406" s="6">
        <v>0</v>
      </c>
      <c r="BP1406" s="6">
        <v>0</v>
      </c>
      <c r="BQ1406" s="6">
        <v>0</v>
      </c>
      <c r="BR1406" s="6">
        <v>0</v>
      </c>
      <c r="BS1406" s="6">
        <v>0</v>
      </c>
      <c r="BT1406" s="6">
        <v>0</v>
      </c>
      <c r="BU1406" s="6">
        <v>0</v>
      </c>
      <c r="BV1406" s="6">
        <v>0</v>
      </c>
      <c r="BW1406" s="6">
        <v>0</v>
      </c>
      <c r="BX1406" s="6">
        <v>0</v>
      </c>
      <c r="BY1406" s="6">
        <v>0</v>
      </c>
      <c r="BZ1406" s="6">
        <v>0</v>
      </c>
      <c r="CA1406" s="6">
        <v>0</v>
      </c>
      <c r="CB1406" s="6">
        <v>0</v>
      </c>
      <c r="CC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84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6">
        <v>0</v>
      </c>
      <c r="BN1407" s="6">
        <v>0</v>
      </c>
      <c r="BO1407" s="6">
        <v>0</v>
      </c>
      <c r="BP1407" s="6">
        <v>0</v>
      </c>
      <c r="BQ1407" s="6">
        <v>0</v>
      </c>
      <c r="BR1407" s="6">
        <v>0</v>
      </c>
      <c r="BS1407" s="6">
        <v>0</v>
      </c>
      <c r="BT1407" s="6">
        <v>0</v>
      </c>
      <c r="BU1407" s="6">
        <v>0</v>
      </c>
      <c r="BV1407" s="6">
        <v>0</v>
      </c>
      <c r="BW1407" s="6">
        <v>0</v>
      </c>
      <c r="BX1407" s="6">
        <v>0</v>
      </c>
      <c r="BY1407" s="6">
        <v>0</v>
      </c>
      <c r="BZ1407" s="6">
        <v>0</v>
      </c>
      <c r="CA1407" s="6">
        <v>0</v>
      </c>
      <c r="CB1407" s="6">
        <v>0</v>
      </c>
      <c r="CC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84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6">
        <v>0</v>
      </c>
      <c r="BN1408" s="6">
        <v>0</v>
      </c>
      <c r="BO1408" s="6">
        <v>0</v>
      </c>
      <c r="BP1408" s="6">
        <v>0</v>
      </c>
      <c r="BQ1408" s="6">
        <v>0</v>
      </c>
      <c r="BR1408" s="6">
        <v>0</v>
      </c>
      <c r="BS1408" s="6">
        <v>0</v>
      </c>
      <c r="BT1408" s="6">
        <v>0</v>
      </c>
      <c r="BU1408" s="6">
        <v>0</v>
      </c>
      <c r="BV1408" s="6">
        <v>0</v>
      </c>
      <c r="BW1408" s="6">
        <v>0</v>
      </c>
      <c r="BX1408" s="6">
        <v>0</v>
      </c>
      <c r="BY1408" s="6">
        <v>0</v>
      </c>
      <c r="BZ1408" s="6">
        <v>0</v>
      </c>
      <c r="CA1408" s="6">
        <v>0</v>
      </c>
      <c r="CB1408" s="6">
        <v>0</v>
      </c>
      <c r="CC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81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6">
        <v>0</v>
      </c>
      <c r="BN1409" s="6">
        <v>0</v>
      </c>
      <c r="BO1409" s="6">
        <v>0</v>
      </c>
      <c r="BP1409" s="6">
        <v>0</v>
      </c>
      <c r="BQ1409" s="6">
        <v>0</v>
      </c>
      <c r="BR1409" s="6">
        <v>0</v>
      </c>
      <c r="BS1409" s="6">
        <v>0</v>
      </c>
      <c r="BT1409" s="6">
        <v>0</v>
      </c>
      <c r="BU1409" s="6">
        <v>0</v>
      </c>
      <c r="BV1409" s="6">
        <v>0</v>
      </c>
      <c r="BW1409" s="6">
        <v>0</v>
      </c>
      <c r="BX1409" s="6">
        <v>0</v>
      </c>
      <c r="BY1409" s="6">
        <v>0</v>
      </c>
      <c r="BZ1409" s="6">
        <v>0</v>
      </c>
      <c r="CA1409" s="6">
        <v>0</v>
      </c>
      <c r="CB1409" s="6">
        <v>0</v>
      </c>
      <c r="CC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81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6">
        <v>0</v>
      </c>
      <c r="BN1410" s="6">
        <v>0</v>
      </c>
      <c r="BO1410" s="6">
        <v>0</v>
      </c>
      <c r="BP1410" s="6">
        <v>0</v>
      </c>
      <c r="BQ1410" s="6">
        <v>0</v>
      </c>
      <c r="BR1410" s="6">
        <v>0</v>
      </c>
      <c r="BS1410" s="6">
        <v>0</v>
      </c>
      <c r="BT1410" s="6">
        <v>0</v>
      </c>
      <c r="BU1410" s="6">
        <v>0</v>
      </c>
      <c r="BV1410" s="6">
        <v>0</v>
      </c>
      <c r="BW1410" s="6">
        <v>0</v>
      </c>
      <c r="BX1410" s="6">
        <v>0</v>
      </c>
      <c r="BY1410" s="6">
        <v>0</v>
      </c>
      <c r="BZ1410" s="6">
        <v>0</v>
      </c>
      <c r="CA1410" s="6">
        <v>0</v>
      </c>
      <c r="CB1410" s="6">
        <v>0</v>
      </c>
      <c r="CC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81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6">
        <v>0</v>
      </c>
      <c r="BN1411" s="6">
        <v>0</v>
      </c>
      <c r="BO1411" s="6">
        <v>0</v>
      </c>
      <c r="BP1411" s="6">
        <v>0</v>
      </c>
      <c r="BQ1411" s="6">
        <v>0</v>
      </c>
      <c r="BR1411" s="6">
        <v>0</v>
      </c>
      <c r="BS1411" s="6">
        <v>0</v>
      </c>
      <c r="BT1411" s="6">
        <v>0</v>
      </c>
      <c r="BU1411" s="6">
        <v>0</v>
      </c>
      <c r="BV1411" s="6">
        <v>0</v>
      </c>
      <c r="BW1411" s="6">
        <v>0</v>
      </c>
      <c r="BX1411" s="6">
        <v>0</v>
      </c>
      <c r="BY1411" s="6">
        <v>0</v>
      </c>
      <c r="BZ1411" s="6">
        <v>0</v>
      </c>
      <c r="CA1411" s="6">
        <v>0</v>
      </c>
      <c r="CB1411" s="6">
        <v>0</v>
      </c>
      <c r="CC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81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6">
        <v>0</v>
      </c>
      <c r="BN1412" s="6">
        <v>0</v>
      </c>
      <c r="BO1412" s="6">
        <v>0</v>
      </c>
      <c r="BP1412" s="6">
        <v>0</v>
      </c>
      <c r="BQ1412" s="6">
        <v>0</v>
      </c>
      <c r="BR1412" s="6">
        <v>0</v>
      </c>
      <c r="BS1412" s="6">
        <v>0</v>
      </c>
      <c r="BT1412" s="6">
        <v>0</v>
      </c>
      <c r="BU1412" s="6">
        <v>0</v>
      </c>
      <c r="BV1412" s="6">
        <v>0</v>
      </c>
      <c r="BW1412" s="6">
        <v>0</v>
      </c>
      <c r="BX1412" s="6">
        <v>0</v>
      </c>
      <c r="BY1412" s="6">
        <v>0</v>
      </c>
      <c r="BZ1412" s="6">
        <v>0</v>
      </c>
      <c r="CA1412" s="6">
        <v>0</v>
      </c>
      <c r="CB1412" s="6">
        <v>0</v>
      </c>
      <c r="CC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81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6">
        <v>0</v>
      </c>
      <c r="BN1413" s="6">
        <v>0</v>
      </c>
      <c r="BO1413" s="6">
        <v>0</v>
      </c>
      <c r="BP1413" s="6">
        <v>0</v>
      </c>
      <c r="BQ1413" s="6">
        <v>0</v>
      </c>
      <c r="BR1413" s="6">
        <v>0</v>
      </c>
      <c r="BS1413" s="6">
        <v>0</v>
      </c>
      <c r="BT1413" s="6">
        <v>0</v>
      </c>
      <c r="BU1413" s="6">
        <v>0</v>
      </c>
      <c r="BV1413" s="6">
        <v>0</v>
      </c>
      <c r="BW1413" s="6">
        <v>0</v>
      </c>
      <c r="BX1413" s="6">
        <v>0</v>
      </c>
      <c r="BY1413" s="6">
        <v>0</v>
      </c>
      <c r="BZ1413" s="6">
        <v>0</v>
      </c>
      <c r="CA1413" s="6">
        <v>0</v>
      </c>
      <c r="CB1413" s="6">
        <v>0</v>
      </c>
      <c r="CC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81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6">
        <v>0</v>
      </c>
      <c r="BN1414" s="6">
        <v>0</v>
      </c>
      <c r="BO1414" s="6">
        <v>0</v>
      </c>
      <c r="BP1414" s="6">
        <v>0</v>
      </c>
      <c r="BQ1414" s="6">
        <v>0</v>
      </c>
      <c r="BR1414" s="6">
        <v>0</v>
      </c>
      <c r="BS1414" s="6">
        <v>0</v>
      </c>
      <c r="BT1414" s="6">
        <v>0</v>
      </c>
      <c r="BU1414" s="6">
        <v>0</v>
      </c>
      <c r="BV1414" s="6">
        <v>0</v>
      </c>
      <c r="BW1414" s="6">
        <v>0</v>
      </c>
      <c r="BX1414" s="6">
        <v>0</v>
      </c>
      <c r="BY1414" s="6">
        <v>0</v>
      </c>
      <c r="BZ1414" s="6">
        <v>0</v>
      </c>
      <c r="CA1414" s="6">
        <v>0</v>
      </c>
      <c r="CB1414" s="6">
        <v>0</v>
      </c>
      <c r="CC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81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6">
        <v>0</v>
      </c>
      <c r="BN1415" s="6">
        <v>0</v>
      </c>
      <c r="BO1415" s="6">
        <v>0</v>
      </c>
      <c r="BP1415" s="6">
        <v>0</v>
      </c>
      <c r="BQ1415" s="6">
        <v>0</v>
      </c>
      <c r="BR1415" s="6">
        <v>0</v>
      </c>
      <c r="BS1415" s="6">
        <v>0</v>
      </c>
      <c r="BT1415" s="6">
        <v>0</v>
      </c>
      <c r="BU1415" s="6">
        <v>0</v>
      </c>
      <c r="BV1415" s="6">
        <v>0</v>
      </c>
      <c r="BW1415" s="6">
        <v>0</v>
      </c>
      <c r="BX1415" s="6">
        <v>0</v>
      </c>
      <c r="BY1415" s="6">
        <v>0</v>
      </c>
      <c r="BZ1415" s="6">
        <v>0</v>
      </c>
      <c r="CA1415" s="6">
        <v>0</v>
      </c>
      <c r="CB1415" s="6">
        <v>0</v>
      </c>
      <c r="CC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81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6">
        <v>0</v>
      </c>
      <c r="BN1416" s="6">
        <v>0</v>
      </c>
      <c r="BO1416" s="6">
        <v>0</v>
      </c>
      <c r="BP1416" s="6">
        <v>0</v>
      </c>
      <c r="BQ1416" s="6">
        <v>0</v>
      </c>
      <c r="BR1416" s="6">
        <v>0</v>
      </c>
      <c r="BS1416" s="6">
        <v>0</v>
      </c>
      <c r="BT1416" s="6">
        <v>0</v>
      </c>
      <c r="BU1416" s="6">
        <v>0</v>
      </c>
      <c r="BV1416" s="6">
        <v>0</v>
      </c>
      <c r="BW1416" s="6">
        <v>0</v>
      </c>
      <c r="BX1416" s="6">
        <v>0</v>
      </c>
      <c r="BY1416" s="6">
        <v>0</v>
      </c>
      <c r="BZ1416" s="6">
        <v>0</v>
      </c>
      <c r="CA1416" s="6">
        <v>0</v>
      </c>
      <c r="CB1416" s="6">
        <v>0</v>
      </c>
      <c r="CC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81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6">
        <v>0</v>
      </c>
      <c r="BN1417" s="6">
        <v>0</v>
      </c>
      <c r="BO1417" s="6">
        <v>0</v>
      </c>
      <c r="BP1417" s="6">
        <v>0</v>
      </c>
      <c r="BQ1417" s="6">
        <v>0</v>
      </c>
      <c r="BR1417" s="6">
        <v>0</v>
      </c>
      <c r="BS1417" s="6">
        <v>0</v>
      </c>
      <c r="BT1417" s="6">
        <v>0</v>
      </c>
      <c r="BU1417" s="6">
        <v>0</v>
      </c>
      <c r="BV1417" s="6">
        <v>0</v>
      </c>
      <c r="BW1417" s="6">
        <v>0</v>
      </c>
      <c r="BX1417" s="6">
        <v>0</v>
      </c>
      <c r="BY1417" s="6">
        <v>0</v>
      </c>
      <c r="BZ1417" s="6">
        <v>0</v>
      </c>
      <c r="CA1417" s="6">
        <v>0</v>
      </c>
      <c r="CB1417" s="6">
        <v>0</v>
      </c>
      <c r="CC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81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6">
        <v>0</v>
      </c>
      <c r="BN1418" s="6">
        <v>0</v>
      </c>
      <c r="BO1418" s="6">
        <v>0</v>
      </c>
      <c r="BP1418" s="6">
        <v>0</v>
      </c>
      <c r="BQ1418" s="6">
        <v>0</v>
      </c>
      <c r="BR1418" s="6">
        <v>0</v>
      </c>
      <c r="BS1418" s="6">
        <v>0</v>
      </c>
      <c r="BT1418" s="6">
        <v>0</v>
      </c>
      <c r="BU1418" s="6">
        <v>0</v>
      </c>
      <c r="BV1418" s="6">
        <v>0</v>
      </c>
      <c r="BW1418" s="6">
        <v>0</v>
      </c>
      <c r="BX1418" s="6">
        <v>0</v>
      </c>
      <c r="BY1418" s="6">
        <v>0</v>
      </c>
      <c r="BZ1418" s="6">
        <v>0</v>
      </c>
      <c r="CA1418" s="6">
        <v>0</v>
      </c>
      <c r="CB1418" s="6">
        <v>0</v>
      </c>
      <c r="CC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81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6">
        <v>0</v>
      </c>
      <c r="BN1419" s="6">
        <v>0</v>
      </c>
      <c r="BO1419" s="6">
        <v>0</v>
      </c>
      <c r="BP1419" s="6">
        <v>0</v>
      </c>
      <c r="BQ1419" s="6">
        <v>0</v>
      </c>
      <c r="BR1419" s="6">
        <v>0</v>
      </c>
      <c r="BS1419" s="6">
        <v>0</v>
      </c>
      <c r="BT1419" s="6">
        <v>0</v>
      </c>
      <c r="BU1419" s="6">
        <v>0</v>
      </c>
      <c r="BV1419" s="6">
        <v>0</v>
      </c>
      <c r="BW1419" s="6">
        <v>0</v>
      </c>
      <c r="BX1419" s="6">
        <v>0</v>
      </c>
      <c r="BY1419" s="6">
        <v>0</v>
      </c>
      <c r="BZ1419" s="6">
        <v>0</v>
      </c>
      <c r="CA1419" s="6">
        <v>0</v>
      </c>
      <c r="CB1419" s="6">
        <v>0</v>
      </c>
      <c r="CC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81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6">
        <v>0</v>
      </c>
      <c r="BN1420" s="6">
        <v>0</v>
      </c>
      <c r="BO1420" s="6">
        <v>0</v>
      </c>
      <c r="BP1420" s="6">
        <v>0</v>
      </c>
      <c r="BQ1420" s="6">
        <v>0</v>
      </c>
      <c r="BR1420" s="6">
        <v>0</v>
      </c>
      <c r="BS1420" s="6">
        <v>0</v>
      </c>
      <c r="BT1420" s="6">
        <v>0</v>
      </c>
      <c r="BU1420" s="6">
        <v>0</v>
      </c>
      <c r="BV1420" s="6">
        <v>0</v>
      </c>
      <c r="BW1420" s="6">
        <v>0</v>
      </c>
      <c r="BX1420" s="6">
        <v>0</v>
      </c>
      <c r="BY1420" s="6">
        <v>0</v>
      </c>
      <c r="BZ1420" s="6">
        <v>0</v>
      </c>
      <c r="CA1420" s="6">
        <v>0</v>
      </c>
      <c r="CB1420" s="6">
        <v>0</v>
      </c>
      <c r="CC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81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6">
        <v>0</v>
      </c>
      <c r="BN1421" s="6">
        <v>0</v>
      </c>
      <c r="BO1421" s="6">
        <v>0</v>
      </c>
      <c r="BP1421" s="6">
        <v>0</v>
      </c>
      <c r="BQ1421" s="6">
        <v>0</v>
      </c>
      <c r="BR1421" s="6">
        <v>0</v>
      </c>
      <c r="BS1421" s="6">
        <v>0</v>
      </c>
      <c r="BT1421" s="6">
        <v>0</v>
      </c>
      <c r="BU1421" s="6">
        <v>0</v>
      </c>
      <c r="BV1421" s="6">
        <v>0</v>
      </c>
      <c r="BW1421" s="6">
        <v>0</v>
      </c>
      <c r="BX1421" s="6">
        <v>0</v>
      </c>
      <c r="BY1421" s="6">
        <v>0</v>
      </c>
      <c r="BZ1421" s="6">
        <v>0</v>
      </c>
      <c r="CA1421" s="6">
        <v>0</v>
      </c>
      <c r="CB1421" s="6">
        <v>0</v>
      </c>
      <c r="CC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81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6">
        <v>0</v>
      </c>
      <c r="BN1422" s="6">
        <v>0</v>
      </c>
      <c r="BO1422" s="6">
        <v>0</v>
      </c>
      <c r="BP1422" s="6">
        <v>0</v>
      </c>
      <c r="BQ1422" s="6">
        <v>0</v>
      </c>
      <c r="BR1422" s="6">
        <v>0</v>
      </c>
      <c r="BS1422" s="6">
        <v>0</v>
      </c>
      <c r="BT1422" s="6">
        <v>0</v>
      </c>
      <c r="BU1422" s="6">
        <v>0</v>
      </c>
      <c r="BV1422" s="6">
        <v>0</v>
      </c>
      <c r="BW1422" s="6">
        <v>0</v>
      </c>
      <c r="BX1422" s="6">
        <v>0</v>
      </c>
      <c r="BY1422" s="6">
        <v>0</v>
      </c>
      <c r="BZ1422" s="6">
        <v>0</v>
      </c>
      <c r="CA1422" s="6">
        <v>0</v>
      </c>
      <c r="CB1422" s="6">
        <v>0</v>
      </c>
      <c r="CC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81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6">
        <v>0</v>
      </c>
      <c r="BN1423" s="6">
        <v>0</v>
      </c>
      <c r="BO1423" s="6">
        <v>0</v>
      </c>
      <c r="BP1423" s="6">
        <v>0</v>
      </c>
      <c r="BQ1423" s="6">
        <v>0</v>
      </c>
      <c r="BR1423" s="6">
        <v>0</v>
      </c>
      <c r="BS1423" s="6">
        <v>0</v>
      </c>
      <c r="BT1423" s="6">
        <v>0</v>
      </c>
      <c r="BU1423" s="6">
        <v>0</v>
      </c>
      <c r="BV1423" s="6">
        <v>0</v>
      </c>
      <c r="BW1423" s="6">
        <v>0</v>
      </c>
      <c r="BX1423" s="6">
        <v>0</v>
      </c>
      <c r="BY1423" s="6">
        <v>0</v>
      </c>
      <c r="BZ1423" s="6">
        <v>0</v>
      </c>
      <c r="CA1423" s="6">
        <v>0</v>
      </c>
      <c r="CB1423" s="6">
        <v>0</v>
      </c>
      <c r="CC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81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6">
        <v>0</v>
      </c>
      <c r="BN1424" s="6">
        <v>0</v>
      </c>
      <c r="BO1424" s="6">
        <v>0</v>
      </c>
      <c r="BP1424" s="6">
        <v>0</v>
      </c>
      <c r="BQ1424" s="6">
        <v>0</v>
      </c>
      <c r="BR1424" s="6">
        <v>0</v>
      </c>
      <c r="BS1424" s="6">
        <v>0</v>
      </c>
      <c r="BT1424" s="6">
        <v>0</v>
      </c>
      <c r="BU1424" s="6">
        <v>0</v>
      </c>
      <c r="BV1424" s="6">
        <v>0</v>
      </c>
      <c r="BW1424" s="6">
        <v>0</v>
      </c>
      <c r="BX1424" s="6">
        <v>0</v>
      </c>
      <c r="BY1424" s="6">
        <v>0</v>
      </c>
      <c r="BZ1424" s="6">
        <v>0</v>
      </c>
      <c r="CA1424" s="6">
        <v>0</v>
      </c>
      <c r="CB1424" s="6">
        <v>0</v>
      </c>
      <c r="CC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81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6">
        <v>0</v>
      </c>
      <c r="BN1425" s="6">
        <v>0</v>
      </c>
      <c r="BO1425" s="6">
        <v>0</v>
      </c>
      <c r="BP1425" s="6">
        <v>0</v>
      </c>
      <c r="BQ1425" s="6">
        <v>0</v>
      </c>
      <c r="BR1425" s="6">
        <v>0</v>
      </c>
      <c r="BS1425" s="6">
        <v>0</v>
      </c>
      <c r="BT1425" s="6">
        <v>0</v>
      </c>
      <c r="BU1425" s="6">
        <v>0</v>
      </c>
      <c r="BV1425" s="6">
        <v>0</v>
      </c>
      <c r="BW1425" s="6">
        <v>0</v>
      </c>
      <c r="BX1425" s="6">
        <v>0</v>
      </c>
      <c r="BY1425" s="6">
        <v>0</v>
      </c>
      <c r="BZ1425" s="6">
        <v>0</v>
      </c>
      <c r="CA1425" s="6">
        <v>0</v>
      </c>
      <c r="CB1425" s="6">
        <v>0</v>
      </c>
      <c r="CC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81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6">
        <v>0</v>
      </c>
      <c r="BN1426" s="6">
        <v>0</v>
      </c>
      <c r="BO1426" s="6">
        <v>0</v>
      </c>
      <c r="BP1426" s="6">
        <v>0</v>
      </c>
      <c r="BQ1426" s="6">
        <v>0</v>
      </c>
      <c r="BR1426" s="6">
        <v>0</v>
      </c>
      <c r="BS1426" s="6">
        <v>0</v>
      </c>
      <c r="BT1426" s="6">
        <v>0</v>
      </c>
      <c r="BU1426" s="6">
        <v>0</v>
      </c>
      <c r="BV1426" s="6">
        <v>0</v>
      </c>
      <c r="BW1426" s="6">
        <v>0</v>
      </c>
      <c r="BX1426" s="6">
        <v>0</v>
      </c>
      <c r="BY1426" s="6">
        <v>0</v>
      </c>
      <c r="BZ1426" s="6">
        <v>0</v>
      </c>
      <c r="CA1426" s="6">
        <v>0</v>
      </c>
      <c r="CB1426" s="6">
        <v>0</v>
      </c>
      <c r="CC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81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6">
        <v>0</v>
      </c>
      <c r="BN1427" s="6">
        <v>0</v>
      </c>
      <c r="BO1427" s="6">
        <v>0</v>
      </c>
      <c r="BP1427" s="6">
        <v>0</v>
      </c>
      <c r="BQ1427" s="6">
        <v>0</v>
      </c>
      <c r="BR1427" s="6">
        <v>0</v>
      </c>
      <c r="BS1427" s="6">
        <v>0</v>
      </c>
      <c r="BT1427" s="6">
        <v>0</v>
      </c>
      <c r="BU1427" s="6">
        <v>0</v>
      </c>
      <c r="BV1427" s="6">
        <v>0</v>
      </c>
      <c r="BW1427" s="6">
        <v>0</v>
      </c>
      <c r="BX1427" s="6">
        <v>0</v>
      </c>
      <c r="BY1427" s="6">
        <v>0</v>
      </c>
      <c r="BZ1427" s="6">
        <v>0</v>
      </c>
      <c r="CA1427" s="6">
        <v>0</v>
      </c>
      <c r="CB1427" s="6">
        <v>0</v>
      </c>
      <c r="CC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81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6">
        <v>0</v>
      </c>
      <c r="BN1428" s="6">
        <v>0</v>
      </c>
      <c r="BO1428" s="6">
        <v>0</v>
      </c>
      <c r="BP1428" s="6">
        <v>0</v>
      </c>
      <c r="BQ1428" s="6">
        <v>0</v>
      </c>
      <c r="BR1428" s="6">
        <v>0</v>
      </c>
      <c r="BS1428" s="6">
        <v>0</v>
      </c>
      <c r="BT1428" s="6">
        <v>0</v>
      </c>
      <c r="BU1428" s="6">
        <v>0</v>
      </c>
      <c r="BV1428" s="6">
        <v>0</v>
      </c>
      <c r="BW1428" s="6">
        <v>0</v>
      </c>
      <c r="BX1428" s="6">
        <v>0</v>
      </c>
      <c r="BY1428" s="6">
        <v>0</v>
      </c>
      <c r="BZ1428" s="6">
        <v>0</v>
      </c>
      <c r="CA1428" s="6">
        <v>0</v>
      </c>
      <c r="CB1428" s="6">
        <v>0</v>
      </c>
      <c r="CC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81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6">
        <v>0</v>
      </c>
      <c r="BN1429" s="6">
        <v>0</v>
      </c>
      <c r="BO1429" s="6">
        <v>0</v>
      </c>
      <c r="BP1429" s="6">
        <v>0</v>
      </c>
      <c r="BQ1429" s="6">
        <v>0</v>
      </c>
      <c r="BR1429" s="6">
        <v>0</v>
      </c>
      <c r="BS1429" s="6">
        <v>0</v>
      </c>
      <c r="BT1429" s="6">
        <v>0</v>
      </c>
      <c r="BU1429" s="6">
        <v>0</v>
      </c>
      <c r="BV1429" s="6">
        <v>0</v>
      </c>
      <c r="BW1429" s="6">
        <v>0</v>
      </c>
      <c r="BX1429" s="6">
        <v>0</v>
      </c>
      <c r="BY1429" s="6">
        <v>0</v>
      </c>
      <c r="BZ1429" s="6">
        <v>0</v>
      </c>
      <c r="CA1429" s="6">
        <v>0</v>
      </c>
      <c r="CB1429" s="6">
        <v>0</v>
      </c>
      <c r="CC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81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6">
        <v>0</v>
      </c>
      <c r="BN1430" s="6">
        <v>0</v>
      </c>
      <c r="BO1430" s="6">
        <v>0</v>
      </c>
      <c r="BP1430" s="6">
        <v>0</v>
      </c>
      <c r="BQ1430" s="6">
        <v>0</v>
      </c>
      <c r="BR1430" s="6">
        <v>0</v>
      </c>
      <c r="BS1430" s="6">
        <v>0</v>
      </c>
      <c r="BT1430" s="6">
        <v>0</v>
      </c>
      <c r="BU1430" s="6">
        <v>0</v>
      </c>
      <c r="BV1430" s="6">
        <v>0</v>
      </c>
      <c r="BW1430" s="6">
        <v>0</v>
      </c>
      <c r="BX1430" s="6">
        <v>0</v>
      </c>
      <c r="BY1430" s="6">
        <v>0</v>
      </c>
      <c r="BZ1430" s="6">
        <v>0</v>
      </c>
      <c r="CA1430" s="6">
        <v>0</v>
      </c>
      <c r="CB1430" s="6">
        <v>0</v>
      </c>
      <c r="CC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81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6">
        <v>0</v>
      </c>
      <c r="BN1431" s="6">
        <v>0</v>
      </c>
      <c r="BO1431" s="6">
        <v>0</v>
      </c>
      <c r="BP1431" s="6">
        <v>0</v>
      </c>
      <c r="BQ1431" s="6">
        <v>0</v>
      </c>
      <c r="BR1431" s="6">
        <v>0</v>
      </c>
      <c r="BS1431" s="6">
        <v>0</v>
      </c>
      <c r="BT1431" s="6">
        <v>0</v>
      </c>
      <c r="BU1431" s="6">
        <v>0</v>
      </c>
      <c r="BV1431" s="6">
        <v>0</v>
      </c>
      <c r="BW1431" s="6">
        <v>0</v>
      </c>
      <c r="BX1431" s="6">
        <v>0</v>
      </c>
      <c r="BY1431" s="6">
        <v>0</v>
      </c>
      <c r="BZ1431" s="6">
        <v>0</v>
      </c>
      <c r="CA1431" s="6">
        <v>0</v>
      </c>
      <c r="CB1431" s="6">
        <v>0</v>
      </c>
      <c r="CC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81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6">
        <v>0</v>
      </c>
      <c r="BN1432" s="6">
        <v>0</v>
      </c>
      <c r="BO1432" s="6">
        <v>0</v>
      </c>
      <c r="BP1432" s="6">
        <v>0</v>
      </c>
      <c r="BQ1432" s="6">
        <v>0</v>
      </c>
      <c r="BR1432" s="6">
        <v>0</v>
      </c>
      <c r="BS1432" s="6">
        <v>0</v>
      </c>
      <c r="BT1432" s="6">
        <v>0</v>
      </c>
      <c r="BU1432" s="6">
        <v>0</v>
      </c>
      <c r="BV1432" s="6">
        <v>0</v>
      </c>
      <c r="BW1432" s="6">
        <v>0</v>
      </c>
      <c r="BX1432" s="6">
        <v>0</v>
      </c>
      <c r="BY1432" s="6">
        <v>0</v>
      </c>
      <c r="BZ1432" s="6">
        <v>0</v>
      </c>
      <c r="CA1432" s="6">
        <v>0</v>
      </c>
      <c r="CB1432" s="6">
        <v>0</v>
      </c>
      <c r="CC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81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6">
        <v>0</v>
      </c>
      <c r="BN1433" s="6">
        <v>0</v>
      </c>
      <c r="BO1433" s="6">
        <v>0</v>
      </c>
      <c r="BP1433" s="6">
        <v>0</v>
      </c>
      <c r="BQ1433" s="6">
        <v>0</v>
      </c>
      <c r="BR1433" s="6">
        <v>0</v>
      </c>
      <c r="BS1433" s="6">
        <v>0</v>
      </c>
      <c r="BT1433" s="6">
        <v>0</v>
      </c>
      <c r="BU1433" s="6">
        <v>0</v>
      </c>
      <c r="BV1433" s="6">
        <v>0</v>
      </c>
      <c r="BW1433" s="6">
        <v>0</v>
      </c>
      <c r="BX1433" s="6">
        <v>0</v>
      </c>
      <c r="BY1433" s="6">
        <v>0</v>
      </c>
      <c r="BZ1433" s="6">
        <v>0</v>
      </c>
      <c r="CA1433" s="6">
        <v>0</v>
      </c>
      <c r="CB1433" s="6">
        <v>0</v>
      </c>
      <c r="CC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81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6">
        <v>0</v>
      </c>
      <c r="BN1434" s="6">
        <v>0</v>
      </c>
      <c r="BO1434" s="6">
        <v>0</v>
      </c>
      <c r="BP1434" s="6">
        <v>0</v>
      </c>
      <c r="BQ1434" s="6">
        <v>0</v>
      </c>
      <c r="BR1434" s="6">
        <v>0</v>
      </c>
      <c r="BS1434" s="6">
        <v>0</v>
      </c>
      <c r="BT1434" s="6">
        <v>0</v>
      </c>
      <c r="BU1434" s="6">
        <v>0</v>
      </c>
      <c r="BV1434" s="6">
        <v>0</v>
      </c>
      <c r="BW1434" s="6">
        <v>0</v>
      </c>
      <c r="BX1434" s="6">
        <v>0</v>
      </c>
      <c r="BY1434" s="6">
        <v>0</v>
      </c>
      <c r="BZ1434" s="6">
        <v>0</v>
      </c>
      <c r="CA1434" s="6">
        <v>0</v>
      </c>
      <c r="CB1434" s="6">
        <v>0</v>
      </c>
      <c r="CC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81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6">
        <v>0</v>
      </c>
      <c r="BN1435" s="6">
        <v>0</v>
      </c>
      <c r="BO1435" s="6">
        <v>0</v>
      </c>
      <c r="BP1435" s="6">
        <v>0</v>
      </c>
      <c r="BQ1435" s="6">
        <v>0</v>
      </c>
      <c r="BR1435" s="6">
        <v>0</v>
      </c>
      <c r="BS1435" s="6">
        <v>0</v>
      </c>
      <c r="BT1435" s="6">
        <v>0</v>
      </c>
      <c r="BU1435" s="6">
        <v>0</v>
      </c>
      <c r="BV1435" s="6">
        <v>0</v>
      </c>
      <c r="BW1435" s="6">
        <v>0</v>
      </c>
      <c r="BX1435" s="6">
        <v>0</v>
      </c>
      <c r="BY1435" s="6">
        <v>0</v>
      </c>
      <c r="BZ1435" s="6">
        <v>0</v>
      </c>
      <c r="CA1435" s="6">
        <v>0</v>
      </c>
      <c r="CB1435" s="6">
        <v>0</v>
      </c>
      <c r="CC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81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6">
        <v>0</v>
      </c>
      <c r="BN1436" s="6">
        <v>0</v>
      </c>
      <c r="BO1436" s="6">
        <v>0</v>
      </c>
      <c r="BP1436" s="6">
        <v>0</v>
      </c>
      <c r="BQ1436" s="6">
        <v>0</v>
      </c>
      <c r="BR1436" s="6">
        <v>0</v>
      </c>
      <c r="BS1436" s="6">
        <v>0</v>
      </c>
      <c r="BT1436" s="6">
        <v>0</v>
      </c>
      <c r="BU1436" s="6">
        <v>0</v>
      </c>
      <c r="BV1436" s="6">
        <v>0</v>
      </c>
      <c r="BW1436" s="6">
        <v>0</v>
      </c>
      <c r="BX1436" s="6">
        <v>0</v>
      </c>
      <c r="BY1436" s="6">
        <v>0</v>
      </c>
      <c r="BZ1436" s="6">
        <v>0</v>
      </c>
      <c r="CA1436" s="6">
        <v>0</v>
      </c>
      <c r="CB1436" s="6">
        <v>0</v>
      </c>
      <c r="CC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81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6">
        <v>0</v>
      </c>
      <c r="BN1437" s="6">
        <v>0</v>
      </c>
      <c r="BO1437" s="6">
        <v>0</v>
      </c>
      <c r="BP1437" s="6">
        <v>0</v>
      </c>
      <c r="BQ1437" s="6">
        <v>0</v>
      </c>
      <c r="BR1437" s="6">
        <v>0</v>
      </c>
      <c r="BS1437" s="6">
        <v>0</v>
      </c>
      <c r="BT1437" s="6">
        <v>0</v>
      </c>
      <c r="BU1437" s="6">
        <v>0</v>
      </c>
      <c r="BV1437" s="6">
        <v>0</v>
      </c>
      <c r="BW1437" s="6">
        <v>0</v>
      </c>
      <c r="BX1437" s="6">
        <v>0</v>
      </c>
      <c r="BY1437" s="6">
        <v>0</v>
      </c>
      <c r="BZ1437" s="6">
        <v>0</v>
      </c>
      <c r="CA1437" s="6">
        <v>0</v>
      </c>
      <c r="CB1437" s="6">
        <v>0</v>
      </c>
      <c r="CC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81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6">
        <v>0</v>
      </c>
      <c r="BN1438" s="6">
        <v>0</v>
      </c>
      <c r="BO1438" s="6">
        <v>0</v>
      </c>
      <c r="BP1438" s="6">
        <v>0</v>
      </c>
      <c r="BQ1438" s="6">
        <v>0</v>
      </c>
      <c r="BR1438" s="6">
        <v>0</v>
      </c>
      <c r="BS1438" s="6">
        <v>0</v>
      </c>
      <c r="BT1438" s="6">
        <v>0</v>
      </c>
      <c r="BU1438" s="6">
        <v>0</v>
      </c>
      <c r="BV1438" s="6">
        <v>0</v>
      </c>
      <c r="BW1438" s="6">
        <v>0</v>
      </c>
      <c r="BX1438" s="6">
        <v>0</v>
      </c>
      <c r="BY1438" s="6">
        <v>0</v>
      </c>
      <c r="BZ1438" s="6">
        <v>0</v>
      </c>
      <c r="CA1438" s="6">
        <v>0</v>
      </c>
      <c r="CB1438" s="6">
        <v>0</v>
      </c>
      <c r="CC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81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6">
        <v>0</v>
      </c>
      <c r="BN1439" s="6">
        <v>0</v>
      </c>
      <c r="BO1439" s="6">
        <v>0</v>
      </c>
      <c r="BP1439" s="6">
        <v>0</v>
      </c>
      <c r="BQ1439" s="6">
        <v>0</v>
      </c>
      <c r="BR1439" s="6">
        <v>0</v>
      </c>
      <c r="BS1439" s="6">
        <v>0</v>
      </c>
      <c r="BT1439" s="6">
        <v>0</v>
      </c>
      <c r="BU1439" s="6">
        <v>0</v>
      </c>
      <c r="BV1439" s="6">
        <v>0</v>
      </c>
      <c r="BW1439" s="6">
        <v>0</v>
      </c>
      <c r="BX1439" s="6">
        <v>0</v>
      </c>
      <c r="BY1439" s="6">
        <v>0</v>
      </c>
      <c r="BZ1439" s="6">
        <v>0</v>
      </c>
      <c r="CA1439" s="6">
        <v>0</v>
      </c>
      <c r="CB1439" s="6">
        <v>0</v>
      </c>
      <c r="CC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81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6">
        <v>0</v>
      </c>
      <c r="BN1440" s="6">
        <v>0</v>
      </c>
      <c r="BO1440" s="6">
        <v>0</v>
      </c>
      <c r="BP1440" s="6">
        <v>0</v>
      </c>
      <c r="BQ1440" s="6">
        <v>0</v>
      </c>
      <c r="BR1440" s="6">
        <v>0</v>
      </c>
      <c r="BS1440" s="6">
        <v>0</v>
      </c>
      <c r="BT1440" s="6">
        <v>0</v>
      </c>
      <c r="BU1440" s="6">
        <v>0</v>
      </c>
      <c r="BV1440" s="6">
        <v>0</v>
      </c>
      <c r="BW1440" s="6">
        <v>0</v>
      </c>
      <c r="BX1440" s="6">
        <v>0</v>
      </c>
      <c r="BY1440" s="6">
        <v>0</v>
      </c>
      <c r="BZ1440" s="6">
        <v>0</v>
      </c>
      <c r="CA1440" s="6">
        <v>0</v>
      </c>
      <c r="CB1440" s="6">
        <v>0</v>
      </c>
      <c r="CC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81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6">
        <v>0</v>
      </c>
      <c r="BN1441" s="6">
        <v>0</v>
      </c>
      <c r="BO1441" s="6">
        <v>0</v>
      </c>
      <c r="BP1441" s="6">
        <v>0</v>
      </c>
      <c r="BQ1441" s="6">
        <v>0</v>
      </c>
      <c r="BR1441" s="6">
        <v>0</v>
      </c>
      <c r="BS1441" s="6">
        <v>0</v>
      </c>
      <c r="BT1441" s="6">
        <v>0</v>
      </c>
      <c r="BU1441" s="6">
        <v>0</v>
      </c>
      <c r="BV1441" s="6">
        <v>0</v>
      </c>
      <c r="BW1441" s="6">
        <v>0</v>
      </c>
      <c r="BX1441" s="6">
        <v>0</v>
      </c>
      <c r="BY1441" s="6">
        <v>0</v>
      </c>
      <c r="BZ1441" s="6">
        <v>0</v>
      </c>
      <c r="CA1441" s="6">
        <v>0</v>
      </c>
      <c r="CB1441" s="6">
        <v>0</v>
      </c>
      <c r="CC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81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6">
        <v>0</v>
      </c>
      <c r="BN1442" s="6">
        <v>0</v>
      </c>
      <c r="BO1442" s="6">
        <v>0</v>
      </c>
      <c r="BP1442" s="6">
        <v>0</v>
      </c>
      <c r="BQ1442" s="6">
        <v>0</v>
      </c>
      <c r="BR1442" s="6">
        <v>0</v>
      </c>
      <c r="BS1442" s="6">
        <v>0</v>
      </c>
      <c r="BT1442" s="6">
        <v>0</v>
      </c>
      <c r="BU1442" s="6">
        <v>0</v>
      </c>
      <c r="BV1442" s="6">
        <v>0</v>
      </c>
      <c r="BW1442" s="6">
        <v>0</v>
      </c>
      <c r="BX1442" s="6">
        <v>0</v>
      </c>
      <c r="BY1442" s="6">
        <v>0</v>
      </c>
      <c r="BZ1442" s="6">
        <v>0</v>
      </c>
      <c r="CA1442" s="6">
        <v>0</v>
      </c>
      <c r="CB1442" s="6">
        <v>0</v>
      </c>
      <c r="CC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81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6">
        <v>0</v>
      </c>
      <c r="BN1443" s="6">
        <v>0</v>
      </c>
      <c r="BO1443" s="6">
        <v>0</v>
      </c>
      <c r="BP1443" s="6">
        <v>0</v>
      </c>
      <c r="BQ1443" s="6">
        <v>0</v>
      </c>
      <c r="BR1443" s="6">
        <v>0</v>
      </c>
      <c r="BS1443" s="6">
        <v>0</v>
      </c>
      <c r="BT1443" s="6">
        <v>0</v>
      </c>
      <c r="BU1443" s="6">
        <v>0</v>
      </c>
      <c r="BV1443" s="6">
        <v>0</v>
      </c>
      <c r="BW1443" s="6">
        <v>0</v>
      </c>
      <c r="BX1443" s="6">
        <v>0</v>
      </c>
      <c r="BY1443" s="6">
        <v>0</v>
      </c>
      <c r="BZ1443" s="6">
        <v>0</v>
      </c>
      <c r="CA1443" s="6">
        <v>0</v>
      </c>
      <c r="CB1443" s="6">
        <v>0</v>
      </c>
      <c r="CC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81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6">
        <v>0</v>
      </c>
      <c r="BN1444" s="6">
        <v>0</v>
      </c>
      <c r="BO1444" s="6">
        <v>0</v>
      </c>
      <c r="BP1444" s="6">
        <v>0</v>
      </c>
      <c r="BQ1444" s="6">
        <v>0</v>
      </c>
      <c r="BR1444" s="6">
        <v>0</v>
      </c>
      <c r="BS1444" s="6">
        <v>0</v>
      </c>
      <c r="BT1444" s="6">
        <v>0</v>
      </c>
      <c r="BU1444" s="6">
        <v>0</v>
      </c>
      <c r="BV1444" s="6">
        <v>0</v>
      </c>
      <c r="BW1444" s="6">
        <v>0</v>
      </c>
      <c r="BX1444" s="6">
        <v>0</v>
      </c>
      <c r="BY1444" s="6">
        <v>0</v>
      </c>
      <c r="BZ1444" s="6">
        <v>0</v>
      </c>
      <c r="CA1444" s="6">
        <v>0</v>
      </c>
      <c r="CB1444" s="6">
        <v>0</v>
      </c>
      <c r="CC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81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6">
        <v>0</v>
      </c>
      <c r="BN1445" s="6">
        <v>0</v>
      </c>
      <c r="BO1445" s="6">
        <v>0</v>
      </c>
      <c r="BP1445" s="6">
        <v>0</v>
      </c>
      <c r="BQ1445" s="6">
        <v>0</v>
      </c>
      <c r="BR1445" s="6">
        <v>0</v>
      </c>
      <c r="BS1445" s="6">
        <v>0</v>
      </c>
      <c r="BT1445" s="6">
        <v>0</v>
      </c>
      <c r="BU1445" s="6">
        <v>0</v>
      </c>
      <c r="BV1445" s="6">
        <v>0</v>
      </c>
      <c r="BW1445" s="6">
        <v>0</v>
      </c>
      <c r="BX1445" s="6">
        <v>0</v>
      </c>
      <c r="BY1445" s="6">
        <v>0</v>
      </c>
      <c r="BZ1445" s="6">
        <v>0</v>
      </c>
      <c r="CA1445" s="6">
        <v>0</v>
      </c>
      <c r="CB1445" s="6">
        <v>0</v>
      </c>
      <c r="CC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81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6">
        <v>0</v>
      </c>
      <c r="BN1446" s="6">
        <v>0</v>
      </c>
      <c r="BO1446" s="6">
        <v>0</v>
      </c>
      <c r="BP1446" s="6">
        <v>0</v>
      </c>
      <c r="BQ1446" s="6">
        <v>0</v>
      </c>
      <c r="BR1446" s="6">
        <v>0</v>
      </c>
      <c r="BS1446" s="6">
        <v>0</v>
      </c>
      <c r="BT1446" s="6">
        <v>0</v>
      </c>
      <c r="BU1446" s="6">
        <v>0</v>
      </c>
      <c r="BV1446" s="6">
        <v>0</v>
      </c>
      <c r="BW1446" s="6">
        <v>0</v>
      </c>
      <c r="BX1446" s="6">
        <v>0</v>
      </c>
      <c r="BY1446" s="6">
        <v>0</v>
      </c>
      <c r="BZ1446" s="6">
        <v>0</v>
      </c>
      <c r="CA1446" s="6">
        <v>0</v>
      </c>
      <c r="CB1446" s="6">
        <v>0</v>
      </c>
      <c r="CC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81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6">
        <v>0</v>
      </c>
      <c r="BN1447" s="6">
        <v>0</v>
      </c>
      <c r="BO1447" s="6">
        <v>0</v>
      </c>
      <c r="BP1447" s="6">
        <v>0</v>
      </c>
      <c r="BQ1447" s="6">
        <v>0</v>
      </c>
      <c r="BR1447" s="6">
        <v>0</v>
      </c>
      <c r="BS1447" s="6">
        <v>0</v>
      </c>
      <c r="BT1447" s="6">
        <v>0</v>
      </c>
      <c r="BU1447" s="6">
        <v>0</v>
      </c>
      <c r="BV1447" s="6">
        <v>0</v>
      </c>
      <c r="BW1447" s="6">
        <v>0</v>
      </c>
      <c r="BX1447" s="6">
        <v>0</v>
      </c>
      <c r="BY1447" s="6">
        <v>0</v>
      </c>
      <c r="BZ1447" s="6">
        <v>0</v>
      </c>
      <c r="CA1447" s="6">
        <v>0</v>
      </c>
      <c r="CB1447" s="6">
        <v>0</v>
      </c>
      <c r="CC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81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6">
        <v>0</v>
      </c>
      <c r="BN1448" s="6">
        <v>0</v>
      </c>
      <c r="BO1448" s="6">
        <v>0</v>
      </c>
      <c r="BP1448" s="6">
        <v>0</v>
      </c>
      <c r="BQ1448" s="6">
        <v>0</v>
      </c>
      <c r="BR1448" s="6">
        <v>0</v>
      </c>
      <c r="BS1448" s="6">
        <v>0</v>
      </c>
      <c r="BT1448" s="6">
        <v>0</v>
      </c>
      <c r="BU1448" s="6">
        <v>0</v>
      </c>
      <c r="BV1448" s="6">
        <v>0</v>
      </c>
      <c r="BW1448" s="6">
        <v>0</v>
      </c>
      <c r="BX1448" s="6">
        <v>0</v>
      </c>
      <c r="BY1448" s="6">
        <v>0</v>
      </c>
      <c r="BZ1448" s="6">
        <v>0</v>
      </c>
      <c r="CA1448" s="6">
        <v>0</v>
      </c>
      <c r="CB1448" s="6">
        <v>0</v>
      </c>
      <c r="CC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81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6">
        <v>0</v>
      </c>
      <c r="BN1449" s="6">
        <v>0</v>
      </c>
      <c r="BO1449" s="6">
        <v>0</v>
      </c>
      <c r="BP1449" s="6">
        <v>0</v>
      </c>
      <c r="BQ1449" s="6">
        <v>0</v>
      </c>
      <c r="BR1449" s="6">
        <v>0</v>
      </c>
      <c r="BS1449" s="6">
        <v>0</v>
      </c>
      <c r="BT1449" s="6">
        <v>0</v>
      </c>
      <c r="BU1449" s="6">
        <v>0</v>
      </c>
      <c r="BV1449" s="6">
        <v>0</v>
      </c>
      <c r="BW1449" s="6">
        <v>0</v>
      </c>
      <c r="BX1449" s="6">
        <v>0</v>
      </c>
      <c r="BY1449" s="6">
        <v>0</v>
      </c>
      <c r="BZ1449" s="6">
        <v>0</v>
      </c>
      <c r="CA1449" s="6">
        <v>0</v>
      </c>
      <c r="CB1449" s="6">
        <v>0</v>
      </c>
      <c r="CC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81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6">
        <v>0</v>
      </c>
      <c r="BN1450" s="6">
        <v>0</v>
      </c>
      <c r="BO1450" s="6">
        <v>0</v>
      </c>
      <c r="BP1450" s="6">
        <v>0</v>
      </c>
      <c r="BQ1450" s="6">
        <v>0</v>
      </c>
      <c r="BR1450" s="6">
        <v>0</v>
      </c>
      <c r="BS1450" s="6">
        <v>0</v>
      </c>
      <c r="BT1450" s="6">
        <v>0</v>
      </c>
      <c r="BU1450" s="6">
        <v>0</v>
      </c>
      <c r="BV1450" s="6">
        <v>0</v>
      </c>
      <c r="BW1450" s="6">
        <v>0</v>
      </c>
      <c r="BX1450" s="6">
        <v>0</v>
      </c>
      <c r="BY1450" s="6">
        <v>0</v>
      </c>
      <c r="BZ1450" s="6">
        <v>0</v>
      </c>
      <c r="CA1450" s="6">
        <v>0</v>
      </c>
      <c r="CB1450" s="6">
        <v>0</v>
      </c>
      <c r="CC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81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6">
        <v>0</v>
      </c>
      <c r="BN1451" s="6">
        <v>0</v>
      </c>
      <c r="BO1451" s="6">
        <v>0</v>
      </c>
      <c r="BP1451" s="6">
        <v>0</v>
      </c>
      <c r="BQ1451" s="6">
        <v>0</v>
      </c>
      <c r="BR1451" s="6">
        <v>0</v>
      </c>
      <c r="BS1451" s="6">
        <v>0</v>
      </c>
      <c r="BT1451" s="6">
        <v>0</v>
      </c>
      <c r="BU1451" s="6">
        <v>0</v>
      </c>
      <c r="BV1451" s="6">
        <v>0</v>
      </c>
      <c r="BW1451" s="6">
        <v>0</v>
      </c>
      <c r="BX1451" s="6">
        <v>0</v>
      </c>
      <c r="BY1451" s="6">
        <v>0</v>
      </c>
      <c r="BZ1451" s="6">
        <v>0</v>
      </c>
      <c r="CA1451" s="6">
        <v>0</v>
      </c>
      <c r="CB1451" s="6">
        <v>0</v>
      </c>
      <c r="CC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81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6">
        <v>0</v>
      </c>
      <c r="BN1452" s="6">
        <v>0</v>
      </c>
      <c r="BO1452" s="6">
        <v>0</v>
      </c>
      <c r="BP1452" s="6">
        <v>0</v>
      </c>
      <c r="BQ1452" s="6">
        <v>0</v>
      </c>
      <c r="BR1452" s="6">
        <v>0</v>
      </c>
      <c r="BS1452" s="6">
        <v>0</v>
      </c>
      <c r="BT1452" s="6">
        <v>0</v>
      </c>
      <c r="BU1452" s="6">
        <v>0</v>
      </c>
      <c r="BV1452" s="6">
        <v>0</v>
      </c>
      <c r="BW1452" s="6">
        <v>0</v>
      </c>
      <c r="BX1452" s="6">
        <v>0</v>
      </c>
      <c r="BY1452" s="6">
        <v>0</v>
      </c>
      <c r="BZ1452" s="6">
        <v>0</v>
      </c>
      <c r="CA1452" s="6">
        <v>0</v>
      </c>
      <c r="CB1452" s="6">
        <v>0</v>
      </c>
      <c r="CC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81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6">
        <v>0</v>
      </c>
      <c r="BN1453" s="6">
        <v>0</v>
      </c>
      <c r="BO1453" s="6">
        <v>0</v>
      </c>
      <c r="BP1453" s="6">
        <v>0</v>
      </c>
      <c r="BQ1453" s="6">
        <v>0</v>
      </c>
      <c r="BR1453" s="6">
        <v>0</v>
      </c>
      <c r="BS1453" s="6">
        <v>0</v>
      </c>
      <c r="BT1453" s="6">
        <v>0</v>
      </c>
      <c r="BU1453" s="6">
        <v>0</v>
      </c>
      <c r="BV1453" s="6">
        <v>0</v>
      </c>
      <c r="BW1453" s="6">
        <v>0</v>
      </c>
      <c r="BX1453" s="6">
        <v>0</v>
      </c>
      <c r="BY1453" s="6">
        <v>0</v>
      </c>
      <c r="BZ1453" s="6">
        <v>0</v>
      </c>
      <c r="CA1453" s="6">
        <v>0</v>
      </c>
      <c r="CB1453" s="6">
        <v>0</v>
      </c>
      <c r="CC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81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6">
        <v>0</v>
      </c>
      <c r="BN1454" s="6">
        <v>0</v>
      </c>
      <c r="BO1454" s="6">
        <v>0</v>
      </c>
      <c r="BP1454" s="6">
        <v>0</v>
      </c>
      <c r="BQ1454" s="6">
        <v>0</v>
      </c>
      <c r="BR1454" s="6">
        <v>0</v>
      </c>
      <c r="BS1454" s="6">
        <v>0</v>
      </c>
      <c r="BT1454" s="6">
        <v>0</v>
      </c>
      <c r="BU1454" s="6">
        <v>0</v>
      </c>
      <c r="BV1454" s="6">
        <v>0</v>
      </c>
      <c r="BW1454" s="6">
        <v>0</v>
      </c>
      <c r="BX1454" s="6">
        <v>0</v>
      </c>
      <c r="BY1454" s="6">
        <v>0</v>
      </c>
      <c r="BZ1454" s="6">
        <v>0</v>
      </c>
      <c r="CA1454" s="6">
        <v>0</v>
      </c>
      <c r="CB1454" s="6">
        <v>0</v>
      </c>
      <c r="CC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81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6">
        <v>0</v>
      </c>
      <c r="BN1455" s="6">
        <v>0</v>
      </c>
      <c r="BO1455" s="6">
        <v>0</v>
      </c>
      <c r="BP1455" s="6">
        <v>0</v>
      </c>
      <c r="BQ1455" s="6">
        <v>0</v>
      </c>
      <c r="BR1455" s="6">
        <v>0</v>
      </c>
      <c r="BS1455" s="6">
        <v>0</v>
      </c>
      <c r="BT1455" s="6">
        <v>0</v>
      </c>
      <c r="BU1455" s="6">
        <v>0</v>
      </c>
      <c r="BV1455" s="6">
        <v>0</v>
      </c>
      <c r="BW1455" s="6">
        <v>0</v>
      </c>
      <c r="BX1455" s="6">
        <v>0</v>
      </c>
      <c r="BY1455" s="6">
        <v>0</v>
      </c>
      <c r="BZ1455" s="6">
        <v>0</v>
      </c>
      <c r="CA1455" s="6">
        <v>0</v>
      </c>
      <c r="CB1455" s="6">
        <v>0</v>
      </c>
      <c r="CC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81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6">
        <v>0</v>
      </c>
      <c r="BN1456" s="6">
        <v>0</v>
      </c>
      <c r="BO1456" s="6">
        <v>0</v>
      </c>
      <c r="BP1456" s="6">
        <v>0</v>
      </c>
      <c r="BQ1456" s="6">
        <v>0</v>
      </c>
      <c r="BR1456" s="6">
        <v>0</v>
      </c>
      <c r="BS1456" s="6">
        <v>0</v>
      </c>
      <c r="BT1456" s="6">
        <v>0</v>
      </c>
      <c r="BU1456" s="6">
        <v>0</v>
      </c>
      <c r="BV1456" s="6">
        <v>0</v>
      </c>
      <c r="BW1456" s="6">
        <v>0</v>
      </c>
      <c r="BX1456" s="6">
        <v>0</v>
      </c>
      <c r="BY1456" s="6">
        <v>0</v>
      </c>
      <c r="BZ1456" s="6">
        <v>0</v>
      </c>
      <c r="CA1456" s="6">
        <v>0</v>
      </c>
      <c r="CB1456" s="6">
        <v>0</v>
      </c>
      <c r="CC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81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6">
        <v>0</v>
      </c>
      <c r="BN1457" s="6">
        <v>0</v>
      </c>
      <c r="BO1457" s="6">
        <v>0</v>
      </c>
      <c r="BP1457" s="6">
        <v>0</v>
      </c>
      <c r="BQ1457" s="6">
        <v>0</v>
      </c>
      <c r="BR1457" s="6">
        <v>0</v>
      </c>
      <c r="BS1457" s="6">
        <v>0</v>
      </c>
      <c r="BT1457" s="6">
        <v>0</v>
      </c>
      <c r="BU1457" s="6">
        <v>0</v>
      </c>
      <c r="BV1457" s="6">
        <v>0</v>
      </c>
      <c r="BW1457" s="6">
        <v>0</v>
      </c>
      <c r="BX1457" s="6">
        <v>0</v>
      </c>
      <c r="BY1457" s="6">
        <v>0</v>
      </c>
      <c r="BZ1457" s="6">
        <v>0</v>
      </c>
      <c r="CA1457" s="6">
        <v>0</v>
      </c>
      <c r="CB1457" s="6">
        <v>0</v>
      </c>
      <c r="CC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81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6">
        <v>0</v>
      </c>
      <c r="BN1458" s="6">
        <v>0</v>
      </c>
      <c r="BO1458" s="6">
        <v>0</v>
      </c>
      <c r="BP1458" s="6">
        <v>0</v>
      </c>
      <c r="BQ1458" s="6">
        <v>0</v>
      </c>
      <c r="BR1458" s="6">
        <v>0</v>
      </c>
      <c r="BS1458" s="6">
        <v>0</v>
      </c>
      <c r="BT1458" s="6">
        <v>0</v>
      </c>
      <c r="BU1458" s="6">
        <v>0</v>
      </c>
      <c r="BV1458" s="6">
        <v>0</v>
      </c>
      <c r="BW1458" s="6">
        <v>0</v>
      </c>
      <c r="BX1458" s="6">
        <v>0</v>
      </c>
      <c r="BY1458" s="6">
        <v>0</v>
      </c>
      <c r="BZ1458" s="6">
        <v>0</v>
      </c>
      <c r="CA1458" s="6">
        <v>0</v>
      </c>
      <c r="CB1458" s="6">
        <v>0</v>
      </c>
      <c r="CC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81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6">
        <v>0</v>
      </c>
      <c r="BN1459" s="6">
        <v>0</v>
      </c>
      <c r="BO1459" s="6">
        <v>0</v>
      </c>
      <c r="BP1459" s="6">
        <v>0</v>
      </c>
      <c r="BQ1459" s="6">
        <v>0</v>
      </c>
      <c r="BR1459" s="6">
        <v>0</v>
      </c>
      <c r="BS1459" s="6">
        <v>0</v>
      </c>
      <c r="BT1459" s="6">
        <v>0</v>
      </c>
      <c r="BU1459" s="6">
        <v>0</v>
      </c>
      <c r="BV1459" s="6">
        <v>0</v>
      </c>
      <c r="BW1459" s="6">
        <v>0</v>
      </c>
      <c r="BX1459" s="6">
        <v>0</v>
      </c>
      <c r="BY1459" s="6">
        <v>0</v>
      </c>
      <c r="BZ1459" s="6">
        <v>0</v>
      </c>
      <c r="CA1459" s="6">
        <v>0</v>
      </c>
      <c r="CB1459" s="6">
        <v>0</v>
      </c>
      <c r="CC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81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6">
        <v>0</v>
      </c>
      <c r="BN1460" s="6">
        <v>0</v>
      </c>
      <c r="BO1460" s="6">
        <v>0</v>
      </c>
      <c r="BP1460" s="6">
        <v>0</v>
      </c>
      <c r="BQ1460" s="6">
        <v>0</v>
      </c>
      <c r="BR1460" s="6">
        <v>0</v>
      </c>
      <c r="BS1460" s="6">
        <v>0</v>
      </c>
      <c r="BT1460" s="6">
        <v>0</v>
      </c>
      <c r="BU1460" s="6">
        <v>0</v>
      </c>
      <c r="BV1460" s="6">
        <v>0</v>
      </c>
      <c r="BW1460" s="6">
        <v>0</v>
      </c>
      <c r="BX1460" s="6">
        <v>0</v>
      </c>
      <c r="BY1460" s="6">
        <v>0</v>
      </c>
      <c r="BZ1460" s="6">
        <v>0</v>
      </c>
      <c r="CA1460" s="6">
        <v>0</v>
      </c>
      <c r="CB1460" s="6">
        <v>0</v>
      </c>
      <c r="CC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81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6">
        <v>0</v>
      </c>
      <c r="BN1461" s="6">
        <v>0</v>
      </c>
      <c r="BO1461" s="6">
        <v>0</v>
      </c>
      <c r="BP1461" s="6">
        <v>0</v>
      </c>
      <c r="BQ1461" s="6">
        <v>0</v>
      </c>
      <c r="BR1461" s="6">
        <v>0</v>
      </c>
      <c r="BS1461" s="6">
        <v>0</v>
      </c>
      <c r="BT1461" s="6">
        <v>0</v>
      </c>
      <c r="BU1461" s="6">
        <v>0</v>
      </c>
      <c r="BV1461" s="6">
        <v>0</v>
      </c>
      <c r="BW1461" s="6">
        <v>0</v>
      </c>
      <c r="BX1461" s="6">
        <v>0</v>
      </c>
      <c r="BY1461" s="6">
        <v>0</v>
      </c>
      <c r="BZ1461" s="6">
        <v>0</v>
      </c>
      <c r="CA1461" s="6">
        <v>0</v>
      </c>
      <c r="CB1461" s="6">
        <v>0</v>
      </c>
      <c r="CC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81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6">
        <v>0</v>
      </c>
      <c r="BN1462" s="6">
        <v>0</v>
      </c>
      <c r="BO1462" s="6">
        <v>0</v>
      </c>
      <c r="BP1462" s="6">
        <v>0</v>
      </c>
      <c r="BQ1462" s="6">
        <v>0</v>
      </c>
      <c r="BR1462" s="6">
        <v>0</v>
      </c>
      <c r="BS1462" s="6">
        <v>0</v>
      </c>
      <c r="BT1462" s="6">
        <v>0</v>
      </c>
      <c r="BU1462" s="6">
        <v>0</v>
      </c>
      <c r="BV1462" s="6">
        <v>0</v>
      </c>
      <c r="BW1462" s="6">
        <v>0</v>
      </c>
      <c r="BX1462" s="6">
        <v>0</v>
      </c>
      <c r="BY1462" s="6">
        <v>0</v>
      </c>
      <c r="BZ1462" s="6">
        <v>0</v>
      </c>
      <c r="CA1462" s="6">
        <v>0</v>
      </c>
      <c r="CB1462" s="6">
        <v>0</v>
      </c>
      <c r="CC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81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6">
        <v>0</v>
      </c>
      <c r="BN1463" s="6">
        <v>0</v>
      </c>
      <c r="BO1463" s="6">
        <v>0</v>
      </c>
      <c r="BP1463" s="6">
        <v>0</v>
      </c>
      <c r="BQ1463" s="6">
        <v>0</v>
      </c>
      <c r="BR1463" s="6">
        <v>0</v>
      </c>
      <c r="BS1463" s="6">
        <v>0</v>
      </c>
      <c r="BT1463" s="6">
        <v>0</v>
      </c>
      <c r="BU1463" s="6">
        <v>0</v>
      </c>
      <c r="BV1463" s="6">
        <v>0</v>
      </c>
      <c r="BW1463" s="6">
        <v>0</v>
      </c>
      <c r="BX1463" s="6">
        <v>0</v>
      </c>
      <c r="BY1463" s="6">
        <v>0</v>
      </c>
      <c r="BZ1463" s="6">
        <v>0</v>
      </c>
      <c r="CA1463" s="6">
        <v>0</v>
      </c>
      <c r="CB1463" s="6">
        <v>0</v>
      </c>
      <c r="CC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81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6">
        <v>0</v>
      </c>
      <c r="BN1464" s="6">
        <v>0</v>
      </c>
      <c r="BO1464" s="6">
        <v>0</v>
      </c>
      <c r="BP1464" s="6">
        <v>0</v>
      </c>
      <c r="BQ1464" s="6">
        <v>0</v>
      </c>
      <c r="BR1464" s="6">
        <v>0</v>
      </c>
      <c r="BS1464" s="6">
        <v>0</v>
      </c>
      <c r="BT1464" s="6">
        <v>0</v>
      </c>
      <c r="BU1464" s="6">
        <v>0</v>
      </c>
      <c r="BV1464" s="6">
        <v>0</v>
      </c>
      <c r="BW1464" s="6">
        <v>0</v>
      </c>
      <c r="BX1464" s="6">
        <v>0</v>
      </c>
      <c r="BY1464" s="6">
        <v>0</v>
      </c>
      <c r="BZ1464" s="6">
        <v>0</v>
      </c>
      <c r="CA1464" s="6">
        <v>0</v>
      </c>
      <c r="CB1464" s="6">
        <v>0</v>
      </c>
      <c r="CC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81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6">
        <v>0</v>
      </c>
      <c r="BN1465" s="6">
        <v>0</v>
      </c>
      <c r="BO1465" s="6">
        <v>0</v>
      </c>
      <c r="BP1465" s="6">
        <v>0</v>
      </c>
      <c r="BQ1465" s="6">
        <v>0</v>
      </c>
      <c r="BR1465" s="6">
        <v>0</v>
      </c>
      <c r="BS1465" s="6">
        <v>0</v>
      </c>
      <c r="BT1465" s="6">
        <v>0</v>
      </c>
      <c r="BU1465" s="6">
        <v>0</v>
      </c>
      <c r="BV1465" s="6">
        <v>0</v>
      </c>
      <c r="BW1465" s="6">
        <v>0</v>
      </c>
      <c r="BX1465" s="6">
        <v>0</v>
      </c>
      <c r="BY1465" s="6">
        <v>0</v>
      </c>
      <c r="BZ1465" s="6">
        <v>0</v>
      </c>
      <c r="CA1465" s="6">
        <v>0</v>
      </c>
      <c r="CB1465" s="6">
        <v>0</v>
      </c>
      <c r="CC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81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6">
        <v>0</v>
      </c>
      <c r="BN1466" s="6">
        <v>0</v>
      </c>
      <c r="BO1466" s="6">
        <v>0</v>
      </c>
      <c r="BP1466" s="6">
        <v>0</v>
      </c>
      <c r="BQ1466" s="6">
        <v>0</v>
      </c>
      <c r="BR1466" s="6">
        <v>0</v>
      </c>
      <c r="BS1466" s="6">
        <v>0</v>
      </c>
      <c r="BT1466" s="6">
        <v>0</v>
      </c>
      <c r="BU1466" s="6">
        <v>0</v>
      </c>
      <c r="BV1466" s="6">
        <v>0</v>
      </c>
      <c r="BW1466" s="6">
        <v>0</v>
      </c>
      <c r="BX1466" s="6">
        <v>0</v>
      </c>
      <c r="BY1466" s="6">
        <v>0</v>
      </c>
      <c r="BZ1466" s="6">
        <v>0</v>
      </c>
      <c r="CA1466" s="6">
        <v>0</v>
      </c>
      <c r="CB1466" s="6">
        <v>0</v>
      </c>
      <c r="CC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81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6">
        <v>0</v>
      </c>
      <c r="BN1467" s="6">
        <v>0</v>
      </c>
      <c r="BO1467" s="6">
        <v>0</v>
      </c>
      <c r="BP1467" s="6">
        <v>0</v>
      </c>
      <c r="BQ1467" s="6">
        <v>0</v>
      </c>
      <c r="BR1467" s="6">
        <v>0</v>
      </c>
      <c r="BS1467" s="6">
        <v>0</v>
      </c>
      <c r="BT1467" s="6">
        <v>0</v>
      </c>
      <c r="BU1467" s="6">
        <v>0</v>
      </c>
      <c r="BV1467" s="6">
        <v>0</v>
      </c>
      <c r="BW1467" s="6">
        <v>0</v>
      </c>
      <c r="BX1467" s="6">
        <v>0</v>
      </c>
      <c r="BY1467" s="6">
        <v>0</v>
      </c>
      <c r="BZ1467" s="6">
        <v>0</v>
      </c>
      <c r="CA1467" s="6">
        <v>0</v>
      </c>
      <c r="CB1467" s="6">
        <v>0</v>
      </c>
      <c r="CC1467" s="75">
        <v>0</v>
      </c>
    </row>
    <row r="1468" spans="1:81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6">
        <v>0</v>
      </c>
      <c r="BN1468" s="6">
        <v>0</v>
      </c>
      <c r="BO1468" s="6">
        <v>0</v>
      </c>
      <c r="BP1468" s="6">
        <v>0</v>
      </c>
      <c r="BQ1468" s="6">
        <v>0</v>
      </c>
      <c r="BR1468" s="6">
        <v>0</v>
      </c>
      <c r="BS1468" s="6">
        <v>0</v>
      </c>
      <c r="BT1468" s="6">
        <v>0</v>
      </c>
      <c r="BU1468" s="6">
        <v>0</v>
      </c>
      <c r="BV1468" s="6">
        <v>0</v>
      </c>
      <c r="BW1468" s="6">
        <v>0</v>
      </c>
      <c r="BX1468" s="6">
        <v>0</v>
      </c>
      <c r="BY1468" s="6">
        <v>0</v>
      </c>
      <c r="BZ1468" s="6">
        <v>0</v>
      </c>
      <c r="CA1468" s="6">
        <v>0</v>
      </c>
      <c r="CB1468" s="6">
        <v>0</v>
      </c>
      <c r="CC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81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6">
        <v>0</v>
      </c>
      <c r="BN1469" s="6">
        <v>0</v>
      </c>
      <c r="BO1469" s="6">
        <v>0</v>
      </c>
      <c r="BP1469" s="6">
        <v>0</v>
      </c>
      <c r="BQ1469" s="6">
        <v>0</v>
      </c>
      <c r="BR1469" s="6">
        <v>0</v>
      </c>
      <c r="BS1469" s="6">
        <v>0</v>
      </c>
      <c r="BT1469" s="6">
        <v>0</v>
      </c>
      <c r="BU1469" s="6">
        <v>0</v>
      </c>
      <c r="BV1469" s="6">
        <v>0</v>
      </c>
      <c r="BW1469" s="6">
        <v>0</v>
      </c>
      <c r="BX1469" s="6">
        <v>0</v>
      </c>
      <c r="BY1469" s="6">
        <v>0</v>
      </c>
      <c r="BZ1469" s="6">
        <v>0</v>
      </c>
      <c r="CA1469" s="6">
        <v>0</v>
      </c>
      <c r="CB1469" s="6">
        <v>0</v>
      </c>
      <c r="CC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81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6">
        <v>0</v>
      </c>
      <c r="BN1470" s="6">
        <v>0</v>
      </c>
      <c r="BO1470" s="6">
        <v>0</v>
      </c>
      <c r="BP1470" s="6">
        <v>0</v>
      </c>
      <c r="BQ1470" s="6">
        <v>0</v>
      </c>
      <c r="BR1470" s="6">
        <v>0</v>
      </c>
      <c r="BS1470" s="6">
        <v>0</v>
      </c>
      <c r="BT1470" s="6">
        <v>0</v>
      </c>
      <c r="BU1470" s="6">
        <v>0</v>
      </c>
      <c r="BV1470" s="6">
        <v>0</v>
      </c>
      <c r="BW1470" s="6">
        <v>0</v>
      </c>
      <c r="BX1470" s="6">
        <v>0</v>
      </c>
      <c r="BY1470" s="6">
        <v>0</v>
      </c>
      <c r="BZ1470" s="6">
        <v>0</v>
      </c>
      <c r="CA1470" s="6">
        <v>0</v>
      </c>
      <c r="CB1470" s="6">
        <v>0</v>
      </c>
      <c r="CC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81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6">
        <v>0</v>
      </c>
      <c r="BN1471" s="6">
        <v>0</v>
      </c>
      <c r="BO1471" s="6">
        <v>0</v>
      </c>
      <c r="BP1471" s="6">
        <v>0</v>
      </c>
      <c r="BQ1471" s="6">
        <v>0</v>
      </c>
      <c r="BR1471" s="6">
        <v>0</v>
      </c>
      <c r="BS1471" s="6">
        <v>0</v>
      </c>
      <c r="BT1471" s="6">
        <v>0</v>
      </c>
      <c r="BU1471" s="6">
        <v>0</v>
      </c>
      <c r="BV1471" s="6">
        <v>0</v>
      </c>
      <c r="BW1471" s="6">
        <v>0</v>
      </c>
      <c r="BX1471" s="6">
        <v>0</v>
      </c>
      <c r="BY1471" s="6">
        <v>0</v>
      </c>
      <c r="BZ1471" s="6">
        <v>0</v>
      </c>
      <c r="CA1471" s="6">
        <v>0</v>
      </c>
      <c r="CB1471" s="6">
        <v>0</v>
      </c>
      <c r="CC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81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6">
        <v>0</v>
      </c>
      <c r="BN1472" s="6">
        <v>0</v>
      </c>
      <c r="BO1472" s="6">
        <v>0</v>
      </c>
      <c r="BP1472" s="6">
        <v>0</v>
      </c>
      <c r="BQ1472" s="6">
        <v>0</v>
      </c>
      <c r="BR1472" s="6">
        <v>0</v>
      </c>
      <c r="BS1472" s="6">
        <v>0</v>
      </c>
      <c r="BT1472" s="6">
        <v>0</v>
      </c>
      <c r="BU1472" s="6">
        <v>0</v>
      </c>
      <c r="BV1472" s="6">
        <v>0</v>
      </c>
      <c r="BW1472" s="6">
        <v>0</v>
      </c>
      <c r="BX1472" s="6">
        <v>0</v>
      </c>
      <c r="BY1472" s="6">
        <v>0</v>
      </c>
      <c r="BZ1472" s="6">
        <v>0</v>
      </c>
      <c r="CA1472" s="6">
        <v>0</v>
      </c>
      <c r="CB1472" s="6">
        <v>0</v>
      </c>
      <c r="CC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81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6">
        <v>0</v>
      </c>
      <c r="BN1473" s="6">
        <v>0</v>
      </c>
      <c r="BO1473" s="6">
        <v>0</v>
      </c>
      <c r="BP1473" s="6">
        <v>0</v>
      </c>
      <c r="BQ1473" s="6">
        <v>0</v>
      </c>
      <c r="BR1473" s="6">
        <v>0</v>
      </c>
      <c r="BS1473" s="6">
        <v>0</v>
      </c>
      <c r="BT1473" s="6">
        <v>0</v>
      </c>
      <c r="BU1473" s="6">
        <v>0</v>
      </c>
      <c r="BV1473" s="6">
        <v>0</v>
      </c>
      <c r="BW1473" s="6">
        <v>0</v>
      </c>
      <c r="BX1473" s="6">
        <v>0</v>
      </c>
      <c r="BY1473" s="6">
        <v>0</v>
      </c>
      <c r="BZ1473" s="6">
        <v>0</v>
      </c>
      <c r="CA1473" s="6">
        <v>0</v>
      </c>
      <c r="CB1473" s="6">
        <v>0</v>
      </c>
      <c r="CC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81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99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6">
        <v>0</v>
      </c>
      <c r="BN1474" s="6">
        <v>0</v>
      </c>
      <c r="BO1474" s="6">
        <v>0</v>
      </c>
      <c r="BP1474" s="6">
        <v>0</v>
      </c>
      <c r="BQ1474" s="6">
        <v>0</v>
      </c>
      <c r="BR1474" s="6">
        <v>0</v>
      </c>
      <c r="BS1474" s="6">
        <v>0</v>
      </c>
      <c r="BT1474" s="6">
        <v>0</v>
      </c>
      <c r="BU1474" s="6">
        <v>0</v>
      </c>
      <c r="BV1474" s="6">
        <v>0</v>
      </c>
      <c r="BW1474" s="6">
        <v>0</v>
      </c>
      <c r="BX1474" s="6">
        <v>0</v>
      </c>
      <c r="BY1474" s="6">
        <v>0</v>
      </c>
      <c r="BZ1474" s="6">
        <v>0</v>
      </c>
      <c r="CA1474" s="6">
        <v>0</v>
      </c>
      <c r="CB1474" s="6">
        <v>0</v>
      </c>
      <c r="CC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81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6">
        <v>0</v>
      </c>
      <c r="BN1475" s="6">
        <v>0</v>
      </c>
      <c r="BO1475" s="6">
        <v>0</v>
      </c>
      <c r="BP1475" s="6">
        <v>0</v>
      </c>
      <c r="BQ1475" s="6">
        <v>0</v>
      </c>
      <c r="BR1475" s="6">
        <v>0</v>
      </c>
      <c r="BS1475" s="6">
        <v>0</v>
      </c>
      <c r="BT1475" s="6">
        <v>0</v>
      </c>
      <c r="BU1475" s="6">
        <v>0</v>
      </c>
      <c r="BV1475" s="6">
        <v>0</v>
      </c>
      <c r="BW1475" s="6">
        <v>0</v>
      </c>
      <c r="BX1475" s="6">
        <v>0</v>
      </c>
      <c r="BY1475" s="6">
        <v>0</v>
      </c>
      <c r="BZ1475" s="6">
        <v>0</v>
      </c>
      <c r="CA1475" s="6">
        <v>0</v>
      </c>
      <c r="CB1475" s="6">
        <v>0</v>
      </c>
      <c r="CC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81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6">
        <v>0</v>
      </c>
      <c r="BN1476" s="6">
        <v>0</v>
      </c>
      <c r="BO1476" s="6">
        <v>0</v>
      </c>
      <c r="BP1476" s="6">
        <v>0</v>
      </c>
      <c r="BQ1476" s="6">
        <v>0</v>
      </c>
      <c r="BR1476" s="6">
        <v>0</v>
      </c>
      <c r="BS1476" s="6">
        <v>0</v>
      </c>
      <c r="BT1476" s="6">
        <v>0</v>
      </c>
      <c r="BU1476" s="6">
        <v>0</v>
      </c>
      <c r="BV1476" s="6">
        <v>0</v>
      </c>
      <c r="BW1476" s="6">
        <v>0</v>
      </c>
      <c r="BX1476" s="6">
        <v>0</v>
      </c>
      <c r="BY1476" s="6">
        <v>0</v>
      </c>
      <c r="BZ1476" s="6">
        <v>0</v>
      </c>
      <c r="CA1476" s="6">
        <v>0</v>
      </c>
      <c r="CB1476" s="6">
        <v>0</v>
      </c>
      <c r="CC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81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6">
        <v>0</v>
      </c>
      <c r="BN1477" s="6">
        <v>0</v>
      </c>
      <c r="BO1477" s="6">
        <v>0</v>
      </c>
      <c r="BP1477" s="6">
        <v>0</v>
      </c>
      <c r="BQ1477" s="6">
        <v>0</v>
      </c>
      <c r="BR1477" s="6">
        <v>0</v>
      </c>
      <c r="BS1477" s="6">
        <v>0</v>
      </c>
      <c r="BT1477" s="6">
        <v>0</v>
      </c>
      <c r="BU1477" s="6">
        <v>0</v>
      </c>
      <c r="BV1477" s="6">
        <v>0</v>
      </c>
      <c r="BW1477" s="6">
        <v>0</v>
      </c>
      <c r="BX1477" s="6">
        <v>0</v>
      </c>
      <c r="BY1477" s="6">
        <v>0</v>
      </c>
      <c r="BZ1477" s="6">
        <v>0</v>
      </c>
      <c r="CA1477" s="6">
        <v>0</v>
      </c>
      <c r="CB1477" s="6">
        <v>0</v>
      </c>
      <c r="CC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81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6">
        <v>0</v>
      </c>
      <c r="BN1478" s="6">
        <v>0</v>
      </c>
      <c r="BO1478" s="6">
        <v>0</v>
      </c>
      <c r="BP1478" s="6">
        <v>0</v>
      </c>
      <c r="BQ1478" s="6">
        <v>0</v>
      </c>
      <c r="BR1478" s="6">
        <v>0</v>
      </c>
      <c r="BS1478" s="6">
        <v>0</v>
      </c>
      <c r="BT1478" s="6">
        <v>0</v>
      </c>
      <c r="BU1478" s="6">
        <v>0</v>
      </c>
      <c r="BV1478" s="6">
        <v>0</v>
      </c>
      <c r="BW1478" s="6">
        <v>0</v>
      </c>
      <c r="BX1478" s="6">
        <v>0</v>
      </c>
      <c r="BY1478" s="6">
        <v>0</v>
      </c>
      <c r="BZ1478" s="6">
        <v>0</v>
      </c>
      <c r="CA1478" s="6">
        <v>0</v>
      </c>
      <c r="CB1478" s="6">
        <v>0</v>
      </c>
      <c r="CC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81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6">
        <v>0</v>
      </c>
      <c r="BN1479" s="6">
        <v>0</v>
      </c>
      <c r="BO1479" s="6">
        <v>0</v>
      </c>
      <c r="BP1479" s="6">
        <v>0</v>
      </c>
      <c r="BQ1479" s="6">
        <v>0</v>
      </c>
      <c r="BR1479" s="6">
        <v>0</v>
      </c>
      <c r="BS1479" s="6">
        <v>0</v>
      </c>
      <c r="BT1479" s="6">
        <v>0</v>
      </c>
      <c r="BU1479" s="6">
        <v>0</v>
      </c>
      <c r="BV1479" s="6">
        <v>0</v>
      </c>
      <c r="BW1479" s="6">
        <v>0</v>
      </c>
      <c r="BX1479" s="6">
        <v>0</v>
      </c>
      <c r="BY1479" s="6">
        <v>0</v>
      </c>
      <c r="BZ1479" s="6">
        <v>0</v>
      </c>
      <c r="CA1479" s="6">
        <v>0</v>
      </c>
      <c r="CB1479" s="6">
        <v>0</v>
      </c>
      <c r="CC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81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6">
        <v>0</v>
      </c>
      <c r="BN1480" s="6">
        <v>0</v>
      </c>
      <c r="BO1480" s="6">
        <v>0</v>
      </c>
      <c r="BP1480" s="6">
        <v>0</v>
      </c>
      <c r="BQ1480" s="6">
        <v>0</v>
      </c>
      <c r="BR1480" s="6">
        <v>0</v>
      </c>
      <c r="BS1480" s="6">
        <v>0</v>
      </c>
      <c r="BT1480" s="6">
        <v>0</v>
      </c>
      <c r="BU1480" s="6">
        <v>0</v>
      </c>
      <c r="BV1480" s="6">
        <v>0</v>
      </c>
      <c r="BW1480" s="6">
        <v>0</v>
      </c>
      <c r="BX1480" s="6">
        <v>0</v>
      </c>
      <c r="BY1480" s="6">
        <v>0</v>
      </c>
      <c r="BZ1480" s="6">
        <v>0</v>
      </c>
      <c r="CA1480" s="6">
        <v>0</v>
      </c>
      <c r="CB1480" s="6">
        <v>0</v>
      </c>
      <c r="CC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81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6">
        <v>0</v>
      </c>
      <c r="BN1481" s="6">
        <v>0</v>
      </c>
      <c r="BO1481" s="6">
        <v>0</v>
      </c>
      <c r="BP1481" s="6">
        <v>0</v>
      </c>
      <c r="BQ1481" s="6">
        <v>0</v>
      </c>
      <c r="BR1481" s="6">
        <v>0</v>
      </c>
      <c r="BS1481" s="6">
        <v>0</v>
      </c>
      <c r="BT1481" s="6">
        <v>0</v>
      </c>
      <c r="BU1481" s="6">
        <v>0</v>
      </c>
      <c r="BV1481" s="6">
        <v>0</v>
      </c>
      <c r="BW1481" s="6">
        <v>0</v>
      </c>
      <c r="BX1481" s="6">
        <v>0</v>
      </c>
      <c r="BY1481" s="6">
        <v>0</v>
      </c>
      <c r="BZ1481" s="6">
        <v>0</v>
      </c>
      <c r="CA1481" s="6">
        <v>0</v>
      </c>
      <c r="CB1481" s="6">
        <v>0</v>
      </c>
      <c r="CC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81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A1482" s="13" t="str">
        <f t="shared" si="31"/>
        <v/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6">
        <v>0</v>
      </c>
      <c r="BN1482" s="6">
        <v>0</v>
      </c>
      <c r="BO1482" s="6">
        <v>0</v>
      </c>
      <c r="BP1482" s="6">
        <v>0</v>
      </c>
      <c r="BQ1482" s="6">
        <v>0</v>
      </c>
      <c r="BR1482" s="6">
        <v>0</v>
      </c>
      <c r="BS1482" s="6">
        <v>0</v>
      </c>
      <c r="BT1482" s="6">
        <v>0</v>
      </c>
      <c r="BU1482" s="6">
        <v>0</v>
      </c>
      <c r="BV1482" s="6">
        <v>0</v>
      </c>
      <c r="BW1482" s="6">
        <v>0</v>
      </c>
      <c r="BX1482" s="6">
        <v>0</v>
      </c>
      <c r="BY1482" s="6">
        <v>0</v>
      </c>
      <c r="BZ1482" s="6">
        <v>0</v>
      </c>
      <c r="CA1482" s="6">
        <v>0</v>
      </c>
      <c r="CB1482" s="6">
        <v>0</v>
      </c>
      <c r="CC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81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R1483" s="14">
        <f>IF(Table3[[#This Row],[ShoulderLenEnd]]="",0,90-(DEGREES(ATAN((Q1483-P1483)/((N1483-O1483)/2)))))</f>
        <v>0</v>
      </c>
      <c r="S1483" s="15">
        <v>1.5</v>
      </c>
      <c r="T1483" s="6">
        <v>4</v>
      </c>
      <c r="U1483" s="6">
        <v>4</v>
      </c>
      <c r="V1483" s="6">
        <v>1</v>
      </c>
      <c r="AA1483" s="13" t="str">
        <f t="shared" si="31"/>
        <v/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6">
        <v>0</v>
      </c>
      <c r="BN1483" s="6">
        <v>0</v>
      </c>
      <c r="BO1483" s="6">
        <v>0</v>
      </c>
      <c r="BP1483" s="6">
        <v>0</v>
      </c>
      <c r="BQ1483" s="6">
        <v>0</v>
      </c>
      <c r="BR1483" s="6">
        <v>0</v>
      </c>
      <c r="BS1483" s="6">
        <v>0</v>
      </c>
      <c r="BT1483" s="6">
        <v>0</v>
      </c>
      <c r="BU1483" s="6">
        <v>0</v>
      </c>
      <c r="BV1483" s="6">
        <v>0</v>
      </c>
      <c r="BW1483" s="6">
        <v>0</v>
      </c>
      <c r="BX1483" s="6">
        <v>0</v>
      </c>
      <c r="BY1483" s="6">
        <v>0</v>
      </c>
      <c r="BZ1483" s="6">
        <v>0</v>
      </c>
      <c r="CA1483" s="6">
        <v>0</v>
      </c>
      <c r="CB1483" s="6">
        <v>0</v>
      </c>
      <c r="CC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81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f t="shared" si="31"/>
        <v>4.367642811194429E-3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6">
        <v>0</v>
      </c>
      <c r="BN1484" s="6">
        <v>0</v>
      </c>
      <c r="BO1484" s="6">
        <v>0</v>
      </c>
      <c r="BP1484" s="6">
        <v>0</v>
      </c>
      <c r="BQ1484" s="6">
        <v>0</v>
      </c>
      <c r="BR1484" s="6">
        <v>0</v>
      </c>
      <c r="BS1484" s="6">
        <v>0</v>
      </c>
      <c r="BT1484" s="6">
        <v>0</v>
      </c>
      <c r="BU1484" s="6">
        <v>0</v>
      </c>
      <c r="BV1484" s="6">
        <v>0</v>
      </c>
      <c r="BW1484" s="6">
        <v>0</v>
      </c>
      <c r="BX1484" s="6">
        <v>0</v>
      </c>
      <c r="BY1484" s="6">
        <v>0</v>
      </c>
      <c r="BZ1484" s="6">
        <v>0</v>
      </c>
      <c r="CA1484" s="6">
        <v>0</v>
      </c>
      <c r="CB1484" s="6">
        <v>0</v>
      </c>
      <c r="CC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81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A1485" s="13" t="str">
        <f t="shared" si="31"/>
        <v/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6">
        <v>0</v>
      </c>
      <c r="BN1485" s="6">
        <v>0</v>
      </c>
      <c r="BO1485" s="6">
        <v>0</v>
      </c>
      <c r="BP1485" s="6">
        <v>0</v>
      </c>
      <c r="BQ1485" s="6">
        <v>0</v>
      </c>
      <c r="BR1485" s="6">
        <v>0</v>
      </c>
      <c r="BS1485" s="6">
        <v>0</v>
      </c>
      <c r="BT1485" s="6">
        <v>0</v>
      </c>
      <c r="BU1485" s="6">
        <v>0</v>
      </c>
      <c r="BV1485" s="6">
        <v>0</v>
      </c>
      <c r="BW1485" s="6">
        <v>0</v>
      </c>
      <c r="BX1485" s="6">
        <v>0</v>
      </c>
      <c r="BY1485" s="6">
        <v>0</v>
      </c>
      <c r="BZ1485" s="6">
        <v>0</v>
      </c>
      <c r="CA1485" s="6">
        <v>0</v>
      </c>
      <c r="CB1485" s="6">
        <v>0</v>
      </c>
      <c r="CC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81" x14ac:dyDescent="0.25">
      <c r="A1486" s="6">
        <v>1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87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A1486" s="13" t="str">
        <f t="shared" si="31"/>
        <v/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6">
        <v>0</v>
      </c>
      <c r="BN1486" s="6">
        <v>0</v>
      </c>
      <c r="BO1486" s="6">
        <v>0</v>
      </c>
      <c r="BP1486" s="6">
        <v>0</v>
      </c>
      <c r="BQ1486" s="6">
        <v>0</v>
      </c>
      <c r="BR1486" s="6">
        <v>0</v>
      </c>
      <c r="BS1486" s="6">
        <v>0</v>
      </c>
      <c r="BT1486" s="6">
        <v>0</v>
      </c>
      <c r="BU1486" s="6">
        <v>0</v>
      </c>
      <c r="BV1486" s="6">
        <v>0</v>
      </c>
      <c r="BW1486" s="6">
        <v>0</v>
      </c>
      <c r="BX1486" s="6">
        <v>0</v>
      </c>
      <c r="BY1486" s="6">
        <v>0</v>
      </c>
      <c r="BZ1486" s="6">
        <v>0</v>
      </c>
      <c r="CA1486" s="6">
        <v>0</v>
      </c>
      <c r="CB1486" s="6">
        <v>0</v>
      </c>
      <c r="CC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487" spans="1:81" x14ac:dyDescent="0.25">
      <c r="A1487" s="6">
        <v>1</v>
      </c>
      <c r="B1487" s="6" t="s">
        <v>1565</v>
      </c>
      <c r="C1487" s="6" t="s">
        <v>1565</v>
      </c>
      <c r="H1487" s="10" t="s">
        <v>1565</v>
      </c>
      <c r="I1487" s="11" t="s">
        <v>4331</v>
      </c>
      <c r="J1487" s="30" t="s">
        <v>4332</v>
      </c>
      <c r="K1487" s="11" t="str">
        <f>CONCATENATE(Table3[[#This Row],[Type]]," "&amp;TEXT(Table3[[#This Row],[Diameter]],".0000")&amp;""," "&amp;Table3[[#This Row],[NumFlutes]]&amp;"FL")</f>
        <v>EM .3125 4FL</v>
      </c>
      <c r="M1487" s="13">
        <v>0.3125</v>
      </c>
      <c r="N1487" s="13">
        <v>0.3125</v>
      </c>
      <c r="O1487" s="6">
        <v>0.28999999999999998</v>
      </c>
      <c r="P1487" s="6">
        <v>0.98399999999999999</v>
      </c>
      <c r="Q1487" s="6">
        <v>1</v>
      </c>
      <c r="R1487" s="14">
        <f>IF(Table3[[#This Row],[ShoulderLenEnd]]="",0,90-(DEGREES(ATAN((Q1487-P1487)/((N1487-O1487)/2)))))</f>
        <v>35.112011184422194</v>
      </c>
      <c r="S1487" s="15">
        <v>1.05</v>
      </c>
      <c r="T1487" s="6">
        <v>4</v>
      </c>
      <c r="U1487" s="6">
        <v>2.5</v>
      </c>
      <c r="V1487" s="6">
        <v>0.625</v>
      </c>
      <c r="AA1487" s="13" t="str">
        <f t="shared" si="31"/>
        <v/>
      </c>
      <c r="AD1487" s="6">
        <v>0.626</v>
      </c>
      <c r="AE1487" s="6" t="s">
        <v>44</v>
      </c>
      <c r="AF1487" s="6" t="s">
        <v>123</v>
      </c>
      <c r="AG1487" s="6" t="s">
        <v>3510</v>
      </c>
      <c r="AI1487" s="6">
        <v>0</v>
      </c>
      <c r="AJ1487" s="6">
        <v>0</v>
      </c>
      <c r="AK1487" s="6">
        <v>1</v>
      </c>
      <c r="AL1487" s="6">
        <v>1</v>
      </c>
      <c r="AM1487" s="6">
        <v>0</v>
      </c>
      <c r="AN1487" s="6">
        <v>0</v>
      </c>
      <c r="AO1487" s="6">
        <v>1</v>
      </c>
      <c r="AP1487" s="6">
        <v>1</v>
      </c>
      <c r="AR1487" s="6">
        <v>0</v>
      </c>
      <c r="AS1487" s="6">
        <v>0</v>
      </c>
      <c r="AT1487" s="6">
        <v>0</v>
      </c>
      <c r="AU1487" s="6">
        <v>0</v>
      </c>
      <c r="AV1487" s="6">
        <v>1</v>
      </c>
      <c r="AW1487" s="6">
        <v>0</v>
      </c>
      <c r="AX1487" s="6">
        <v>0</v>
      </c>
      <c r="AY1487" s="6">
        <v>1</v>
      </c>
      <c r="AZ1487" s="6">
        <v>0</v>
      </c>
      <c r="BA1487" s="6">
        <v>0</v>
      </c>
      <c r="BB1487" s="6">
        <v>1</v>
      </c>
      <c r="BC1487" s="6">
        <v>0</v>
      </c>
      <c r="BD1487" s="6">
        <v>0</v>
      </c>
      <c r="BE1487" s="6">
        <v>1</v>
      </c>
      <c r="BF1487" s="6">
        <v>0</v>
      </c>
      <c r="BG1487" s="6">
        <v>0</v>
      </c>
      <c r="BH1487" s="6">
        <v>0</v>
      </c>
      <c r="BI1487" s="6">
        <v>0</v>
      </c>
      <c r="BJ1487" s="6">
        <v>0</v>
      </c>
      <c r="BK1487" s="6">
        <v>0</v>
      </c>
      <c r="BL1487" s="6">
        <v>0</v>
      </c>
      <c r="BM1487" s="6">
        <v>0</v>
      </c>
      <c r="BN1487" s="6">
        <v>0</v>
      </c>
      <c r="BO1487" s="6">
        <v>0</v>
      </c>
      <c r="BP1487" s="6">
        <v>0</v>
      </c>
      <c r="BQ1487" s="6">
        <v>0</v>
      </c>
      <c r="BR1487" s="6">
        <v>0</v>
      </c>
      <c r="BS1487" s="6">
        <v>0</v>
      </c>
      <c r="BT1487" s="6">
        <v>0</v>
      </c>
      <c r="BU1487" s="6">
        <v>0</v>
      </c>
      <c r="BV1487" s="6">
        <v>0</v>
      </c>
      <c r="BW1487" s="6">
        <v>0</v>
      </c>
      <c r="BX1487" s="6">
        <v>0</v>
      </c>
      <c r="BY1487" s="6">
        <v>0</v>
      </c>
      <c r="BZ1487" s="6">
        <v>0</v>
      </c>
      <c r="CA1487" s="6">
        <v>0</v>
      </c>
      <c r="CB1487" s="6">
        <v>0</v>
      </c>
      <c r="CC1487" s="75">
        <f>IF(Table3[[#This Row],[Type]]="EM",IF((Table3[[#This Row],[Diameter]]/2)-Table3[[#This Row],[CornerRadius]]-0.012&gt;0,(Table3[[#This Row],[Diameter]]/2)-Table3[[#This Row],[CornerRadius]]-0.012,0),)</f>
        <v>0.14424999999999999</v>
      </c>
    </row>
    <row r="1488" spans="1:81" x14ac:dyDescent="0.25">
      <c r="A1488" s="6">
        <v>1</v>
      </c>
      <c r="B1488" s="6" t="s">
        <v>1565</v>
      </c>
      <c r="C1488" s="6" t="s">
        <v>1565</v>
      </c>
      <c r="H1488" s="10" t="s">
        <v>1565</v>
      </c>
      <c r="I1488" s="11" t="s">
        <v>4333</v>
      </c>
      <c r="J1488" s="30" t="s">
        <v>4334</v>
      </c>
      <c r="K1488" s="11" t="str">
        <f>CONCATENATE(Table3[[#This Row],[Type]]," "&amp;TEXT(Table3[[#This Row],[Diameter]],".0000")&amp;""," "&amp;Table3[[#This Row],[NumFlutes]]&amp;"FL")</f>
        <v>EM .0354 4FL</v>
      </c>
      <c r="M1488" s="13">
        <v>3.5400000000000001E-2</v>
      </c>
      <c r="N1488" s="13">
        <v>0.125</v>
      </c>
      <c r="O1488" s="6">
        <v>3.4500000000000003E-2</v>
      </c>
      <c r="P1488" s="6">
        <v>5.21E-2</v>
      </c>
      <c r="Q1488" s="6">
        <v>0.26400000000000001</v>
      </c>
      <c r="R1488" s="14">
        <f>IF(Table3[[#This Row],[ShoulderLenEnd]]="",0,90-(DEGREES(ATAN((Q1488-P1488)/((N1488-O1488)/2)))))</f>
        <v>12.054126363585397</v>
      </c>
      <c r="S1488" s="15">
        <v>0.32500000000000001</v>
      </c>
      <c r="T1488" s="6">
        <v>4</v>
      </c>
      <c r="U1488" s="6">
        <v>1.5</v>
      </c>
      <c r="V1488" s="6">
        <v>5.1999999999999998E-2</v>
      </c>
      <c r="AA1488" s="13" t="str">
        <f t="shared" si="31"/>
        <v/>
      </c>
      <c r="AE1488" s="6" t="s">
        <v>44</v>
      </c>
      <c r="AF1488" s="6" t="s">
        <v>369</v>
      </c>
      <c r="AG1488" s="6" t="s">
        <v>66</v>
      </c>
      <c r="AI1488" s="6">
        <v>0</v>
      </c>
      <c r="AJ1488" s="6">
        <v>1</v>
      </c>
      <c r="AK1488" s="6">
        <v>1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R1488" s="6">
        <v>0</v>
      </c>
      <c r="AS1488" s="6">
        <v>0</v>
      </c>
      <c r="AT1488" s="6">
        <v>0</v>
      </c>
      <c r="AU1488" s="6">
        <v>0</v>
      </c>
      <c r="AV1488" s="6">
        <v>1</v>
      </c>
      <c r="AW1488" s="6">
        <v>0</v>
      </c>
      <c r="AX1488" s="6">
        <v>0</v>
      </c>
      <c r="AY1488" s="6">
        <v>0</v>
      </c>
      <c r="AZ1488" s="6">
        <v>1</v>
      </c>
      <c r="BA1488" s="6">
        <v>0</v>
      </c>
      <c r="BB1488" s="6">
        <v>0</v>
      </c>
      <c r="BC1488" s="6">
        <v>0</v>
      </c>
      <c r="BD1488" s="6">
        <v>0</v>
      </c>
      <c r="BE1488" s="6">
        <v>0</v>
      </c>
      <c r="BF1488" s="6">
        <v>0</v>
      </c>
      <c r="BG1488" s="6">
        <v>0</v>
      </c>
      <c r="BH1488" s="6">
        <v>0</v>
      </c>
      <c r="BI1488" s="6">
        <v>0</v>
      </c>
      <c r="BJ1488" s="6">
        <v>0</v>
      </c>
      <c r="BK1488" s="6">
        <v>0</v>
      </c>
      <c r="BL1488" s="6">
        <v>0</v>
      </c>
      <c r="BM1488" s="6">
        <v>0</v>
      </c>
      <c r="BN1488" s="6">
        <v>0</v>
      </c>
      <c r="BO1488" s="6">
        <v>0</v>
      </c>
      <c r="BP1488" s="6">
        <v>0</v>
      </c>
      <c r="BQ1488" s="6">
        <v>0</v>
      </c>
      <c r="BR1488" s="6">
        <v>0</v>
      </c>
      <c r="BS1488" s="6">
        <v>0</v>
      </c>
      <c r="BT1488" s="6">
        <v>0</v>
      </c>
      <c r="BU1488" s="6">
        <v>0</v>
      </c>
      <c r="BV1488" s="6">
        <v>0</v>
      </c>
      <c r="BW1488" s="6">
        <v>0</v>
      </c>
      <c r="BX1488" s="6">
        <v>0</v>
      </c>
      <c r="BY1488" s="6">
        <v>0</v>
      </c>
      <c r="BZ1488" s="6">
        <v>0</v>
      </c>
      <c r="CA1488" s="6">
        <v>0</v>
      </c>
      <c r="CB1488" s="6">
        <v>0</v>
      </c>
      <c r="CC1488" s="75">
        <f>IF(Table3[[#This Row],[Type]]="EM",IF((Table3[[#This Row],[Diameter]]/2)-Table3[[#This Row],[CornerRadius]]-0.012&gt;0,(Table3[[#This Row],[Diameter]]/2)-Table3[[#This Row],[CornerRadius]]-0.012,0),)</f>
        <v>5.7000000000000002E-3</v>
      </c>
    </row>
    <row r="1489" spans="1:81" x14ac:dyDescent="0.25">
      <c r="A1489" s="73">
        <v>1</v>
      </c>
      <c r="B1489" s="73" t="s">
        <v>149</v>
      </c>
      <c r="C1489" s="73"/>
      <c r="D1489" s="73" t="s">
        <v>149</v>
      </c>
      <c r="E1489" s="73"/>
      <c r="F1489" s="88"/>
      <c r="G1489" s="89"/>
      <c r="H1489" s="88" t="s">
        <v>150</v>
      </c>
      <c r="I1489" s="90" t="s">
        <v>4335</v>
      </c>
      <c r="J1489" s="91" t="s">
        <v>4336</v>
      </c>
      <c r="K1489" s="11" t="str">
        <f>CONCATENATE(Table3[[#This Row],[Type]]," "&amp;TEXT(Table3[[#This Row],[Diameter]],".0000")&amp;""," "&amp;Table3[[#This Row],[NumFlutes]]&amp;"FL")</f>
        <v>CD .0157 2FL</v>
      </c>
      <c r="M1489" s="92">
        <v>1.5699999999999999E-2</v>
      </c>
      <c r="N1489" s="92">
        <v>0.125</v>
      </c>
      <c r="O1489" s="73">
        <v>1.5699999999999999E-2</v>
      </c>
      <c r="P1489" s="73">
        <v>5.8000000000000003E-2</v>
      </c>
      <c r="Q1489" s="73">
        <v>0.25800000000000001</v>
      </c>
      <c r="R1489" s="14">
        <f>IF(Table3[[#This Row],[ShoulderLenEnd]]="",0,90-(DEGREES(ATAN((Q1489-P1489)/((N1489-O1489)/2)))))</f>
        <v>15.282991602756269</v>
      </c>
      <c r="S1489" s="93">
        <v>0.27</v>
      </c>
      <c r="T1489" s="73">
        <v>2</v>
      </c>
      <c r="U1489" s="73">
        <v>1.5</v>
      </c>
      <c r="V1489" s="73">
        <v>3.1E-2</v>
      </c>
      <c r="Z1489" s="73">
        <v>120</v>
      </c>
      <c r="AA1489" s="13">
        <f t="shared" si="31"/>
        <v>4.5321996131385631E-3</v>
      </c>
      <c r="AE1489" s="73" t="s">
        <v>44</v>
      </c>
      <c r="AF1489" s="73" t="s">
        <v>369</v>
      </c>
      <c r="AG1489" s="73" t="s">
        <v>4337</v>
      </c>
      <c r="AH1489" s="73" t="s">
        <v>153</v>
      </c>
      <c r="AI1489" s="6">
        <v>0</v>
      </c>
      <c r="AJ1489" s="73">
        <v>1</v>
      </c>
      <c r="AK1489" s="73">
        <v>0</v>
      </c>
      <c r="AL1489" s="73">
        <v>1</v>
      </c>
      <c r="AM1489" s="73">
        <v>1</v>
      </c>
      <c r="AN1489" s="73">
        <v>1</v>
      </c>
      <c r="AO1489" s="73">
        <v>1</v>
      </c>
      <c r="AP1489" s="73">
        <v>1</v>
      </c>
      <c r="AQ1489" s="73"/>
      <c r="AR1489" s="73">
        <v>0</v>
      </c>
      <c r="AS1489" s="73">
        <v>0</v>
      </c>
      <c r="AT1489" s="73">
        <v>0</v>
      </c>
      <c r="AU1489" s="73">
        <v>0</v>
      </c>
      <c r="AV1489" s="73">
        <v>0</v>
      </c>
      <c r="AW1489" s="73">
        <v>0</v>
      </c>
      <c r="AX1489" s="73">
        <v>0</v>
      </c>
      <c r="AY1489" s="73">
        <v>0</v>
      </c>
      <c r="AZ1489" s="73">
        <v>1</v>
      </c>
      <c r="BA1489" s="73">
        <v>0</v>
      </c>
      <c r="BB1489" s="73">
        <v>0</v>
      </c>
      <c r="BC1489" s="73">
        <v>0</v>
      </c>
      <c r="BD1489" s="73">
        <v>0</v>
      </c>
      <c r="BE1489" s="73">
        <v>0</v>
      </c>
      <c r="BF1489" s="73">
        <v>0</v>
      </c>
      <c r="BG1489" s="73">
        <v>0</v>
      </c>
      <c r="BH1489" s="73">
        <v>0</v>
      </c>
      <c r="BI1489" s="73">
        <v>0</v>
      </c>
      <c r="BJ1489" s="6">
        <v>0</v>
      </c>
      <c r="BK1489" s="6">
        <v>0</v>
      </c>
      <c r="BL1489" s="6">
        <v>0</v>
      </c>
      <c r="BM1489" s="6">
        <v>0</v>
      </c>
      <c r="BN1489" s="6">
        <v>0</v>
      </c>
      <c r="BO1489" s="6">
        <v>0</v>
      </c>
      <c r="BP1489" s="6">
        <v>0</v>
      </c>
      <c r="BQ1489" s="6">
        <v>0</v>
      </c>
      <c r="BR1489" s="6">
        <v>0</v>
      </c>
      <c r="BS1489" s="6">
        <v>0</v>
      </c>
      <c r="BT1489" s="6">
        <v>0</v>
      </c>
      <c r="BU1489" s="6">
        <v>0</v>
      </c>
      <c r="BV1489" s="6">
        <v>0</v>
      </c>
      <c r="BW1489" s="6">
        <v>0</v>
      </c>
      <c r="BX1489" s="6">
        <v>0</v>
      </c>
      <c r="BY1489" s="6">
        <v>0</v>
      </c>
      <c r="BZ1489" s="6">
        <v>0</v>
      </c>
      <c r="CA1489" s="6">
        <v>0</v>
      </c>
      <c r="CB1489" s="6">
        <v>0</v>
      </c>
      <c r="CC1489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:81" x14ac:dyDescent="0.25">
      <c r="A1490" s="73">
        <v>1</v>
      </c>
      <c r="B1490" s="73" t="s">
        <v>149</v>
      </c>
      <c r="C1490" s="73"/>
      <c r="D1490" s="73" t="s">
        <v>149</v>
      </c>
      <c r="E1490" s="73"/>
      <c r="F1490" s="88"/>
      <c r="G1490" s="89"/>
      <c r="H1490" s="88" t="s">
        <v>150</v>
      </c>
      <c r="I1490" s="90" t="s">
        <v>4338</v>
      </c>
      <c r="J1490" s="91" t="s">
        <v>4339</v>
      </c>
      <c r="K1490" s="11" t="str">
        <f>CONCATENATE(Table3[[#This Row],[Type]]," "&amp;TEXT(Table3[[#This Row],[Diameter]],".0000")&amp;""," "&amp;Table3[[#This Row],[NumFlutes]]&amp;"FL")</f>
        <v>CD .0059 2FL</v>
      </c>
      <c r="M1490" s="92">
        <v>5.8999999999999999E-3</v>
      </c>
      <c r="N1490" s="92">
        <v>0.125</v>
      </c>
      <c r="O1490" s="73">
        <v>5.8999999999999999E-3</v>
      </c>
      <c r="P1490" s="73">
        <v>2.1999999999999999E-2</v>
      </c>
      <c r="Q1490" s="73">
        <v>0.248</v>
      </c>
      <c r="R1490" s="14">
        <f>IF(Table3[[#This Row],[ShoulderLenEnd]]="",0,90-(DEGREES(ATAN((Q1490-P1490)/((N1490-O1490)/2)))))</f>
        <v>14.761655911558108</v>
      </c>
      <c r="S1490" s="93">
        <v>0.26</v>
      </c>
      <c r="T1490" s="73">
        <v>2</v>
      </c>
      <c r="U1490" s="73">
        <v>1.5</v>
      </c>
      <c r="V1490" s="73">
        <v>1.2E-2</v>
      </c>
      <c r="Z1490" s="73">
        <v>120</v>
      </c>
      <c r="AA1490" s="13">
        <f t="shared" si="31"/>
        <v>1.7031832941093966E-3</v>
      </c>
      <c r="AE1490" s="73" t="s">
        <v>44</v>
      </c>
      <c r="AF1490" s="73" t="s">
        <v>369</v>
      </c>
      <c r="AG1490" s="73" t="s">
        <v>4337</v>
      </c>
      <c r="AH1490" s="73" t="s">
        <v>153</v>
      </c>
      <c r="AI1490" s="6">
        <v>0</v>
      </c>
      <c r="AJ1490" s="73">
        <v>1</v>
      </c>
      <c r="AK1490" s="73">
        <v>0</v>
      </c>
      <c r="AL1490" s="73">
        <v>1</v>
      </c>
      <c r="AM1490" s="73">
        <v>1</v>
      </c>
      <c r="AN1490" s="73">
        <v>1</v>
      </c>
      <c r="AO1490" s="73">
        <v>1</v>
      </c>
      <c r="AP1490" s="73">
        <v>1</v>
      </c>
      <c r="AQ1490" s="73"/>
      <c r="AR1490" s="73">
        <v>0</v>
      </c>
      <c r="AS1490" s="73">
        <v>0</v>
      </c>
      <c r="AT1490" s="73">
        <v>0</v>
      </c>
      <c r="AU1490" s="73">
        <v>0</v>
      </c>
      <c r="AV1490" s="73">
        <v>0</v>
      </c>
      <c r="AW1490" s="73">
        <v>0</v>
      </c>
      <c r="AX1490" s="73">
        <v>0</v>
      </c>
      <c r="AY1490" s="73">
        <v>0</v>
      </c>
      <c r="AZ1490" s="73">
        <v>1</v>
      </c>
      <c r="BA1490" s="73">
        <v>0</v>
      </c>
      <c r="BB1490" s="73">
        <v>0</v>
      </c>
      <c r="BC1490" s="73">
        <v>0</v>
      </c>
      <c r="BD1490" s="73">
        <v>0</v>
      </c>
      <c r="BE1490" s="73">
        <v>0</v>
      </c>
      <c r="BF1490" s="73">
        <v>0</v>
      </c>
      <c r="BG1490" s="73">
        <v>0</v>
      </c>
      <c r="BH1490" s="73">
        <v>0</v>
      </c>
      <c r="BI1490" s="73">
        <v>0</v>
      </c>
      <c r="BJ1490" s="6">
        <v>0</v>
      </c>
      <c r="BK1490" s="6">
        <v>0</v>
      </c>
      <c r="BL1490" s="6">
        <v>0</v>
      </c>
      <c r="BM1490" s="6">
        <v>0</v>
      </c>
      <c r="BN1490" s="6">
        <v>0</v>
      </c>
      <c r="BO1490" s="6">
        <v>0</v>
      </c>
      <c r="BP1490" s="6">
        <v>0</v>
      </c>
      <c r="BQ1490" s="6">
        <v>0</v>
      </c>
      <c r="BR1490" s="6">
        <v>0</v>
      </c>
      <c r="BS1490" s="6">
        <v>0</v>
      </c>
      <c r="BT1490" s="6">
        <v>0</v>
      </c>
      <c r="BU1490" s="6">
        <v>0</v>
      </c>
      <c r="BV1490" s="6">
        <v>0</v>
      </c>
      <c r="BW1490" s="6">
        <v>0</v>
      </c>
      <c r="BX1490" s="6">
        <v>0</v>
      </c>
      <c r="BY1490" s="6">
        <v>0</v>
      </c>
      <c r="BZ1490" s="6">
        <v>0</v>
      </c>
      <c r="CA1490" s="6">
        <v>0</v>
      </c>
      <c r="CB1490" s="6">
        <v>0</v>
      </c>
      <c r="CC1490" s="75">
        <f>IF(Table3[[#This Row],[Type]]="EM",IF((Table3[[#This Row],[Diameter]]/2)-Table3[[#This Row],[CornerRadius]]-0.012&gt;0,(Table3[[#This Row],[Diameter]]/2)-Table3[[#This Row],[CornerRadius]]-0.012,0),)</f>
        <v>0</v>
      </c>
    </row>
    <row r="1491" spans="1:81" x14ac:dyDescent="0.25">
      <c r="A1491" s="73">
        <v>1</v>
      </c>
      <c r="B1491" s="73" t="s">
        <v>149</v>
      </c>
      <c r="C1491" s="73"/>
      <c r="D1491" s="73" t="s">
        <v>149</v>
      </c>
      <c r="E1491" s="73"/>
      <c r="F1491" s="88"/>
      <c r="G1491" s="89"/>
      <c r="H1491" s="88" t="s">
        <v>150</v>
      </c>
      <c r="I1491" s="90" t="s">
        <v>4340</v>
      </c>
      <c r="J1491" s="91" t="s">
        <v>4341</v>
      </c>
      <c r="K1491" s="11" t="str">
        <f>CONCATENATE(Table3[[#This Row],[Type]]," "&amp;TEXT(Table3[[#This Row],[Diameter]],".0000")&amp;""," "&amp;Table3[[#This Row],[NumFlutes]]&amp;"FL")</f>
        <v>CD .0177 2FL</v>
      </c>
      <c r="M1491" s="92">
        <v>1.77E-2</v>
      </c>
      <c r="N1491" s="92">
        <v>0.125</v>
      </c>
      <c r="O1491" s="73">
        <v>1.77E-2</v>
      </c>
      <c r="P1491" s="73">
        <v>5.8000000000000003E-2</v>
      </c>
      <c r="Q1491" s="73">
        <v>0.26100000000000001</v>
      </c>
      <c r="R1491" s="14">
        <f>IF(Table3[[#This Row],[ShoulderLenEnd]]="",0,90-(DEGREES(ATAN((Q1491-P1491)/((N1491-O1491)/2)))))</f>
        <v>14.803980156270498</v>
      </c>
      <c r="S1491" s="93">
        <v>0.27500000000000002</v>
      </c>
      <c r="T1491" s="73">
        <v>2</v>
      </c>
      <c r="U1491" s="73">
        <v>1.5</v>
      </c>
      <c r="V1491" s="73">
        <v>3.5000000000000003E-2</v>
      </c>
      <c r="Z1491" s="73">
        <v>120</v>
      </c>
      <c r="AA1491" s="13">
        <f t="shared" si="31"/>
        <v>5.1095498823281894E-3</v>
      </c>
      <c r="AE1491" s="73" t="s">
        <v>44</v>
      </c>
      <c r="AF1491" s="73" t="s">
        <v>369</v>
      </c>
      <c r="AG1491" s="73" t="s">
        <v>4337</v>
      </c>
      <c r="AH1491" s="73" t="s">
        <v>153</v>
      </c>
      <c r="AI1491" s="6">
        <v>0</v>
      </c>
      <c r="AJ1491" s="73">
        <v>1</v>
      </c>
      <c r="AK1491" s="73">
        <v>0</v>
      </c>
      <c r="AL1491" s="73">
        <v>1</v>
      </c>
      <c r="AM1491" s="73">
        <v>1</v>
      </c>
      <c r="AN1491" s="73">
        <v>1</v>
      </c>
      <c r="AO1491" s="73">
        <v>1</v>
      </c>
      <c r="AP1491" s="73">
        <v>1</v>
      </c>
      <c r="AQ1491" s="73"/>
      <c r="AR1491" s="73">
        <v>0</v>
      </c>
      <c r="AS1491" s="73">
        <v>0</v>
      </c>
      <c r="AT1491" s="73">
        <v>0</v>
      </c>
      <c r="AU1491" s="73">
        <v>0</v>
      </c>
      <c r="AV1491" s="73">
        <v>0</v>
      </c>
      <c r="AW1491" s="73">
        <v>0</v>
      </c>
      <c r="AX1491" s="73">
        <v>0</v>
      </c>
      <c r="AY1491" s="73">
        <v>0</v>
      </c>
      <c r="AZ1491" s="73">
        <v>1</v>
      </c>
      <c r="BA1491" s="73">
        <v>0</v>
      </c>
      <c r="BB1491" s="73">
        <v>0</v>
      </c>
      <c r="BC1491" s="73">
        <v>0</v>
      </c>
      <c r="BD1491" s="73">
        <v>0</v>
      </c>
      <c r="BE1491" s="73">
        <v>0</v>
      </c>
      <c r="BF1491" s="73">
        <v>0</v>
      </c>
      <c r="BG1491" s="73">
        <v>0</v>
      </c>
      <c r="BH1491" s="73">
        <v>0</v>
      </c>
      <c r="BI1491" s="73">
        <v>0</v>
      </c>
      <c r="BJ1491" s="6">
        <v>0</v>
      </c>
      <c r="BK1491" s="6">
        <v>0</v>
      </c>
      <c r="BL1491" s="6">
        <v>0</v>
      </c>
      <c r="BM1491" s="6">
        <v>0</v>
      </c>
      <c r="BN1491" s="6">
        <v>0</v>
      </c>
      <c r="BO1491" s="6">
        <v>0</v>
      </c>
      <c r="BP1491" s="6">
        <v>0</v>
      </c>
      <c r="BQ1491" s="6">
        <v>0</v>
      </c>
      <c r="BR1491" s="6">
        <v>0</v>
      </c>
      <c r="BS1491" s="6">
        <v>0</v>
      </c>
      <c r="BT1491" s="6">
        <v>0</v>
      </c>
      <c r="BU1491" s="6">
        <v>0</v>
      </c>
      <c r="BV1491" s="6">
        <v>0</v>
      </c>
      <c r="BW1491" s="6">
        <v>0</v>
      </c>
      <c r="BX1491" s="6">
        <v>0</v>
      </c>
      <c r="BY1491" s="6">
        <v>0</v>
      </c>
      <c r="BZ1491" s="6">
        <v>0</v>
      </c>
      <c r="CA1491" s="6">
        <v>0</v>
      </c>
      <c r="CB1491" s="6">
        <v>0</v>
      </c>
      <c r="CC1491" s="75">
        <f>IF(Table3[[#This Row],[Type]]="EM",IF((Table3[[#This Row],[Diameter]]/2)-Table3[[#This Row],[CornerRadius]]-0.012&gt;0,(Table3[[#This Row],[Diameter]]/2)-Table3[[#This Row],[CornerRadius]]-0.012,0),)</f>
        <v>0</v>
      </c>
    </row>
    <row r="1492" spans="1:81" x14ac:dyDescent="0.25">
      <c r="A1492" s="73">
        <v>1</v>
      </c>
      <c r="B1492" s="73" t="s">
        <v>149</v>
      </c>
      <c r="C1492" s="73"/>
      <c r="D1492" s="73" t="s">
        <v>149</v>
      </c>
      <c r="E1492" s="73"/>
      <c r="F1492" s="88"/>
      <c r="G1492" s="89"/>
      <c r="H1492" s="88" t="s">
        <v>150</v>
      </c>
      <c r="I1492" s="90" t="s">
        <v>4342</v>
      </c>
      <c r="J1492" s="91" t="s">
        <v>4343</v>
      </c>
      <c r="K1492" s="11" t="str">
        <f>CONCATENATE(Table3[[#This Row],[Type]]," "&amp;TEXT(Table3[[#This Row],[Diameter]],".0000")&amp;""," "&amp;Table3[[#This Row],[NumFlutes]]&amp;"FL")</f>
        <v>CD .0059 2FL</v>
      </c>
      <c r="M1492" s="92">
        <v>5.8999999999999999E-3</v>
      </c>
      <c r="N1492" s="92">
        <v>0.125</v>
      </c>
      <c r="O1492" s="73">
        <v>5.8999999999999999E-3</v>
      </c>
      <c r="P1492" s="73">
        <v>7.3999999999999996E-2</v>
      </c>
      <c r="Q1492" s="73">
        <v>0.52500000000000002</v>
      </c>
      <c r="R1492" s="14">
        <f>IF(Table3[[#This Row],[ShoulderLenEnd]]="",0,90-(DEGREES(ATAN((Q1492-P1492)/((N1492-O1492)/2)))))</f>
        <v>7.5218179010996948</v>
      </c>
      <c r="S1492" s="93">
        <v>0.55000000000000004</v>
      </c>
      <c r="T1492" s="73">
        <v>2</v>
      </c>
      <c r="U1492" s="73">
        <v>1.5</v>
      </c>
      <c r="V1492" s="73">
        <v>7.0999999999999994E-2</v>
      </c>
      <c r="Z1492" s="73">
        <v>120</v>
      </c>
      <c r="AA1492" s="13">
        <f t="shared" si="31"/>
        <v>1.7031832941093966E-3</v>
      </c>
      <c r="AE1492" s="73" t="s">
        <v>44</v>
      </c>
      <c r="AF1492" s="73" t="s">
        <v>369</v>
      </c>
      <c r="AG1492" s="73" t="s">
        <v>4337</v>
      </c>
      <c r="AH1492" s="73" t="s">
        <v>153</v>
      </c>
      <c r="AI1492" s="6">
        <v>0</v>
      </c>
      <c r="AJ1492" s="73">
        <v>1</v>
      </c>
      <c r="AK1492" s="73">
        <v>0</v>
      </c>
      <c r="AL1492" s="73">
        <v>1</v>
      </c>
      <c r="AM1492" s="73">
        <v>1</v>
      </c>
      <c r="AN1492" s="73">
        <v>1</v>
      </c>
      <c r="AO1492" s="73">
        <v>1</v>
      </c>
      <c r="AP1492" s="73">
        <v>1</v>
      </c>
      <c r="AQ1492" s="73" t="s">
        <v>4344</v>
      </c>
      <c r="AR1492" s="73">
        <v>0</v>
      </c>
      <c r="AS1492" s="73">
        <v>0</v>
      </c>
      <c r="AT1492" s="73">
        <v>0</v>
      </c>
      <c r="AU1492" s="73">
        <v>0</v>
      </c>
      <c r="AV1492" s="73">
        <v>0</v>
      </c>
      <c r="AW1492" s="73">
        <v>0</v>
      </c>
      <c r="AX1492" s="73">
        <v>0</v>
      </c>
      <c r="AY1492" s="73">
        <v>0</v>
      </c>
      <c r="AZ1492" s="73">
        <v>1</v>
      </c>
      <c r="BA1492" s="73">
        <v>0</v>
      </c>
      <c r="BB1492" s="73">
        <v>0</v>
      </c>
      <c r="BC1492" s="73">
        <v>0</v>
      </c>
      <c r="BD1492" s="73">
        <v>0</v>
      </c>
      <c r="BE1492" s="73">
        <v>0</v>
      </c>
      <c r="BF1492" s="73">
        <v>0</v>
      </c>
      <c r="BG1492" s="73">
        <v>0</v>
      </c>
      <c r="BH1492" s="73">
        <v>0</v>
      </c>
      <c r="BI1492" s="73">
        <v>0</v>
      </c>
      <c r="BJ1492" s="6">
        <v>0</v>
      </c>
      <c r="BK1492" s="6">
        <v>0</v>
      </c>
      <c r="BL1492" s="6">
        <v>0</v>
      </c>
      <c r="BM1492" s="6">
        <v>0</v>
      </c>
      <c r="BN1492" s="6">
        <v>0</v>
      </c>
      <c r="BO1492" s="6">
        <v>0</v>
      </c>
      <c r="BP1492" s="6">
        <v>0</v>
      </c>
      <c r="BQ1492" s="6">
        <v>0</v>
      </c>
      <c r="BR1492" s="6">
        <v>0</v>
      </c>
      <c r="BS1492" s="6">
        <v>0</v>
      </c>
      <c r="BT1492" s="6">
        <v>0</v>
      </c>
      <c r="BU1492" s="6">
        <v>0</v>
      </c>
      <c r="BV1492" s="6">
        <v>0</v>
      </c>
      <c r="BW1492" s="6">
        <v>0</v>
      </c>
      <c r="BX1492" s="6">
        <v>0</v>
      </c>
      <c r="BY1492" s="6">
        <v>0</v>
      </c>
      <c r="BZ1492" s="6">
        <v>0</v>
      </c>
      <c r="CA1492" s="6">
        <v>0</v>
      </c>
      <c r="CB1492" s="6">
        <v>0</v>
      </c>
      <c r="CC149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3" spans="1:81" x14ac:dyDescent="0.25">
      <c r="A1493" s="73">
        <v>1</v>
      </c>
      <c r="B1493" s="73" t="s">
        <v>149</v>
      </c>
      <c r="C1493" s="73"/>
      <c r="D1493" s="73" t="s">
        <v>149</v>
      </c>
      <c r="E1493" s="73"/>
      <c r="F1493" s="88"/>
      <c r="G1493" s="89"/>
      <c r="H1493" s="88" t="s">
        <v>150</v>
      </c>
      <c r="I1493" s="90" t="s">
        <v>4345</v>
      </c>
      <c r="J1493" s="91" t="s">
        <v>4346</v>
      </c>
      <c r="K1493" s="11" t="str">
        <f>CONCATENATE(Table3[[#This Row],[Type]]," "&amp;TEXT(Table3[[#This Row],[Diameter]],".0000")&amp;""," "&amp;Table3[[#This Row],[NumFlutes]]&amp;"FL")</f>
        <v>CD .0146 2FL</v>
      </c>
      <c r="M1493" s="92">
        <v>1.46E-2</v>
      </c>
      <c r="N1493" s="92">
        <v>0.125</v>
      </c>
      <c r="O1493" s="73">
        <v>1.46E-2</v>
      </c>
      <c r="P1493" s="73">
        <v>0.115</v>
      </c>
      <c r="Q1493" s="73">
        <v>0.32</v>
      </c>
      <c r="R1493" s="14">
        <f>IF(Table3[[#This Row],[ShoulderLenEnd]]="",0,90-(DEGREES(ATAN((Q1493-P1493)/((N1493-O1493)/2)))))</f>
        <v>15.070492770068441</v>
      </c>
      <c r="S1493" s="93">
        <v>0.33</v>
      </c>
      <c r="T1493" s="73">
        <v>2</v>
      </c>
      <c r="U1493" s="73">
        <v>1.5</v>
      </c>
      <c r="V1493" s="73">
        <v>8.6999999999999994E-2</v>
      </c>
      <c r="Z1493" s="73">
        <v>120</v>
      </c>
      <c r="AA1493" s="13">
        <f t="shared" si="31"/>
        <v>4.2146569650842692E-3</v>
      </c>
      <c r="AE1493" s="73" t="s">
        <v>44</v>
      </c>
      <c r="AF1493" s="73" t="s">
        <v>369</v>
      </c>
      <c r="AG1493" s="73" t="s">
        <v>4337</v>
      </c>
      <c r="AH1493" s="73" t="s">
        <v>153</v>
      </c>
      <c r="AI1493" s="6">
        <v>0</v>
      </c>
      <c r="AJ1493" s="73">
        <v>1</v>
      </c>
      <c r="AK1493" s="73">
        <v>0</v>
      </c>
      <c r="AL1493" s="73">
        <v>1</v>
      </c>
      <c r="AM1493" s="73">
        <v>1</v>
      </c>
      <c r="AN1493" s="73">
        <v>1</v>
      </c>
      <c r="AO1493" s="73">
        <v>1</v>
      </c>
      <c r="AP1493" s="73">
        <v>1</v>
      </c>
      <c r="AQ1493" s="73"/>
      <c r="AR1493" s="73">
        <v>0</v>
      </c>
      <c r="AS1493" s="73">
        <v>0</v>
      </c>
      <c r="AT1493" s="73">
        <v>0</v>
      </c>
      <c r="AU1493" s="73">
        <v>0</v>
      </c>
      <c r="AV1493" s="73">
        <v>0</v>
      </c>
      <c r="AW1493" s="73">
        <v>0</v>
      </c>
      <c r="AX1493" s="73">
        <v>0</v>
      </c>
      <c r="AY1493" s="73">
        <v>0</v>
      </c>
      <c r="AZ1493" s="73">
        <v>1</v>
      </c>
      <c r="BA1493" s="73">
        <v>0</v>
      </c>
      <c r="BB1493" s="73">
        <v>0</v>
      </c>
      <c r="BC1493" s="73">
        <v>0</v>
      </c>
      <c r="BD1493" s="73">
        <v>0</v>
      </c>
      <c r="BE1493" s="73">
        <v>0</v>
      </c>
      <c r="BF1493" s="73">
        <v>0</v>
      </c>
      <c r="BG1493" s="73">
        <v>0</v>
      </c>
      <c r="BH1493" s="73">
        <v>0</v>
      </c>
      <c r="BI1493" s="73">
        <v>0</v>
      </c>
      <c r="BJ1493" s="6">
        <v>0</v>
      </c>
      <c r="BK1493" s="6">
        <v>0</v>
      </c>
      <c r="BL1493" s="6">
        <v>0</v>
      </c>
      <c r="BM1493" s="6">
        <v>0</v>
      </c>
      <c r="BN1493" s="6">
        <v>0</v>
      </c>
      <c r="BO1493" s="6">
        <v>0</v>
      </c>
      <c r="BP1493" s="6">
        <v>0</v>
      </c>
      <c r="BQ1493" s="6">
        <v>0</v>
      </c>
      <c r="BR1493" s="6">
        <v>0</v>
      </c>
      <c r="BS1493" s="6">
        <v>0</v>
      </c>
      <c r="BT1493" s="6">
        <v>0</v>
      </c>
      <c r="BU1493" s="6">
        <v>0</v>
      </c>
      <c r="BV1493" s="6">
        <v>0</v>
      </c>
      <c r="BW1493" s="6">
        <v>0</v>
      </c>
      <c r="BX1493" s="6">
        <v>0</v>
      </c>
      <c r="BY1493" s="6">
        <v>0</v>
      </c>
      <c r="BZ1493" s="6">
        <v>0</v>
      </c>
      <c r="CA1493" s="6">
        <v>0</v>
      </c>
      <c r="CB1493" s="6">
        <v>0</v>
      </c>
      <c r="CC1493" s="75">
        <f>IF(Table3[[#This Row],[Type]]="EM",IF((Table3[[#This Row],[Diameter]]/2)-Table3[[#This Row],[CornerRadius]]-0.012&gt;0,(Table3[[#This Row],[Diameter]]/2)-Table3[[#This Row],[CornerRadius]]-0.012,0),)</f>
        <v>0</v>
      </c>
    </row>
    <row r="1494" spans="1:81" x14ac:dyDescent="0.25">
      <c r="A1494" s="73">
        <v>1</v>
      </c>
      <c r="B1494" s="73" t="s">
        <v>149</v>
      </c>
      <c r="C1494" s="73"/>
      <c r="D1494" s="73" t="s">
        <v>149</v>
      </c>
      <c r="E1494" s="73"/>
      <c r="F1494" s="88"/>
      <c r="G1494" s="89"/>
      <c r="H1494" s="88" t="s">
        <v>150</v>
      </c>
      <c r="I1494" s="90" t="s">
        <v>4347</v>
      </c>
      <c r="J1494" s="91" t="s">
        <v>4348</v>
      </c>
      <c r="K1494" s="11" t="str">
        <f>CONCATENATE(Table3[[#This Row],[Type]]," "&amp;TEXT(Table3[[#This Row],[Diameter]],".0000")&amp;""," "&amp;Table3[[#This Row],[NumFlutes]]&amp;"FL")</f>
        <v>CD .0083 2FL</v>
      </c>
      <c r="M1494" s="92">
        <v>8.3000000000000001E-3</v>
      </c>
      <c r="N1494" s="92">
        <v>0.125</v>
      </c>
      <c r="O1494" s="73">
        <v>8.3000000000000001E-3</v>
      </c>
      <c r="P1494" s="73">
        <v>0.10299999999999999</v>
      </c>
      <c r="Q1494" s="73">
        <v>0.52500000000000002</v>
      </c>
      <c r="R1494" s="14">
        <f>IF(Table3[[#This Row],[ShoulderLenEnd]]="",0,90-(DEGREES(ATAN((Q1494-P1494)/((N1494-O1494)/2)))))</f>
        <v>7.8723791226722</v>
      </c>
      <c r="S1494" s="93">
        <v>0.55000000000000004</v>
      </c>
      <c r="T1494" s="73">
        <v>2</v>
      </c>
      <c r="U1494" s="73">
        <v>1.5</v>
      </c>
      <c r="V1494" s="73">
        <v>9.8000000000000004E-2</v>
      </c>
      <c r="Z1494" s="73">
        <v>120</v>
      </c>
      <c r="AA1494" s="13">
        <f t="shared" si="31"/>
        <v>2.3960036171369477E-3</v>
      </c>
      <c r="AE1494" s="73" t="s">
        <v>44</v>
      </c>
      <c r="AF1494" s="73" t="s">
        <v>369</v>
      </c>
      <c r="AG1494" s="73" t="s">
        <v>4337</v>
      </c>
      <c r="AH1494" s="73" t="s">
        <v>153</v>
      </c>
      <c r="AI1494" s="6">
        <v>0</v>
      </c>
      <c r="AJ1494" s="73">
        <v>1</v>
      </c>
      <c r="AK1494" s="73">
        <v>0</v>
      </c>
      <c r="AL1494" s="73">
        <v>1</v>
      </c>
      <c r="AM1494" s="73">
        <v>1</v>
      </c>
      <c r="AN1494" s="73">
        <v>1</v>
      </c>
      <c r="AO1494" s="73">
        <v>1</v>
      </c>
      <c r="AP1494" s="73">
        <v>1</v>
      </c>
      <c r="AQ1494" s="73" t="s">
        <v>4349</v>
      </c>
      <c r="AR1494" s="73">
        <v>0</v>
      </c>
      <c r="AS1494" s="73">
        <v>0</v>
      </c>
      <c r="AT1494" s="73">
        <v>0</v>
      </c>
      <c r="AU1494" s="73">
        <v>0</v>
      </c>
      <c r="AV1494" s="73">
        <v>0</v>
      </c>
      <c r="AW1494" s="73">
        <v>0</v>
      </c>
      <c r="AX1494" s="73">
        <v>0</v>
      </c>
      <c r="AY1494" s="73">
        <v>0</v>
      </c>
      <c r="AZ1494" s="73">
        <v>1</v>
      </c>
      <c r="BA1494" s="73">
        <v>0</v>
      </c>
      <c r="BB1494" s="73">
        <v>0</v>
      </c>
      <c r="BC1494" s="73">
        <v>0</v>
      </c>
      <c r="BD1494" s="73">
        <v>0</v>
      </c>
      <c r="BE1494" s="73">
        <v>0</v>
      </c>
      <c r="BF1494" s="73">
        <v>0</v>
      </c>
      <c r="BG1494" s="73">
        <v>0</v>
      </c>
      <c r="BH1494" s="73">
        <v>0</v>
      </c>
      <c r="BI1494" s="73">
        <v>0</v>
      </c>
      <c r="BJ1494" s="6">
        <v>0</v>
      </c>
      <c r="BK1494" s="6">
        <v>0</v>
      </c>
      <c r="BL1494" s="6">
        <v>0</v>
      </c>
      <c r="BM1494" s="6">
        <v>0</v>
      </c>
      <c r="BN1494" s="6">
        <v>0</v>
      </c>
      <c r="BO1494" s="6">
        <v>0</v>
      </c>
      <c r="BP1494" s="6">
        <v>0</v>
      </c>
      <c r="BQ1494" s="6">
        <v>0</v>
      </c>
      <c r="BR1494" s="6">
        <v>0</v>
      </c>
      <c r="BS1494" s="6">
        <v>0</v>
      </c>
      <c r="BT1494" s="6">
        <v>0</v>
      </c>
      <c r="BU1494" s="6">
        <v>0</v>
      </c>
      <c r="BV1494" s="6">
        <v>0</v>
      </c>
      <c r="BW1494" s="6">
        <v>0</v>
      </c>
      <c r="BX1494" s="6">
        <v>0</v>
      </c>
      <c r="BY1494" s="6">
        <v>0</v>
      </c>
      <c r="BZ1494" s="6">
        <v>0</v>
      </c>
      <c r="CA1494" s="6">
        <v>0</v>
      </c>
      <c r="CB1494" s="6">
        <v>0</v>
      </c>
      <c r="CC1494" s="75">
        <f>IF(Table3[[#This Row],[Type]]="EM",IF((Table3[[#This Row],[Diameter]]/2)-Table3[[#This Row],[CornerRadius]]-0.012&gt;0,(Table3[[#This Row],[Diameter]]/2)-Table3[[#This Row],[CornerRadius]]-0.012,0),)</f>
        <v>0</v>
      </c>
    </row>
    <row r="1495" spans="1:81" x14ac:dyDescent="0.25">
      <c r="A1495" s="73">
        <v>1</v>
      </c>
      <c r="B1495" s="73" t="s">
        <v>2193</v>
      </c>
      <c r="C1495" s="73"/>
      <c r="D1495" s="73" t="s">
        <v>2193</v>
      </c>
      <c r="E1495" s="73"/>
      <c r="F1495" s="88"/>
      <c r="G1495" s="89"/>
      <c r="H1495" s="88" t="s">
        <v>2193</v>
      </c>
      <c r="I1495" s="90" t="s">
        <v>4350</v>
      </c>
      <c r="J1495" s="91" t="s">
        <v>4351</v>
      </c>
      <c r="K1495" s="11" t="str">
        <f>CONCATENATE(Table3[[#This Row],[Type]]," "&amp;TEXT(Table3[[#This Row],[Diameter]],".0000")&amp;""," "&amp;Table3[[#This Row],[NumFlutes]]&amp;"FL")</f>
        <v>SD .0394 1FL</v>
      </c>
      <c r="M1495" s="92">
        <v>3.9399999999999998E-2</v>
      </c>
      <c r="N1495" s="92">
        <v>0.125</v>
      </c>
      <c r="O1495" s="73">
        <v>3.9399999999999998E-2</v>
      </c>
      <c r="P1495" s="73">
        <v>0.13</v>
      </c>
      <c r="Q1495" s="73">
        <v>0.29199999999999998</v>
      </c>
      <c r="R1495" s="14">
        <f>IF(Table3[[#This Row],[ShoulderLenEnd]]="",0,90-(DEGREES(ATAN((Q1495-P1495)/((N1495-O1495)/2)))))</f>
        <v>14.799257379816609</v>
      </c>
      <c r="S1495" s="93">
        <v>0.31</v>
      </c>
      <c r="T1495" s="73">
        <v>1</v>
      </c>
      <c r="U1495" s="73">
        <v>1.5</v>
      </c>
      <c r="V1495" s="73">
        <v>0.11799999999999999</v>
      </c>
      <c r="Z1495" s="73">
        <v>53.13</v>
      </c>
      <c r="AA1495" s="13">
        <f t="shared" si="31"/>
        <v>3.9400087981195646E-2</v>
      </c>
      <c r="AE1495" s="73" t="s">
        <v>44</v>
      </c>
      <c r="AF1495" s="73" t="s">
        <v>369</v>
      </c>
      <c r="AG1495" s="73" t="s">
        <v>4337</v>
      </c>
      <c r="AH1495" s="73" t="s">
        <v>3140</v>
      </c>
      <c r="AI1495" s="6">
        <v>0</v>
      </c>
      <c r="AJ1495" s="73">
        <v>1</v>
      </c>
      <c r="AK1495" s="73">
        <v>0</v>
      </c>
      <c r="AL1495" s="73">
        <v>1</v>
      </c>
      <c r="AM1495" s="73">
        <v>1</v>
      </c>
      <c r="AN1495" s="73">
        <v>1</v>
      </c>
      <c r="AO1495" s="73">
        <v>1</v>
      </c>
      <c r="AP1495" s="73">
        <v>1</v>
      </c>
      <c r="AQ1495" s="73"/>
      <c r="AR1495" s="73">
        <v>0</v>
      </c>
      <c r="AS1495" s="73">
        <v>0</v>
      </c>
      <c r="AT1495" s="73">
        <v>0</v>
      </c>
      <c r="AU1495" s="73">
        <v>0</v>
      </c>
      <c r="AV1495" s="73">
        <v>0</v>
      </c>
      <c r="AW1495" s="73">
        <v>0</v>
      </c>
      <c r="AX1495" s="73">
        <v>0</v>
      </c>
      <c r="AY1495" s="73">
        <v>0</v>
      </c>
      <c r="AZ1495" s="73">
        <v>1</v>
      </c>
      <c r="BA1495" s="73">
        <v>0</v>
      </c>
      <c r="BB1495" s="73">
        <v>0</v>
      </c>
      <c r="BC1495" s="73">
        <v>0</v>
      </c>
      <c r="BD1495" s="73">
        <v>0</v>
      </c>
      <c r="BE1495" s="73">
        <v>0</v>
      </c>
      <c r="BF1495" s="73">
        <v>0</v>
      </c>
      <c r="BG1495" s="73">
        <v>0</v>
      </c>
      <c r="BH1495" s="73">
        <v>0</v>
      </c>
      <c r="BI1495" s="73">
        <v>0</v>
      </c>
      <c r="BJ1495" s="6">
        <v>0</v>
      </c>
      <c r="BK1495" s="6">
        <v>0</v>
      </c>
      <c r="BL1495" s="6">
        <v>0</v>
      </c>
      <c r="BM1495" s="6">
        <v>0</v>
      </c>
      <c r="BN1495" s="6">
        <v>0</v>
      </c>
      <c r="BO1495" s="6">
        <v>0</v>
      </c>
      <c r="BP1495" s="6">
        <v>0</v>
      </c>
      <c r="BQ1495" s="6">
        <v>0</v>
      </c>
      <c r="BR1495" s="6">
        <v>0</v>
      </c>
      <c r="BS1495" s="6">
        <v>0</v>
      </c>
      <c r="BT1495" s="6">
        <v>0</v>
      </c>
      <c r="BU1495" s="6">
        <v>0</v>
      </c>
      <c r="BV1495" s="6">
        <v>0</v>
      </c>
      <c r="BW1495" s="6">
        <v>0</v>
      </c>
      <c r="BX1495" s="6">
        <v>0</v>
      </c>
      <c r="BY1495" s="6">
        <v>0</v>
      </c>
      <c r="BZ1495" s="6">
        <v>0</v>
      </c>
      <c r="CA1495" s="6">
        <v>0</v>
      </c>
      <c r="CB1495" s="6">
        <v>0</v>
      </c>
      <c r="CC1495" s="75">
        <f>IF(Table3[[#This Row],[Type]]="EM",IF((Table3[[#This Row],[Diameter]]/2)-Table3[[#This Row],[CornerRadius]]-0.012&gt;0,(Table3[[#This Row],[Diameter]]/2)-Table3[[#This Row],[CornerRadius]]-0.012,0),)</f>
        <v>0</v>
      </c>
    </row>
    <row r="1496" spans="1:81" x14ac:dyDescent="0.25">
      <c r="A1496" s="73">
        <v>1</v>
      </c>
      <c r="B1496" s="73" t="s">
        <v>149</v>
      </c>
      <c r="C1496" s="73"/>
      <c r="D1496" s="73" t="s">
        <v>149</v>
      </c>
      <c r="E1496" s="73"/>
      <c r="F1496" s="88"/>
      <c r="G1496" s="89"/>
      <c r="H1496" s="88" t="s">
        <v>150</v>
      </c>
      <c r="I1496" s="90" t="s">
        <v>4352</v>
      </c>
      <c r="J1496" s="91" t="s">
        <v>4353</v>
      </c>
      <c r="K1496" s="11" t="str">
        <f>CONCATENATE(Table3[[#This Row],[Type]]," "&amp;TEXT(Table3[[#This Row],[Diameter]],".0000")&amp;""," "&amp;Table3[[#This Row],[NumFlutes]]&amp;"FL")</f>
        <v>CD .0106 2FL</v>
      </c>
      <c r="M1496" s="92">
        <v>1.06E-2</v>
      </c>
      <c r="N1496" s="92">
        <v>0.125</v>
      </c>
      <c r="O1496" s="73">
        <v>1.06E-2</v>
      </c>
      <c r="P1496" s="73">
        <v>0.129</v>
      </c>
      <c r="Q1496" s="73">
        <v>0.52500000000000002</v>
      </c>
      <c r="R1496" s="14">
        <f>IF(Table3[[#This Row],[ShoulderLenEnd]]="",0,90-(DEGREES(ATAN((Q1496-P1496)/((N1496-O1496)/2)))))</f>
        <v>8.2192092488990482</v>
      </c>
      <c r="S1496" s="93">
        <v>0.55000000000000004</v>
      </c>
      <c r="T1496" s="73">
        <v>2</v>
      </c>
      <c r="U1496" s="73">
        <v>1.5</v>
      </c>
      <c r="V1496" s="73">
        <v>0.126</v>
      </c>
      <c r="Z1496" s="73">
        <v>120</v>
      </c>
      <c r="AA1496" s="13">
        <f t="shared" si="31"/>
        <v>3.0599564267050176E-3</v>
      </c>
      <c r="AE1496" s="73" t="s">
        <v>44</v>
      </c>
      <c r="AF1496" s="73" t="s">
        <v>369</v>
      </c>
      <c r="AG1496" s="73" t="s">
        <v>4337</v>
      </c>
      <c r="AH1496" s="73" t="s">
        <v>153</v>
      </c>
      <c r="AI1496" s="6">
        <v>0</v>
      </c>
      <c r="AJ1496" s="73">
        <v>1</v>
      </c>
      <c r="AK1496" s="73">
        <v>0</v>
      </c>
      <c r="AL1496" s="73">
        <v>1</v>
      </c>
      <c r="AM1496" s="73">
        <v>1</v>
      </c>
      <c r="AN1496" s="73">
        <v>1</v>
      </c>
      <c r="AO1496" s="73">
        <v>1</v>
      </c>
      <c r="AP1496" s="73">
        <v>1</v>
      </c>
      <c r="AQ1496" s="73" t="s">
        <v>4354</v>
      </c>
      <c r="AR1496" s="73">
        <v>0</v>
      </c>
      <c r="AS1496" s="73">
        <v>0</v>
      </c>
      <c r="AT1496" s="73">
        <v>0</v>
      </c>
      <c r="AU1496" s="73">
        <v>0</v>
      </c>
      <c r="AV1496" s="73">
        <v>0</v>
      </c>
      <c r="AW1496" s="73">
        <v>0</v>
      </c>
      <c r="AX1496" s="73">
        <v>0</v>
      </c>
      <c r="AY1496" s="73">
        <v>0</v>
      </c>
      <c r="AZ1496" s="73">
        <v>1</v>
      </c>
      <c r="BA1496" s="73">
        <v>0</v>
      </c>
      <c r="BB1496" s="73">
        <v>0</v>
      </c>
      <c r="BC1496" s="73">
        <v>0</v>
      </c>
      <c r="BD1496" s="73">
        <v>0</v>
      </c>
      <c r="BE1496" s="73">
        <v>0</v>
      </c>
      <c r="BF1496" s="73">
        <v>0</v>
      </c>
      <c r="BG1496" s="73">
        <v>0</v>
      </c>
      <c r="BH1496" s="73">
        <v>0</v>
      </c>
      <c r="BI1496" s="73">
        <v>0</v>
      </c>
      <c r="BJ1496" s="6">
        <v>0</v>
      </c>
      <c r="BK1496" s="6">
        <v>0</v>
      </c>
      <c r="BL1496" s="6">
        <v>0</v>
      </c>
      <c r="BM1496" s="6">
        <v>0</v>
      </c>
      <c r="BN1496" s="6">
        <v>0</v>
      </c>
      <c r="BO1496" s="6">
        <v>0</v>
      </c>
      <c r="BP1496" s="6">
        <v>0</v>
      </c>
      <c r="BQ1496" s="6">
        <v>0</v>
      </c>
      <c r="BR1496" s="6">
        <v>0</v>
      </c>
      <c r="BS1496" s="6">
        <v>0</v>
      </c>
      <c r="BT1496" s="6">
        <v>0</v>
      </c>
      <c r="BU1496" s="6">
        <v>0</v>
      </c>
      <c r="BV1496" s="6">
        <v>0</v>
      </c>
      <c r="BW1496" s="6">
        <v>0</v>
      </c>
      <c r="BX1496" s="6">
        <v>0</v>
      </c>
      <c r="BY1496" s="6">
        <v>0</v>
      </c>
      <c r="BZ1496" s="6">
        <v>0</v>
      </c>
      <c r="CA1496" s="6">
        <v>0</v>
      </c>
      <c r="CB1496" s="6">
        <v>0</v>
      </c>
      <c r="CC1496" s="75">
        <f>IF(Table3[[#This Row],[Type]]="EM",IF((Table3[[#This Row],[Diameter]]/2)-Table3[[#This Row],[CornerRadius]]-0.012&gt;0,(Table3[[#This Row],[Diameter]]/2)-Table3[[#This Row],[CornerRadius]]-0.012,0),)</f>
        <v>0</v>
      </c>
    </row>
    <row r="1497" spans="1:81" x14ac:dyDescent="0.25">
      <c r="A1497" s="73">
        <v>1</v>
      </c>
      <c r="B1497" s="73" t="s">
        <v>149</v>
      </c>
      <c r="C1497" s="73"/>
      <c r="D1497" s="73" t="s">
        <v>149</v>
      </c>
      <c r="E1497" s="73"/>
      <c r="F1497" s="88"/>
      <c r="G1497" s="89"/>
      <c r="H1497" s="88" t="s">
        <v>150</v>
      </c>
      <c r="I1497" s="90" t="s">
        <v>4355</v>
      </c>
      <c r="J1497" s="91" t="s">
        <v>4356</v>
      </c>
      <c r="K1497" s="11" t="str">
        <f>CONCATENATE(Table3[[#This Row],[Type]]," "&amp;TEXT(Table3[[#This Row],[Diameter]],".0000")&amp;""," "&amp;Table3[[#This Row],[NumFlutes]]&amp;"FL")</f>
        <v>CD .0114 2FL</v>
      </c>
      <c r="M1497" s="92">
        <v>1.14E-2</v>
      </c>
      <c r="N1497" s="92">
        <v>0.125</v>
      </c>
      <c r="O1497" s="73">
        <v>1.14E-2</v>
      </c>
      <c r="P1497" s="73">
        <v>0.16</v>
      </c>
      <c r="Q1497" s="73">
        <v>0.52500000000000002</v>
      </c>
      <c r="R1497" s="14">
        <f>IF(Table3[[#This Row],[ShoulderLenEnd]]="",0,90-(DEGREES(ATAN((Q1497-P1497)/((N1497-O1497)/2)))))</f>
        <v>8.8452204415325753</v>
      </c>
      <c r="S1497" s="93">
        <v>0.55000000000000004</v>
      </c>
      <c r="T1497" s="73">
        <v>2</v>
      </c>
      <c r="U1497" s="73">
        <v>1.5</v>
      </c>
      <c r="V1497" s="73">
        <v>0.13800000000000001</v>
      </c>
      <c r="Z1497" s="73">
        <v>120</v>
      </c>
      <c r="AA1497" s="13">
        <f t="shared" si="31"/>
        <v>3.2908965343808679E-3</v>
      </c>
      <c r="AE1497" s="73" t="s">
        <v>44</v>
      </c>
      <c r="AF1497" s="73" t="s">
        <v>369</v>
      </c>
      <c r="AG1497" s="73" t="s">
        <v>4337</v>
      </c>
      <c r="AH1497" s="73" t="s">
        <v>153</v>
      </c>
      <c r="AI1497" s="6">
        <v>0</v>
      </c>
      <c r="AJ1497" s="73">
        <v>1</v>
      </c>
      <c r="AK1497" s="73">
        <v>0</v>
      </c>
      <c r="AL1497" s="73">
        <v>1</v>
      </c>
      <c r="AM1497" s="73">
        <v>1</v>
      </c>
      <c r="AN1497" s="73">
        <v>1</v>
      </c>
      <c r="AO1497" s="73">
        <v>1</v>
      </c>
      <c r="AP1497" s="73">
        <v>1</v>
      </c>
      <c r="AQ1497" s="73" t="s">
        <v>4357</v>
      </c>
      <c r="AR1497" s="73">
        <v>0</v>
      </c>
      <c r="AS1497" s="73">
        <v>0</v>
      </c>
      <c r="AT1497" s="73">
        <v>0</v>
      </c>
      <c r="AU1497" s="73">
        <v>0</v>
      </c>
      <c r="AV1497" s="73">
        <v>0</v>
      </c>
      <c r="AW1497" s="73">
        <v>0</v>
      </c>
      <c r="AX1497" s="73">
        <v>0</v>
      </c>
      <c r="AY1497" s="73">
        <v>0</v>
      </c>
      <c r="AZ1497" s="73">
        <v>1</v>
      </c>
      <c r="BA1497" s="73">
        <v>0</v>
      </c>
      <c r="BB1497" s="73">
        <v>0</v>
      </c>
      <c r="BC1497" s="73">
        <v>0</v>
      </c>
      <c r="BD1497" s="73">
        <v>0</v>
      </c>
      <c r="BE1497" s="73">
        <v>0</v>
      </c>
      <c r="BF1497" s="73">
        <v>0</v>
      </c>
      <c r="BG1497" s="73">
        <v>0</v>
      </c>
      <c r="BH1497" s="73">
        <v>0</v>
      </c>
      <c r="BI1497" s="73">
        <v>0</v>
      </c>
      <c r="BJ1497" s="6">
        <v>0</v>
      </c>
      <c r="BK1497" s="6">
        <v>0</v>
      </c>
      <c r="BL1497" s="6">
        <v>0</v>
      </c>
      <c r="BM1497" s="6">
        <v>0</v>
      </c>
      <c r="BN1497" s="6">
        <v>0</v>
      </c>
      <c r="BO1497" s="6">
        <v>0</v>
      </c>
      <c r="BP1497" s="6">
        <v>0</v>
      </c>
      <c r="BQ1497" s="6">
        <v>0</v>
      </c>
      <c r="BR1497" s="6">
        <v>0</v>
      </c>
      <c r="BS1497" s="6">
        <v>0</v>
      </c>
      <c r="BT1497" s="6">
        <v>0</v>
      </c>
      <c r="BU1497" s="6">
        <v>0</v>
      </c>
      <c r="BV1497" s="6">
        <v>0</v>
      </c>
      <c r="BW1497" s="6">
        <v>0</v>
      </c>
      <c r="BX1497" s="6">
        <v>0</v>
      </c>
      <c r="BY1497" s="6">
        <v>0</v>
      </c>
      <c r="BZ1497" s="6">
        <v>0</v>
      </c>
      <c r="CA1497" s="6">
        <v>0</v>
      </c>
      <c r="CB1497" s="6">
        <v>0</v>
      </c>
      <c r="CC1497" s="75">
        <f>IF(Table3[[#This Row],[Type]]="EM",IF((Table3[[#This Row],[Diameter]]/2)-Table3[[#This Row],[CornerRadius]]-0.012&gt;0,(Table3[[#This Row],[Diameter]]/2)-Table3[[#This Row],[CornerRadius]]-0.012,0),)</f>
        <v>0</v>
      </c>
    </row>
    <row r="1498" spans="1:81" x14ac:dyDescent="0.25">
      <c r="A1498" s="73">
        <v>1</v>
      </c>
      <c r="B1498" s="73" t="s">
        <v>149</v>
      </c>
      <c r="C1498" s="73"/>
      <c r="D1498" s="73" t="s">
        <v>149</v>
      </c>
      <c r="E1498" s="73"/>
      <c r="F1498" s="88"/>
      <c r="G1498" s="89"/>
      <c r="H1498" s="88" t="s">
        <v>150</v>
      </c>
      <c r="I1498" s="90" t="s">
        <v>4358</v>
      </c>
      <c r="J1498" s="91" t="s">
        <v>4359</v>
      </c>
      <c r="K1498" s="11" t="str">
        <f>CONCATENATE(Table3[[#This Row],[Type]]," "&amp;TEXT(Table3[[#This Row],[Diameter]],".0000")&amp;""," "&amp;Table3[[#This Row],[NumFlutes]]&amp;"FL")</f>
        <v>CD .0165 2FL</v>
      </c>
      <c r="M1498" s="92">
        <v>1.6500000000000001E-2</v>
      </c>
      <c r="N1498" s="92">
        <v>0.125</v>
      </c>
      <c r="O1498" s="73">
        <v>1.6500000000000001E-2</v>
      </c>
      <c r="P1498" s="73">
        <v>0.20200000000000001</v>
      </c>
      <c r="Q1498" s="73">
        <v>0.40899999999999997</v>
      </c>
      <c r="R1498" s="14">
        <f>IF(Table3[[#This Row],[ShoulderLenEnd]]="",0,90-(DEGREES(ATAN((Q1498-P1498)/((N1498-O1498)/2)))))</f>
        <v>14.685643592851662</v>
      </c>
      <c r="S1498" s="93">
        <v>0.42</v>
      </c>
      <c r="T1498" s="73">
        <v>2</v>
      </c>
      <c r="U1498" s="73">
        <v>1.5</v>
      </c>
      <c r="V1498" s="73">
        <v>0.19700000000000001</v>
      </c>
      <c r="Z1498" s="73">
        <v>120</v>
      </c>
      <c r="AA1498" s="13">
        <f t="shared" si="31"/>
        <v>4.7631397208144147E-3</v>
      </c>
      <c r="AE1498" s="73" t="s">
        <v>44</v>
      </c>
      <c r="AF1498" s="73" t="s">
        <v>369</v>
      </c>
      <c r="AG1498" s="73" t="s">
        <v>4337</v>
      </c>
      <c r="AH1498" s="73" t="s">
        <v>153</v>
      </c>
      <c r="AI1498" s="6">
        <v>0</v>
      </c>
      <c r="AJ1498" s="73">
        <v>1</v>
      </c>
      <c r="AK1498" s="73">
        <v>0</v>
      </c>
      <c r="AL1498" s="73">
        <v>1</v>
      </c>
      <c r="AM1498" s="73">
        <v>1</v>
      </c>
      <c r="AN1498" s="73">
        <v>1</v>
      </c>
      <c r="AO1498" s="73">
        <v>1</v>
      </c>
      <c r="AP1498" s="73">
        <v>1</v>
      </c>
      <c r="AQ1498" s="73"/>
      <c r="AR1498" s="73">
        <v>0</v>
      </c>
      <c r="AS1498" s="73">
        <v>0</v>
      </c>
      <c r="AT1498" s="73">
        <v>0</v>
      </c>
      <c r="AU1498" s="73">
        <v>0</v>
      </c>
      <c r="AV1498" s="73">
        <v>0</v>
      </c>
      <c r="AW1498" s="73">
        <v>0</v>
      </c>
      <c r="AX1498" s="73">
        <v>0</v>
      </c>
      <c r="AY1498" s="73">
        <v>0</v>
      </c>
      <c r="AZ1498" s="73">
        <v>1</v>
      </c>
      <c r="BA1498" s="73">
        <v>0</v>
      </c>
      <c r="BB1498" s="73">
        <v>0</v>
      </c>
      <c r="BC1498" s="73">
        <v>0</v>
      </c>
      <c r="BD1498" s="73">
        <v>0</v>
      </c>
      <c r="BE1498" s="73">
        <v>0</v>
      </c>
      <c r="BF1498" s="73">
        <v>0</v>
      </c>
      <c r="BG1498" s="73">
        <v>0</v>
      </c>
      <c r="BH1498" s="73">
        <v>0</v>
      </c>
      <c r="BI1498" s="73">
        <v>0</v>
      </c>
      <c r="BJ1498" s="6">
        <v>0</v>
      </c>
      <c r="BK1498" s="6">
        <v>0</v>
      </c>
      <c r="BL1498" s="6">
        <v>0</v>
      </c>
      <c r="BM1498" s="6">
        <v>0</v>
      </c>
      <c r="BN1498" s="6">
        <v>0</v>
      </c>
      <c r="BO1498" s="6">
        <v>0</v>
      </c>
      <c r="BP1498" s="6">
        <v>0</v>
      </c>
      <c r="BQ1498" s="6">
        <v>0</v>
      </c>
      <c r="BR1498" s="6">
        <v>0</v>
      </c>
      <c r="BS1498" s="6">
        <v>0</v>
      </c>
      <c r="BT1498" s="6">
        <v>0</v>
      </c>
      <c r="BU1498" s="6">
        <v>0</v>
      </c>
      <c r="BV1498" s="6">
        <v>0</v>
      </c>
      <c r="BW1498" s="6">
        <v>0</v>
      </c>
      <c r="BX1498" s="6">
        <v>0</v>
      </c>
      <c r="BY1498" s="6">
        <v>0</v>
      </c>
      <c r="BZ1498" s="6">
        <v>0</v>
      </c>
      <c r="CA1498" s="6">
        <v>0</v>
      </c>
      <c r="CB1498" s="6">
        <v>0</v>
      </c>
      <c r="CC1498" s="75">
        <f>IF(Table3[[#This Row],[Type]]="EM",IF((Table3[[#This Row],[Diameter]]/2)-Table3[[#This Row],[CornerRadius]]-0.012&gt;0,(Table3[[#This Row],[Diameter]]/2)-Table3[[#This Row],[CornerRadius]]-0.012,0),)</f>
        <v>0</v>
      </c>
    </row>
    <row r="1499" spans="1:81" x14ac:dyDescent="0.25">
      <c r="A1499" s="73">
        <v>1</v>
      </c>
      <c r="B1499" s="73" t="s">
        <v>149</v>
      </c>
      <c r="C1499" s="73"/>
      <c r="D1499" s="73" t="s">
        <v>149</v>
      </c>
      <c r="E1499" s="73"/>
      <c r="F1499" s="88"/>
      <c r="G1499" s="89"/>
      <c r="H1499" s="88" t="s">
        <v>150</v>
      </c>
      <c r="I1499" s="90" t="s">
        <v>4360</v>
      </c>
      <c r="J1499" s="91" t="s">
        <v>4361</v>
      </c>
      <c r="K1499" s="11" t="str">
        <f>CONCATENATE(Table3[[#This Row],[Type]]," "&amp;TEXT(Table3[[#This Row],[Diameter]],".0000")&amp;""," "&amp;Table3[[#This Row],[NumFlutes]]&amp;"FL")</f>
        <v>CD .0185 2FL</v>
      </c>
      <c r="M1499" s="92">
        <v>1.8499999999999999E-2</v>
      </c>
      <c r="N1499" s="92">
        <v>0.125</v>
      </c>
      <c r="O1499" s="73">
        <v>1.8499999999999999E-2</v>
      </c>
      <c r="P1499" s="73">
        <v>0.25900000000000001</v>
      </c>
      <c r="Q1499" s="73">
        <v>0.45700000000000002</v>
      </c>
      <c r="R1499" s="14">
        <f>IF(Table3[[#This Row],[ShoulderLenEnd]]="",0,90-(DEGREES(ATAN((Q1499-P1499)/((N1499-O1499)/2)))))</f>
        <v>15.052920769707356</v>
      </c>
      <c r="S1499" s="93">
        <v>0.47</v>
      </c>
      <c r="T1499" s="73">
        <v>2</v>
      </c>
      <c r="U1499" s="73">
        <v>1.5</v>
      </c>
      <c r="V1499" s="73">
        <v>0.22</v>
      </c>
      <c r="Z1499" s="73">
        <v>120</v>
      </c>
      <c r="AA1499" s="13">
        <f t="shared" si="31"/>
        <v>5.34048999000404E-3</v>
      </c>
      <c r="AE1499" s="73" t="s">
        <v>44</v>
      </c>
      <c r="AF1499" s="73" t="s">
        <v>369</v>
      </c>
      <c r="AG1499" s="73" t="s">
        <v>4337</v>
      </c>
      <c r="AH1499" s="73" t="s">
        <v>153</v>
      </c>
      <c r="AI1499" s="6">
        <v>0</v>
      </c>
      <c r="AJ1499" s="73">
        <v>1</v>
      </c>
      <c r="AK1499" s="73">
        <v>0</v>
      </c>
      <c r="AL1499" s="73">
        <v>1</v>
      </c>
      <c r="AM1499" s="73">
        <v>1</v>
      </c>
      <c r="AN1499" s="73">
        <v>1</v>
      </c>
      <c r="AO1499" s="73">
        <v>1</v>
      </c>
      <c r="AP1499" s="73">
        <v>1</v>
      </c>
      <c r="AQ1499" s="73"/>
      <c r="AR1499" s="73">
        <v>0</v>
      </c>
      <c r="AS1499" s="73">
        <v>0</v>
      </c>
      <c r="AT1499" s="73">
        <v>0</v>
      </c>
      <c r="AU1499" s="73">
        <v>0</v>
      </c>
      <c r="AV1499" s="73">
        <v>0</v>
      </c>
      <c r="AW1499" s="73">
        <v>0</v>
      </c>
      <c r="AX1499" s="73">
        <v>0</v>
      </c>
      <c r="AY1499" s="73">
        <v>0</v>
      </c>
      <c r="AZ1499" s="73">
        <v>1</v>
      </c>
      <c r="BA1499" s="73">
        <v>0</v>
      </c>
      <c r="BB1499" s="73">
        <v>0</v>
      </c>
      <c r="BC1499" s="73">
        <v>0</v>
      </c>
      <c r="BD1499" s="73">
        <v>0</v>
      </c>
      <c r="BE1499" s="73">
        <v>0</v>
      </c>
      <c r="BF1499" s="73">
        <v>0</v>
      </c>
      <c r="BG1499" s="73">
        <v>0</v>
      </c>
      <c r="BH1499" s="73">
        <v>0</v>
      </c>
      <c r="BI1499" s="73">
        <v>0</v>
      </c>
      <c r="BJ1499" s="6">
        <v>0</v>
      </c>
      <c r="BK1499" s="6">
        <v>0</v>
      </c>
      <c r="BL1499" s="6">
        <v>0</v>
      </c>
      <c r="BM1499" s="6">
        <v>0</v>
      </c>
      <c r="BN1499" s="6">
        <v>0</v>
      </c>
      <c r="BO1499" s="6">
        <v>0</v>
      </c>
      <c r="BP1499" s="6">
        <v>0</v>
      </c>
      <c r="BQ1499" s="6">
        <v>0</v>
      </c>
      <c r="BR1499" s="6">
        <v>0</v>
      </c>
      <c r="BS1499" s="6">
        <v>0</v>
      </c>
      <c r="BT1499" s="6">
        <v>0</v>
      </c>
      <c r="BU1499" s="6">
        <v>0</v>
      </c>
      <c r="BV1499" s="6">
        <v>0</v>
      </c>
      <c r="BW1499" s="6">
        <v>0</v>
      </c>
      <c r="BX1499" s="6">
        <v>0</v>
      </c>
      <c r="BY1499" s="6">
        <v>0</v>
      </c>
      <c r="BZ1499" s="6">
        <v>0</v>
      </c>
      <c r="CA1499" s="6">
        <v>0</v>
      </c>
      <c r="CB1499" s="6">
        <v>0</v>
      </c>
      <c r="CC1499" s="75">
        <f>IF(Table3[[#This Row],[Type]]="EM",IF((Table3[[#This Row],[Diameter]]/2)-Table3[[#This Row],[CornerRadius]]-0.012&gt;0,(Table3[[#This Row],[Diameter]]/2)-Table3[[#This Row],[CornerRadius]]-0.012,0),)</f>
        <v>0</v>
      </c>
    </row>
    <row r="1500" spans="1:81" x14ac:dyDescent="0.25">
      <c r="A1500" s="6">
        <v>1</v>
      </c>
      <c r="B1500" s="6" t="s">
        <v>2211</v>
      </c>
      <c r="C1500" s="6" t="s">
        <v>1873</v>
      </c>
      <c r="H1500" s="10" t="s">
        <v>2211</v>
      </c>
      <c r="I1500" s="11" t="s">
        <v>4375</v>
      </c>
      <c r="J1500" s="30" t="s">
        <v>4376</v>
      </c>
      <c r="K1500" s="11" t="str">
        <f>CONCATENATE(Table3[[#This Row],[Type]]," "&amp;TEXT(Table3[[#This Row],[Diameter]],".0000")&amp;""," "&amp;Table3[[#This Row],[NumFlutes]]&amp;"FL")</f>
        <v>SS 4.0000 36FL</v>
      </c>
      <c r="M1500" s="13">
        <v>4</v>
      </c>
      <c r="N1500" s="13">
        <v>1</v>
      </c>
      <c r="O1500" s="6">
        <v>1</v>
      </c>
      <c r="P1500" s="6">
        <v>0.185</v>
      </c>
      <c r="R1500" s="14">
        <f>IF(Table3[[#This Row],[ShoulderLenEnd]]="",0,90-(DEGREES(ATAN((Q1500-P1500)/((N1500-O1500)/2)))))</f>
        <v>0</v>
      </c>
      <c r="S1500" s="15">
        <v>1.5</v>
      </c>
      <c r="T1500" s="6">
        <v>36</v>
      </c>
      <c r="U1500" s="6">
        <v>4.4550000000000001</v>
      </c>
      <c r="V1500" s="6">
        <v>0.184</v>
      </c>
      <c r="W1500" s="6">
        <v>0</v>
      </c>
      <c r="AE1500" s="6" t="s">
        <v>44</v>
      </c>
      <c r="AF1500" s="6" t="s">
        <v>62</v>
      </c>
      <c r="AG1500" s="6" t="s">
        <v>66</v>
      </c>
      <c r="AI1500" s="6">
        <v>0</v>
      </c>
      <c r="AJ1500" s="6">
        <v>1</v>
      </c>
      <c r="AK1500" s="6">
        <v>0</v>
      </c>
      <c r="AL1500" s="6">
        <v>1</v>
      </c>
      <c r="AM1500" s="6">
        <v>0</v>
      </c>
      <c r="AN1500" s="6">
        <v>0</v>
      </c>
      <c r="AO1500" s="6">
        <v>1</v>
      </c>
      <c r="AP1500" s="6">
        <v>1</v>
      </c>
      <c r="AQ1500" s="6" t="s">
        <v>4377</v>
      </c>
      <c r="AR1500" s="6">
        <v>0</v>
      </c>
      <c r="AS1500" s="6">
        <v>0</v>
      </c>
      <c r="AT1500" s="6">
        <v>0</v>
      </c>
      <c r="AU1500" s="6">
        <v>0</v>
      </c>
      <c r="AV1500" s="6">
        <v>0</v>
      </c>
      <c r="AW1500" s="6">
        <v>0</v>
      </c>
      <c r="AX1500" s="6">
        <v>0</v>
      </c>
      <c r="AY1500" s="6">
        <v>1</v>
      </c>
      <c r="AZ1500" s="6">
        <v>0</v>
      </c>
      <c r="BA1500" s="6">
        <v>0</v>
      </c>
      <c r="BB1500" s="6">
        <v>0</v>
      </c>
      <c r="BC1500" s="6">
        <v>0</v>
      </c>
      <c r="BD1500" s="6">
        <v>0</v>
      </c>
      <c r="BE1500" s="6">
        <v>0</v>
      </c>
      <c r="BF1500" s="6">
        <v>1</v>
      </c>
      <c r="BG1500" s="6">
        <v>0</v>
      </c>
      <c r="BH1500" s="6">
        <v>0</v>
      </c>
      <c r="BI1500" s="6">
        <v>0</v>
      </c>
      <c r="BJ1500" s="6">
        <v>0</v>
      </c>
      <c r="BK1500" s="6">
        <v>0</v>
      </c>
      <c r="BL1500" s="6">
        <v>0</v>
      </c>
      <c r="BM1500" s="6">
        <v>0</v>
      </c>
      <c r="BN1500" s="6">
        <v>0</v>
      </c>
      <c r="BO1500" s="6">
        <v>0</v>
      </c>
      <c r="BP1500" s="6">
        <v>0</v>
      </c>
      <c r="BQ1500" s="6">
        <v>0</v>
      </c>
      <c r="BR1500" s="6">
        <v>0</v>
      </c>
      <c r="BS1500" s="6">
        <v>0</v>
      </c>
      <c r="BT1500" s="6">
        <v>0</v>
      </c>
      <c r="BU1500" s="6">
        <v>0</v>
      </c>
      <c r="BV1500" s="6">
        <v>0</v>
      </c>
      <c r="BW1500" s="6">
        <v>0</v>
      </c>
      <c r="BX1500" s="6">
        <v>0</v>
      </c>
      <c r="BY1500" s="6">
        <v>0</v>
      </c>
      <c r="BZ1500" s="6">
        <v>0</v>
      </c>
      <c r="CA1500" s="6">
        <v>0</v>
      </c>
      <c r="CB1500" s="6">
        <v>0</v>
      </c>
      <c r="CC1500" s="75">
        <f>IF(Table3[[#This Row],[Type]]="EM",IF((Table3[[#This Row],[Diameter]]/2)-Table3[[#This Row],[CornerRadius]]-0.012&gt;0,(Table3[[#This Row],[Diameter]]/2)-Table3[[#This Row],[CornerRadius]]-0.012,0),)</f>
        <v>0</v>
      </c>
    </row>
    <row r="1501" spans="1:81" x14ac:dyDescent="0.25">
      <c r="A1501" s="6">
        <v>1</v>
      </c>
      <c r="B1501" s="6" t="s">
        <v>1565</v>
      </c>
      <c r="C1501" s="6" t="s">
        <v>3402</v>
      </c>
      <c r="H1501" s="10" t="s">
        <v>3405</v>
      </c>
      <c r="I1501" s="11" t="s">
        <v>4419</v>
      </c>
      <c r="J1501" s="30">
        <v>30002</v>
      </c>
      <c r="K1501" s="11" t="str">
        <f>CONCATENATE(Table3[[#This Row],[Type]]," "&amp;TEXT(Table3[[#This Row],[Diameter]],".0000")&amp;""," "&amp;Table3[[#This Row],[NumFlutes]]&amp;"FL")</f>
        <v>MT 2.3621 1FL</v>
      </c>
      <c r="M1501" s="13">
        <v>2.3620999999999999</v>
      </c>
      <c r="N1501" s="13">
        <v>2.3620999999999999</v>
      </c>
      <c r="O1501" s="6">
        <v>2.3620999999999999</v>
      </c>
      <c r="P1501" s="6">
        <v>0.62</v>
      </c>
      <c r="R1501" s="14">
        <f>IF(Table3[[#This Row],[ShoulderLenEnd]]="",0,90-(DEGREES(ATAN((Q1501-P1501)/((N1501-O1501)/2)))))</f>
        <v>0</v>
      </c>
      <c r="S1501" s="15">
        <v>0.5</v>
      </c>
      <c r="T1501" s="6">
        <v>1</v>
      </c>
      <c r="U1501" s="6">
        <v>4</v>
      </c>
      <c r="V1501" s="6">
        <v>0.5</v>
      </c>
      <c r="AE1501" s="6" t="s">
        <v>1241</v>
      </c>
      <c r="AF1501" s="6" t="s">
        <v>62</v>
      </c>
      <c r="AG1501" s="6" t="s">
        <v>4407</v>
      </c>
      <c r="AI1501" s="6">
        <v>1</v>
      </c>
      <c r="AJ1501" s="6">
        <v>0</v>
      </c>
      <c r="AK1501" s="6">
        <v>0</v>
      </c>
      <c r="AL1501" s="6">
        <v>0</v>
      </c>
      <c r="AM1501" s="6">
        <v>0</v>
      </c>
      <c r="AN1501" s="6">
        <v>0</v>
      </c>
      <c r="AO1501" s="6">
        <v>0</v>
      </c>
      <c r="AP1501" s="6">
        <v>1</v>
      </c>
      <c r="AR1501" s="6">
        <v>0</v>
      </c>
      <c r="AS1501" s="6">
        <v>0</v>
      </c>
      <c r="AT1501" s="6">
        <v>0</v>
      </c>
      <c r="AU1501" s="6">
        <v>0</v>
      </c>
      <c r="AV1501" s="6">
        <v>0</v>
      </c>
      <c r="AW1501" s="6">
        <v>0</v>
      </c>
      <c r="AX1501" s="6">
        <v>0</v>
      </c>
      <c r="AY1501" s="6">
        <v>0</v>
      </c>
      <c r="AZ1501" s="6">
        <v>0</v>
      </c>
      <c r="BA1501" s="6">
        <v>0</v>
      </c>
      <c r="BB1501" s="6">
        <v>0</v>
      </c>
      <c r="BC1501" s="6">
        <v>0</v>
      </c>
      <c r="BD1501" s="6">
        <v>0</v>
      </c>
      <c r="BE1501" s="6">
        <v>0</v>
      </c>
      <c r="BF1501" s="6">
        <v>0</v>
      </c>
      <c r="BG1501" s="6">
        <v>0</v>
      </c>
      <c r="BH1501" s="6">
        <v>0</v>
      </c>
      <c r="BI1501" s="6">
        <v>0</v>
      </c>
      <c r="BJ1501" s="6">
        <v>0</v>
      </c>
      <c r="BK1501" s="6">
        <v>0</v>
      </c>
      <c r="BL1501" s="6">
        <v>0</v>
      </c>
      <c r="BM1501" s="6">
        <v>0</v>
      </c>
      <c r="BN1501" s="6">
        <v>0</v>
      </c>
      <c r="BO1501" s="6">
        <v>1</v>
      </c>
      <c r="BP1501" s="6">
        <v>0</v>
      </c>
      <c r="BQ1501" s="6">
        <v>0</v>
      </c>
      <c r="BR1501" s="6">
        <v>0</v>
      </c>
      <c r="BS1501" s="6">
        <v>0</v>
      </c>
      <c r="BT1501" s="6">
        <v>0</v>
      </c>
      <c r="BU1501" s="6">
        <v>0</v>
      </c>
      <c r="BV1501" s="6">
        <v>0</v>
      </c>
      <c r="BW1501" s="6">
        <v>0</v>
      </c>
      <c r="BX1501" s="6">
        <v>0</v>
      </c>
      <c r="BY1501" s="6">
        <v>0</v>
      </c>
      <c r="BZ1501" s="6">
        <v>0</v>
      </c>
      <c r="CA1501" s="6">
        <v>0</v>
      </c>
      <c r="CB1501" s="6">
        <v>0</v>
      </c>
      <c r="CC1501" s="75">
        <f>IF(Table3[[#This Row],[Type]]="EM",IF((Table3[[#This Row],[Diameter]]/2)-Table3[[#This Row],[CornerRadius]]-0.012&gt;0,(Table3[[#This Row],[Diameter]]/2)-Table3[[#This Row],[CornerRadius]]-0.012,0),)</f>
        <v>0</v>
      </c>
    </row>
    <row r="1502" spans="1:81" x14ac:dyDescent="0.25">
      <c r="A1502" s="6">
        <v>0</v>
      </c>
      <c r="B1502" s="6" t="s">
        <v>1922</v>
      </c>
      <c r="D1502" s="6" t="s">
        <v>1922</v>
      </c>
      <c r="H1502" s="10" t="s">
        <v>1922</v>
      </c>
      <c r="I1502" s="11" t="s">
        <v>4420</v>
      </c>
      <c r="J1502" s="30" t="s">
        <v>4421</v>
      </c>
      <c r="K1502" s="11" t="str">
        <f>CONCATENATE(Table3[[#This Row],[Type]]," "&amp;TEXT(Table3[[#This Row],[Diameter]],".0000")&amp;""," "&amp;Table3[[#This Row],[NumFlutes]]&amp;"FL")</f>
        <v>RM .0770 4FL</v>
      </c>
      <c r="M1502" s="13">
        <v>7.6999999999999999E-2</v>
      </c>
      <c r="N1502" s="13">
        <v>0.125</v>
      </c>
      <c r="O1502" s="6">
        <v>7.6999999999999999E-2</v>
      </c>
      <c r="P1502" s="6">
        <v>1</v>
      </c>
      <c r="Q1502" s="6">
        <v>1.1000000000000001</v>
      </c>
      <c r="R1502" s="14">
        <f>IF(Table3[[#This Row],[ShoulderLenEnd]]="",0,90-(DEGREES(ATAN((Q1502-P1502)/((N1502-O1502)/2)))))</f>
        <v>13.495733280795804</v>
      </c>
      <c r="S1502" s="15">
        <v>1.1499999999999999</v>
      </c>
      <c r="T1502" s="6">
        <v>4</v>
      </c>
      <c r="U1502" s="6">
        <v>2</v>
      </c>
      <c r="V1502" s="6">
        <v>0.56200000000000006</v>
      </c>
      <c r="AB1502" s="6">
        <v>6.4000000000000001E-2</v>
      </c>
      <c r="AC1502" s="6">
        <v>6.9000000000000006E-2</v>
      </c>
      <c r="AE1502" s="6" t="s">
        <v>44</v>
      </c>
      <c r="AF1502" s="6" t="s">
        <v>62</v>
      </c>
      <c r="AG1502" s="6" t="s">
        <v>66</v>
      </c>
      <c r="AI1502" s="6">
        <v>0</v>
      </c>
      <c r="AJ1502" s="6">
        <v>1</v>
      </c>
      <c r="AK1502" s="6">
        <v>1</v>
      </c>
      <c r="AL1502" s="6">
        <v>1</v>
      </c>
      <c r="AM1502" s="6">
        <v>0</v>
      </c>
      <c r="AN1502" s="6">
        <v>1</v>
      </c>
      <c r="AO1502" s="6">
        <v>0</v>
      </c>
      <c r="AP1502" s="6">
        <v>1</v>
      </c>
      <c r="AR1502" s="6">
        <v>0</v>
      </c>
      <c r="AS1502" s="6">
        <v>0</v>
      </c>
      <c r="AT1502" s="6">
        <v>0</v>
      </c>
      <c r="AU1502" s="6">
        <v>0</v>
      </c>
      <c r="AV1502" s="6">
        <v>1</v>
      </c>
      <c r="AW1502" s="6">
        <v>0</v>
      </c>
      <c r="AX1502" s="6">
        <v>0</v>
      </c>
      <c r="AY1502" s="6">
        <v>0</v>
      </c>
      <c r="AZ1502" s="6">
        <v>1</v>
      </c>
      <c r="BA1502" s="6">
        <v>0</v>
      </c>
      <c r="BB1502" s="6">
        <v>0</v>
      </c>
      <c r="BC1502" s="6">
        <v>0</v>
      </c>
      <c r="BD1502" s="6">
        <v>0</v>
      </c>
      <c r="BE1502" s="6">
        <v>0</v>
      </c>
      <c r="BF1502" s="6">
        <v>0</v>
      </c>
      <c r="BG1502" s="6">
        <v>0</v>
      </c>
      <c r="BH1502" s="6">
        <v>0</v>
      </c>
      <c r="BI1502" s="6">
        <v>0</v>
      </c>
      <c r="BJ1502" s="6">
        <v>0</v>
      </c>
      <c r="BK1502" s="6">
        <v>0</v>
      </c>
      <c r="BL1502" s="6">
        <v>0</v>
      </c>
      <c r="BM1502" s="6">
        <v>0</v>
      </c>
      <c r="BN1502" s="6">
        <v>0</v>
      </c>
      <c r="BO1502" s="6">
        <v>0</v>
      </c>
      <c r="BP1502" s="6">
        <v>0</v>
      </c>
      <c r="BQ1502" s="6">
        <v>0</v>
      </c>
      <c r="BR1502" s="6">
        <v>0</v>
      </c>
      <c r="BS1502" s="6">
        <v>0</v>
      </c>
      <c r="BT1502" s="6">
        <v>0</v>
      </c>
      <c r="BU1502" s="6">
        <v>0</v>
      </c>
      <c r="BV1502" s="6">
        <v>0</v>
      </c>
      <c r="BW1502" s="6">
        <v>0</v>
      </c>
      <c r="BX1502" s="6">
        <v>0</v>
      </c>
      <c r="BY1502" s="6">
        <v>0</v>
      </c>
      <c r="BZ1502" s="6">
        <v>0</v>
      </c>
      <c r="CA1502" s="6">
        <v>0</v>
      </c>
      <c r="CB1502" s="6">
        <v>0</v>
      </c>
      <c r="CC1502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CE123:CE126 CE8:CE19 CE1343:CE1354 CE1356:CE1358 CE1:CE6 CE1363:CE1402 CE1405:CE1048576">
    <cfRule type="containsText" dxfId="51" priority="23" operator="containsText" text="Error">
      <formula>NOT(ISERROR(SEARCH("Error",CE1)))</formula>
    </cfRule>
  </conditionalFormatting>
  <conditionalFormatting sqref="CE21:CE121">
    <cfRule type="containsText" dxfId="50" priority="24" operator="containsText" text="Error">
      <formula>NOT(ISERROR(SEARCH("Error",CE21)))</formula>
    </cfRule>
  </conditionalFormatting>
  <conditionalFormatting sqref="CE133:CE1334 CE1336:CE1341">
    <cfRule type="containsText" dxfId="49" priority="26" operator="containsText" text="Error">
      <formula>NOT(ISERROR(SEARCH("Error",CE133)))</formula>
    </cfRule>
  </conditionalFormatting>
  <conditionalFormatting sqref="I1405:I1488 I21:I1341 I1343:I1354 I1357:I1358 I1363:I1402 I1500:I1048576">
    <cfRule type="duplicateValues" dxfId="48" priority="27"/>
  </conditionalFormatting>
  <conditionalFormatting sqref="I11:I19 I1 I8:I9 I4:I6">
    <cfRule type="duplicateValues" dxfId="47" priority="28"/>
    <cfRule type="duplicateValues" dxfId="46" priority="28"/>
  </conditionalFormatting>
  <conditionalFormatting sqref="CE20">
    <cfRule type="containsText" dxfId="45" priority="29" operator="containsText" text="Error">
      <formula>NOT(ISERROR(SEARCH("Error",CE20)))</formula>
    </cfRule>
  </conditionalFormatting>
  <conditionalFormatting sqref="I20">
    <cfRule type="duplicateValues" dxfId="44" priority="30"/>
    <cfRule type="duplicateValues" dxfId="43" priority="30"/>
  </conditionalFormatting>
  <conditionalFormatting sqref="I1405:I1488 I1302:I1341 I1343:I1354 I1357:I1358 I1363:I1402 I1500:I1048576">
    <cfRule type="duplicateValues" dxfId="42" priority="31"/>
  </conditionalFormatting>
  <conditionalFormatting sqref="I21:I1300">
    <cfRule type="duplicateValues" dxfId="41" priority="32"/>
  </conditionalFormatting>
  <conditionalFormatting sqref="CE7">
    <cfRule type="containsText" dxfId="40" priority="19" operator="containsText" text="Error">
      <formula>NOT(ISERROR(SEARCH("Error",CE7)))</formula>
    </cfRule>
  </conditionalFormatting>
  <conditionalFormatting sqref="CE1335">
    <cfRule type="containsText" dxfId="39" priority="18" operator="containsText" text="Error">
      <formula>NOT(ISERROR(SEARCH("Error",CE1335)))</formula>
    </cfRule>
  </conditionalFormatting>
  <conditionalFormatting sqref="CE1342">
    <cfRule type="containsText" dxfId="38" priority="15" operator="containsText" text="Error">
      <formula>NOT(ISERROR(SEARCH("Error",CE1342)))</formula>
    </cfRule>
  </conditionalFormatting>
  <conditionalFormatting sqref="I1342">
    <cfRule type="duplicateValues" dxfId="37" priority="16"/>
  </conditionalFormatting>
  <conditionalFormatting sqref="I1342">
    <cfRule type="duplicateValues" dxfId="36" priority="17"/>
  </conditionalFormatting>
  <conditionalFormatting sqref="CE1355">
    <cfRule type="containsText" dxfId="35" priority="12" operator="containsText" text="Error">
      <formula>NOT(ISERROR(SEARCH("Error",CE1355)))</formula>
    </cfRule>
  </conditionalFormatting>
  <conditionalFormatting sqref="I1355">
    <cfRule type="duplicateValues" dxfId="34" priority="13"/>
  </conditionalFormatting>
  <conditionalFormatting sqref="I1355">
    <cfRule type="duplicateValues" dxfId="33" priority="14"/>
  </conditionalFormatting>
  <conditionalFormatting sqref="CE1359:CE1362">
    <cfRule type="containsText" dxfId="32" priority="9" operator="containsText" text="Error">
      <formula>NOT(ISERROR(SEARCH("Error",CE1359)))</formula>
    </cfRule>
  </conditionalFormatting>
  <conditionalFormatting sqref="I1359:I1362">
    <cfRule type="duplicateValues" dxfId="31" priority="10"/>
  </conditionalFormatting>
  <conditionalFormatting sqref="I1359:I1362">
    <cfRule type="duplicateValues" dxfId="30" priority="11"/>
  </conditionalFormatting>
  <conditionalFormatting sqref="CE1403">
    <cfRule type="containsText" dxfId="29" priority="6" operator="containsText" text="Error">
      <formula>NOT(ISERROR(SEARCH("Error",CE1403)))</formula>
    </cfRule>
  </conditionalFormatting>
  <conditionalFormatting sqref="I1403">
    <cfRule type="duplicateValues" dxfId="28" priority="7"/>
  </conditionalFormatting>
  <conditionalFormatting sqref="I1403">
    <cfRule type="duplicateValues" dxfId="27" priority="8"/>
  </conditionalFormatting>
  <conditionalFormatting sqref="CE1404">
    <cfRule type="containsText" dxfId="26" priority="3" operator="containsText" text="Error">
      <formula>NOT(ISERROR(SEARCH("Error",CE1404)))</formula>
    </cfRule>
  </conditionalFormatting>
  <conditionalFormatting sqref="I1404">
    <cfRule type="duplicateValues" dxfId="25" priority="4"/>
  </conditionalFormatting>
  <conditionalFormatting sqref="I1404">
    <cfRule type="duplicateValues" dxfId="24" priority="5"/>
  </conditionalFormatting>
  <conditionalFormatting sqref="I1489:I1499">
    <cfRule type="duplicateValues" dxfId="23" priority="1"/>
  </conditionalFormatting>
  <conditionalFormatting sqref="I1489:I1499">
    <cfRule type="duplicateValues" dxfId="22" priority="2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5"/>
  <sheetViews>
    <sheetView topLeftCell="A17" workbookViewId="0">
      <selection activeCell="I27" sqref="I27:AH33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1" width="25.140625" bestFit="1" customWidth="1"/>
    <col min="22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 t="s">
        <v>3591</v>
      </c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1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1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1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1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1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1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1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1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  <row r="25" spans="1:21" x14ac:dyDescent="0.25">
      <c r="A25" t="s">
        <v>74</v>
      </c>
      <c r="B25" t="s">
        <v>4390</v>
      </c>
      <c r="C25" t="s">
        <v>2546</v>
      </c>
      <c r="D25">
        <v>7.4597559999999996</v>
      </c>
      <c r="E25" t="s">
        <v>4406</v>
      </c>
      <c r="F25" t="s">
        <v>2514</v>
      </c>
      <c r="G25" t="s">
        <v>4391</v>
      </c>
      <c r="H25" t="s">
        <v>4392</v>
      </c>
      <c r="I25" t="s">
        <v>4393</v>
      </c>
      <c r="J25" t="s">
        <v>4394</v>
      </c>
      <c r="K25" t="s">
        <v>4395</v>
      </c>
      <c r="L25" t="s">
        <v>4396</v>
      </c>
      <c r="M25" t="s">
        <v>4397</v>
      </c>
      <c r="N25" t="s">
        <v>4398</v>
      </c>
      <c r="O25" t="s">
        <v>4399</v>
      </c>
      <c r="P25" t="s">
        <v>4400</v>
      </c>
      <c r="Q25" t="s">
        <v>4401</v>
      </c>
      <c r="R25" t="s">
        <v>4402</v>
      </c>
      <c r="S25" t="s">
        <v>4403</v>
      </c>
      <c r="T25" t="s">
        <v>4404</v>
      </c>
      <c r="U25" t="s">
        <v>4405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topLeftCell="N1" zoomScale="130" zoomScaleNormal="130" workbookViewId="0">
      <pane ySplit="1" topLeftCell="A2" activePane="bottomLeft" state="frozen"/>
      <selection activeCell="M1" sqref="M1"/>
      <selection pane="bottomLeft" activeCell="Q2" sqref="Q2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/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A166" s="94" t="s">
        <v>4344</v>
      </c>
      <c r="B166" s="94" t="s">
        <v>2489</v>
      </c>
      <c r="C166" s="94">
        <v>1.5</v>
      </c>
      <c r="D166" s="94" t="s">
        <v>2960</v>
      </c>
      <c r="E166" s="94" t="s">
        <v>2514</v>
      </c>
      <c r="F166" s="94" t="s">
        <v>4362</v>
      </c>
      <c r="G166" s="94" t="s">
        <v>4363</v>
      </c>
      <c r="H166" s="94" t="s">
        <v>4364</v>
      </c>
      <c r="I166" s="94" t="s">
        <v>4365</v>
      </c>
      <c r="J166" s="94" t="s">
        <v>4366</v>
      </c>
      <c r="K166" s="94" t="s">
        <v>2643</v>
      </c>
      <c r="L166" s="94" t="s">
        <v>2644</v>
      </c>
    </row>
    <row r="167" spans="1:17" x14ac:dyDescent="0.2">
      <c r="A167" s="94" t="s">
        <v>4349</v>
      </c>
      <c r="B167" s="94" t="s">
        <v>2489</v>
      </c>
      <c r="C167" s="94">
        <v>1.5</v>
      </c>
      <c r="D167" s="94" t="s">
        <v>2960</v>
      </c>
      <c r="E167" s="94" t="s">
        <v>2514</v>
      </c>
      <c r="F167" s="94" t="s">
        <v>2685</v>
      </c>
      <c r="G167" s="94" t="s">
        <v>4367</v>
      </c>
      <c r="H167" s="94" t="s">
        <v>4368</v>
      </c>
      <c r="I167" s="94" t="s">
        <v>4365</v>
      </c>
      <c r="J167" s="94" t="s">
        <v>4366</v>
      </c>
      <c r="K167" s="94" t="s">
        <v>2643</v>
      </c>
      <c r="L167" s="94" t="s">
        <v>2644</v>
      </c>
    </row>
    <row r="168" spans="1:17" x14ac:dyDescent="0.2">
      <c r="A168" s="94" t="s">
        <v>4354</v>
      </c>
      <c r="B168" s="94" t="s">
        <v>2489</v>
      </c>
      <c r="C168" s="94">
        <v>1.5</v>
      </c>
      <c r="D168" s="94" t="s">
        <v>2960</v>
      </c>
      <c r="E168" s="94" t="s">
        <v>2514</v>
      </c>
      <c r="F168" s="94" t="s">
        <v>4369</v>
      </c>
      <c r="G168" s="94" t="s">
        <v>4370</v>
      </c>
      <c r="H168" s="94" t="s">
        <v>4371</v>
      </c>
      <c r="I168" s="94" t="s">
        <v>4365</v>
      </c>
      <c r="J168" s="94" t="s">
        <v>4366</v>
      </c>
      <c r="K168" s="94" t="s">
        <v>2643</v>
      </c>
      <c r="L168" s="94" t="s">
        <v>2644</v>
      </c>
    </row>
    <row r="169" spans="1:17" x14ac:dyDescent="0.2">
      <c r="A169" s="94" t="s">
        <v>4357</v>
      </c>
      <c r="B169" s="94" t="s">
        <v>2489</v>
      </c>
      <c r="C169" s="94">
        <v>1.5</v>
      </c>
      <c r="D169" s="94" t="s">
        <v>2960</v>
      </c>
      <c r="E169" s="94" t="s">
        <v>2514</v>
      </c>
      <c r="F169" s="94" t="s">
        <v>4372</v>
      </c>
      <c r="G169" s="94" t="s">
        <v>4373</v>
      </c>
      <c r="H169" s="94" t="s">
        <v>4374</v>
      </c>
      <c r="I169" s="94" t="s">
        <v>4365</v>
      </c>
      <c r="J169" s="94" t="s">
        <v>4366</v>
      </c>
      <c r="K169" s="94" t="s">
        <v>2643</v>
      </c>
      <c r="L169" s="94" t="s">
        <v>2644</v>
      </c>
    </row>
    <row r="170" spans="1:17" x14ac:dyDescent="0.2">
      <c r="A170" s="21" t="s">
        <v>4377</v>
      </c>
      <c r="B170" s="21" t="s">
        <v>4378</v>
      </c>
      <c r="C170" s="21">
        <v>4.4550000000000001</v>
      </c>
      <c r="D170" s="21" t="s">
        <v>3519</v>
      </c>
      <c r="E170" s="94" t="s">
        <v>2514</v>
      </c>
      <c r="F170" s="94" t="s">
        <v>4379</v>
      </c>
      <c r="G170" s="94" t="s">
        <v>4380</v>
      </c>
      <c r="H170" s="94" t="s">
        <v>4381</v>
      </c>
      <c r="I170" s="94" t="s">
        <v>4382</v>
      </c>
      <c r="J170" s="94" t="s">
        <v>4383</v>
      </c>
      <c r="K170" s="94" t="s">
        <v>4384</v>
      </c>
      <c r="L170" s="94" t="s">
        <v>4385</v>
      </c>
      <c r="M170" s="94" t="s">
        <v>4386</v>
      </c>
      <c r="N170" s="94" t="s">
        <v>4387</v>
      </c>
      <c r="O170" s="94" t="s">
        <v>4388</v>
      </c>
      <c r="P170" s="94" t="s">
        <v>4389</v>
      </c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93"/>
  <sheetViews>
    <sheetView topLeftCell="A262"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5" x14ac:dyDescent="0.25">
      <c r="B273" s="76" t="s">
        <v>4129</v>
      </c>
      <c r="C273" t="s">
        <v>4079</v>
      </c>
    </row>
    <row r="274" spans="2:5" x14ac:dyDescent="0.25">
      <c r="B274" s="76" t="s">
        <v>4129</v>
      </c>
      <c r="C274" t="s">
        <v>4080</v>
      </c>
    </row>
    <row r="275" spans="2:5" x14ac:dyDescent="0.25">
      <c r="B275" s="76" t="s">
        <v>4129</v>
      </c>
      <c r="C275" t="s">
        <v>4081</v>
      </c>
    </row>
    <row r="276" spans="2:5" x14ac:dyDescent="0.25">
      <c r="B276" s="76" t="s">
        <v>4129</v>
      </c>
      <c r="C276" t="s">
        <v>4082</v>
      </c>
    </row>
    <row r="277" spans="2:5" x14ac:dyDescent="0.25">
      <c r="B277" t="s">
        <v>4130</v>
      </c>
      <c r="C277" t="s">
        <v>4390</v>
      </c>
      <c r="D277" t="s">
        <v>2546</v>
      </c>
      <c r="E277" t="s">
        <v>4406</v>
      </c>
    </row>
    <row r="278" spans="2:5" x14ac:dyDescent="0.25">
      <c r="B278" t="s">
        <v>4130</v>
      </c>
      <c r="C278" t="s">
        <v>2514</v>
      </c>
    </row>
    <row r="279" spans="2:5" x14ac:dyDescent="0.25">
      <c r="B279" t="s">
        <v>4130</v>
      </c>
      <c r="C279" t="s">
        <v>4391</v>
      </c>
    </row>
    <row r="280" spans="2:5" x14ac:dyDescent="0.25">
      <c r="B280" t="s">
        <v>4130</v>
      </c>
      <c r="C280" t="s">
        <v>4392</v>
      </c>
    </row>
    <row r="281" spans="2:5" x14ac:dyDescent="0.25">
      <c r="B281" t="s">
        <v>4130</v>
      </c>
      <c r="C281" t="s">
        <v>4393</v>
      </c>
    </row>
    <row r="282" spans="2:5" x14ac:dyDescent="0.25">
      <c r="B282" t="s">
        <v>4130</v>
      </c>
      <c r="C282" t="s">
        <v>4394</v>
      </c>
    </row>
    <row r="283" spans="2:5" x14ac:dyDescent="0.25">
      <c r="B283" t="s">
        <v>4130</v>
      </c>
      <c r="C283" t="s">
        <v>4395</v>
      </c>
    </row>
    <row r="284" spans="2:5" x14ac:dyDescent="0.25">
      <c r="B284" t="s">
        <v>4130</v>
      </c>
      <c r="C284" t="s">
        <v>4396</v>
      </c>
    </row>
    <row r="285" spans="2:5" x14ac:dyDescent="0.25">
      <c r="B285" t="s">
        <v>4130</v>
      </c>
      <c r="C285" t="s">
        <v>4397</v>
      </c>
    </row>
    <row r="286" spans="2:5" x14ac:dyDescent="0.25">
      <c r="B286" t="s">
        <v>4130</v>
      </c>
      <c r="C286" t="s">
        <v>4398</v>
      </c>
    </row>
    <row r="287" spans="2:5" x14ac:dyDescent="0.25">
      <c r="B287" t="s">
        <v>4130</v>
      </c>
      <c r="C287" t="s">
        <v>4399</v>
      </c>
    </row>
    <row r="288" spans="2:5" x14ac:dyDescent="0.25">
      <c r="B288" t="s">
        <v>4130</v>
      </c>
      <c r="C288" t="s">
        <v>4400</v>
      </c>
    </row>
    <row r="289" spans="2:3" x14ac:dyDescent="0.25">
      <c r="B289" t="s">
        <v>4130</v>
      </c>
      <c r="C289" t="s">
        <v>4401</v>
      </c>
    </row>
    <row r="290" spans="2:3" x14ac:dyDescent="0.25">
      <c r="B290" t="s">
        <v>4130</v>
      </c>
      <c r="C290" t="s">
        <v>4402</v>
      </c>
    </row>
    <row r="291" spans="2:3" x14ac:dyDescent="0.25">
      <c r="B291" t="s">
        <v>4130</v>
      </c>
      <c r="C291" t="s">
        <v>4403</v>
      </c>
    </row>
    <row r="292" spans="2:3" x14ac:dyDescent="0.25">
      <c r="B292" t="s">
        <v>4130</v>
      </c>
      <c r="C292" t="s">
        <v>4404</v>
      </c>
    </row>
    <row r="293" spans="2:3" x14ac:dyDescent="0.25">
      <c r="B293" t="s">
        <v>4130</v>
      </c>
      <c r="C293" t="s">
        <v>4405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topLeftCell="H1" zoomScaleNormal="100" workbookViewId="0">
      <selection activeCell="Z9" sqref="Z9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workbookViewId="0">
      <selection activeCell="A3" sqref="A3:XFD3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17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2bf1e660-0d8f-4c78-a40f-c5193eca1339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6c468c42-b838-4982-98ec-e0d39a20f8d8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2026-01-30T16:29:10Z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
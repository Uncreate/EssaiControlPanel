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CC1E4922-83B1-4C82-8AC2-115CBE97CFA5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485" i="45" l="1"/>
  <c r="K1485" i="45"/>
  <c r="BM1485" i="45"/>
  <c r="R1484" i="45" l="1"/>
  <c r="K1484" i="45" l="1"/>
  <c r="BM1484" i="45"/>
  <c r="K1483" i="45" l="1"/>
  <c r="BM1483" i="45"/>
  <c r="R1482" i="45" l="1"/>
  <c r="K1482" i="45"/>
  <c r="BM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<sst xmlns="http://schemas.openxmlformats.org/spreadsheetml/2006/main" count="21682" uniqueCount="4330">
  <si>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</si>
  <si>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</si>
  <si>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</si>
  <si>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</si>
  <si>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</si>
  <si>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</si>
  <si>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</si>
  <si>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</si>
  <si>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</si>
  <si>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</si>
  <si>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</si>
  <si>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</si>
  <si>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</si>
  <si>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</si>
  <si>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</si>
  <si>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</si>
  <si>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</si>
  <si>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</si>
  <si>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</si>
  <si>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</si>
  <si>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</si>
  <si>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</si>
  <si>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</si>
  <si>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</si>
  <si>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</si>
  <si>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</si>
  <si>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</si>
  <si>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</si>
  <si>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</si>
  <si>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</si>
  <si>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</si>
  <si>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</si>
  <si>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</si>
  <si>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</si>
  <si>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</si>
  <si>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</si>
  <si>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</si>
  <si>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</si>
  <si>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</si>
  <si>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</si>
  <si>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</si>
  <si>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</si>
  <si>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</si>
  <si>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</si>
  <si>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</si>
  <si>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</si>
  <si>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</si>
  <si>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</si>
  <si>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</si>
  <si>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</si>
  <si>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</si>
  <si>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</si>
  <si>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</si>
  <si>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</si>
  <si>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</si>
  <si>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</si>
  <si>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</si>
  <si>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</si>
  <si>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</si>
  <si>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</si>
  <si>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</si>
  <si>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</si>
  <si>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</si>
  <si>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</si>
  <si>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</si>
  <si>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</si>
  <si>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</si>
  <si>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</si>
  <si>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</si>
  <si>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</si>
  <si>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</si>
  <si>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</si>
  <si>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</si>
  <si>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</si>
  <si>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</si>
  <si>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</si>
  <si>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</si>
  <si>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</si>
  <si>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</si>
  <si>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</si>
  <si>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</si>
  <si>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</si>
  <si>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</si>
  <si>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</si>
  <si>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</si>
  <si>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</si>
  <si>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</si>
  <si>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</si>
  <si>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</si>
  <si>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</si>
  <si>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</si>
  <si>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</si>
  <si>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</si>
  <si>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</si>
  <si>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</si>
  <si>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</si>
  <si>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</si>
  <si>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</si>
  <si>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</si>
  <si>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</si>
  <si>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</si>
  <si>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</si>
  <si>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</si>
  <si>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</si>
  <si>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</si>
  <si>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</si>
  <si>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</si>
  <si>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</si>
  <si>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</si>
  <si>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</si>
  <si>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</si>
  <si>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</si>
  <si>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</si>
  <si>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</si>
  <si>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</si>
  <si>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</si>
  <si>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</si>
  <si>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</si>
  <si>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</si>
  <si>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</si>
  <si>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</si>
  <si>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</si>
  <si>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</si>
  <si>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</si>
  <si>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</si>
  <si>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</si>
  <si>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</si>
  <si>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</si>
  <si>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</si>
  <si>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</si>
  <si>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</si>
  <si>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</si>
  <si>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</si>
  <si>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</si>
  <si>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</si>
  <si>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</si>
  <si>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</si>
  <si>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</si>
  <si>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</si>
  <si>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</si>
  <si>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</si>
  <si>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</si>
  <si>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</si>
  <si>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</si>
  <si>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</si>
  <si>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</si>
  <si>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</si>
  <si>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</si>
  <si>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</si>
  <si>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</si>
  <si>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</si>
  <si>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</si>
  <si>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</si>
  <si>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</si>
  <si>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</si>
  <si>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</si>
  <si>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</si>
  <si>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</si>
  <si>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</si>
  <si>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</si>
  <si>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</si>
  <si>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</si>
  <si>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</si>
  <si>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</si>
  <si>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</si>
  <si>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</si>
  <si>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</si>
  <si>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</si>
  <si>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</si>
  <si>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</si>
  <si>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</si>
  <si>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</si>
  <si>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</si>
  <si>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</si>
  <si>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</si>
  <si>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</si>
  <si>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</si>
  <si>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</si>
  <si>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</si>
  <si>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</si>
  <si>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</si>
  <si>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</si>
  <si>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</si>
  <si>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</si>
  <si>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</si>
  <si>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</si>
  <si>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</si>
  <si>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</si>
  <si>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</si>
  <si>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</si>
  <si>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</si>
  <si>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</si>
  <si>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</si>
  <si>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</si>
  <si>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</si>
  <si>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</si>
  <si>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</si>
  <si>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</si>
  <si>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</si>
  <si>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</si>
  <si>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</si>
  <si>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</si>
  <si>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</si>
  <si>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</si>
  <si>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</si>
  <si>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</si>
  <si>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</si>
  <si>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</si>
  <si>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</si>
  <si>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</si>
  <si>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</si>
  <si>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</si>
  <si>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</si>
  <si>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</si>
  <si>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</si>
  <si>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</si>
  <si>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</si>
  <si>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</si>
  <si>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</si>
  <si>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</si>
  <si>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</si>
  <si>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</si>
  <si>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</si>
  <si>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</si>
  <si>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</si>
  <si>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</si>
  <si>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</si>
  <si>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</si>
  <si>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</si>
  <si>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</si>
  <si>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</si>
  <si>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</si>
  <si>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</si>
  <si>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</si>
  <si>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</si>
  <si>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</si>
  <si>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</si>
  <si>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</si>
  <si>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</si>
  <si>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</si>
  <si>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</si>
  <si>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</si>
  <si>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</si>
  <si>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</si>
  <si>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</si>
  <si>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</si>
  <si>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</si>
  <si>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</si>
  <si>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</si>
  <si>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</si>
  <si>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</si>
  <si>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</si>
  <si>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</si>
  <si>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</si>
  <si>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</si>
  <si>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</si>
  <si>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</si>
  <si>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</si>
  <si>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</si>
  <si>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</si>
  <si>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</si>
  <si>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</si>
  <si>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</si>
  <si>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</si>
  <si>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</si>
  <si>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</si>
  <si>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</si>
  <si>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</si>
  <si>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</si>
  <si>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</si>
  <si>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</si>
  <si>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</si>
  <si>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</si>
  <si>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</si>
  <si>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</si>
  <si>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</si>
  <si>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</si>
  <si>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</si>
  <si>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</si>
  <si>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</si>
  <si>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</si>
  <si>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</si>
  <si>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</si>
  <si>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</si>
  <si>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</si>
  <si>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</si>
  <si>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</si>
  <si>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</si>
  <si>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</si>
  <si>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</si>
  <si>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</si>
  <si>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</si>
  <si>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</si>
  <si>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</si>
  <si>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</si>
  <si>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</si>
  <si>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</si>
  <si>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</si>
  <si>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</si>
  <si>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</si>
  <si>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</si>
  <si>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</si>
  <si>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</si>
  <si>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</si>
  <si>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</si>
  <si>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</si>
  <si>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</si>
  <si>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</si>
  <si>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</si>
  <si>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</si>
  <si>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</si>
  <si>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</si>
  <si>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</si>
  <si>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</si>
  <si>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</si>
  <si>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</si>
  <si>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</si>
  <si>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</si>
  <si>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</si>
  <si>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</si>
  <si>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</si>
  <si>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</si>
  <si>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</si>
  <si>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</si>
  <si>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</si>
  <si>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</si>
  <si>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</si>
  <si>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</si>
  <si>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</si>
  <si>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</si>
  <si>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</si>
  <si>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</si>
  <si>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</si>
  <si>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</si>
  <si>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</si>
  <si>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</si>
  <si>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</si>
  <si>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</si>
  <si>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</si>
  <si>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</si>
  <si>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</si>
  <si>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</si>
  <si>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</si>
  <si>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</si>
  <si>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</si>
  <si>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</si>
  <si>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</si>
  <si>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</si>
  <si>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</si>
  <si>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</si>
  <si>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</si>
  <si>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</si>
  <si>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</si>
  <si>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</si>
  <si>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</si>
  <si>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</si>
  <si>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</si>
  <si>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</si>
  <si>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</si>
  <si>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</si>
  <si>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</si>
  <si>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</si>
  <si>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</si>
  <si>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</si>
  <si>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</si>
  <si>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</si>
  <si>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</si>
  <si>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</si>
  <si>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</si>
  <si>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</si>
  <si>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</si>
  <si>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</si>
  <si>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</si>
  <si>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</si>
  <si>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</si>
  <si>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</si>
  <si>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</si>
  <si>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</si>
  <si>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</si>
  <si>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</si>
  <si>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</si>
  <si>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</si>
  <si>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</si>
  <si>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</si>
  <si>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</si>
  <si>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</si>
  <si>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</si>
  <si>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</si>
  <si>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</si>
  <si>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</si>
  <si>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</si>
  <si>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</si>
  <si>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</si>
  <si>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</si>
  <si>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</si>
  <si>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</si>
  <si>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</si>
  <si>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</si>
  <si>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</si>
  <si>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</si>
  <si>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</si>
  <si>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</si>
  <si>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</si>
  <si>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</si>
  <si>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</si>
  <si>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</si>
  <si>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</si>
  <si>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</si>
  <si>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</si>
  <si>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</si>
  <si>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</si>
  <si>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</si>
  <si>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</si>
  <si>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</si>
  <si>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</si>
  <si>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</si>
  <si>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</si>
  <si>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</si>
  <si>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</si>
  <si>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</si>
  <si>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</si>
  <si>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</si>
  <si>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</si>
  <si>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</si>
  <si>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</si>
  <si>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</si>
  <si>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</si>
  <si>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</si>
  <si>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</si>
  <si>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</si>
  <si>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</si>
  <si>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</si>
  <si>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</si>
  <si>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</si>
  <si>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</si>
  <si>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</si>
  <si>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</si>
  <si>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</si>
  <si>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</si>
  <si>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</si>
  <si>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</si>
  <si>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</si>
  <si>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</si>
  <si>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</si>
  <si>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</si>
  <si>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</si>
  <si>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</si>
  <si>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</si>
  <si>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</si>
  <si>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</si>
  <si>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</si>
  <si>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</si>
  <si>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</si>
  <si>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</si>
  <si>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</si>
  <si>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</si>
  <si>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</si>
  <si>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</si>
  <si>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</si>
  <si>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</si>
  <si>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</si>
  <si>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</si>
  <si>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</si>
  <si>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</si>
  <si>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</si>
  <si>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</si>
  <si>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</si>
  <si>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</si>
  <si>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</si>
  <si>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</si>
  <si>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</si>
  <si>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</si>
  <si>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</si>
  <si>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</si>
  <si>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</si>
  <si>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</si>
  <si>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</si>
  <si>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</si>
  <si>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</si>
  <si>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</si>
  <si>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</si>
  <si>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</si>
  <si>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</si>
  <si>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</si>
  <si>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</si>
  <si>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</si>
  <si>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</si>
  <si>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</si>
  <si>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</si>
  <si>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</si>
  <si>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</si>
  <si>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</si>
  <si>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</si>
  <si>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</si>
  <si>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</si>
  <si>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</si>
  <si>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</si>
  <si>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</si>
  <si>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</si>
  <si>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</si>
  <si>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</si>
  <si>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</si>
  <si>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</si>
  <si>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</si>
  <si>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</si>
  <si>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</si>
  <si>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</si>
  <si>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</si>
  <si>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</si>
  <si>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</si>
  <si>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</si>
  <si>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</si>
  <si>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</si>
  <si>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</si>
  <si>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</si>
  <si>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</si>
  <si>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</si>
  <si>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</si>
  <si>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</si>
  <si>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</si>
  <si>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</si>
  <si>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</si>
  <si>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</si>
  <si>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</si>
  <si>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</si>
  <si>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</si>
  <si>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</si>
  <si>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</si>
  <si>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</si>
  <si>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</si>
  <si>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</si>
  <si>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</si>
  <si>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</si>
  <si>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</si>
  <si>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</si>
  <si>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</si>
  <si>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</si>
  <si>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</si>
  <si>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</si>
  <si>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</si>
  <si>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</si>
  <si>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</si>
  <si>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</si>
  <si>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</si>
  <si>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</si>
  <si>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</si>
  <si>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</si>
  <si>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</si>
  <si>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</si>
  <si>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</si>
  <si>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</si>
  <si>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</si>
  <si>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</si>
  <si>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</si>
  <si>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</si>
  <si>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</si>
  <si>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</si>
  <si>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</si>
  <si>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</si>
  <si>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</si>
  <si>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</si>
  <si>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</si>
  <si>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</si>
  <si>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</si>
  <si>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</si>
  <si>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</si>
  <si>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</si>
  <si>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</si>
  <si>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</si>
  <si>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</si>
  <si>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</si>
  <si>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</si>
  <si>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</si>
  <si>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</si>
  <si>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</si>
  <si>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</si>
  <si>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</si>
  <si>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</si>
  <si>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</si>
  <si>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</si>
  <si>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</si>
  <si>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</si>
  <si>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</si>
  <si>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</si>
  <si>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</si>
  <si>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</si>
  <si>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</si>
  <si>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</si>
  <si>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</si>
  <si>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</si>
  <si>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</si>
  <si>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</si>
  <si>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</si>
  <si>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</si>
  <si>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</si>
  <si>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</si>
  <si>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</si>
  <si>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</si>
  <si>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</si>
  <si>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</si>
  <si>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</si>
  <si>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</si>
  <si>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</si>
  <si>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</si>
  <si>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</si>
  <si>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</si>
  <si>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</si>
  <si>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</si>
  <si>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</si>
  <si>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</si>
  <si>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</si>
  <si>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</si>
  <si>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</si>
  <si>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</si>
  <si>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</si>
  <si>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</si>
  <si>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</si>
  <si>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</si>
  <si>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</si>
  <si>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</si>
  <si>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</si>
  <si>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</si>
  <si>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</si>
  <si>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</si>
  <si>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</si>
  <si>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</si>
  <si>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</si>
  <si>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</si>
  <si>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</si>
  <si>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</si>
  <si>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</si>
  <si>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</si>
  <si>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</si>
  <si>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</si>
  <si>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</si>
  <si>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</si>
  <si>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</si>
  <si>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</si>
  <si>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</si>
  <si>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</si>
  <si>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</si>
  <si>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</si>
  <si>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</si>
  <si>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</si>
  <si>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</si>
  <si>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</si>
  <si>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</si>
  <si>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</si>
  <si>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</si>
  <si>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</si>
  <si>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</si>
  <si>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</si>
  <si>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</si>
  <si>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</si>
  <si>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</si>
  <si>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</si>
  <si>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</si>
  <si>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</si>
  <si>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</si>
  <si>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</si>
  <si>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</si>
  <si>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</si>
  <si>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</si>
  <si>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</si>
  <si>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</si>
  <si>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</si>
  <si>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</si>
  <si>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</si>
  <si>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</si>
  <si>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</si>
  <si>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</si>
  <si>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</si>
  <si>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</si>
  <si>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</si>
  <si>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</si>
  <si>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</si>
  <si>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</si>
  <si>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</si>
  <si>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</si>
  <si>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</si>
  <si>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</si>
  <si>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</si>
  <si>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</si>
  <si>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</si>
  <si>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</si>
  <si>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</si>
  <si>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</si>
  <si>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</si>
  <si>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</si>
  <si>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</si>
  <si>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</si>
  <si>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</si>
  <si>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</si>
  <si>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</si>
  <si>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</si>
  <si>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</si>
  <si>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</si>
  <si>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</si>
  <si>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</si>
  <si>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</si>
  <si>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</si>
  <si>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</si>
  <si>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</si>
  <si>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</si>
  <si>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</si>
  <si>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</si>
  <si>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</si>
  <si>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</si>
  <si>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</si>
  <si>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</si>
  <si>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</si>
  <si>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</si>
  <si>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</si>
  <si>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</si>
  <si>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</si>
  <si>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</si>
  <si>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</si>
  <si>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</si>
  <si>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</si>
  <si>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</si>
  <si>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</si>
  <si>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</si>
  <si>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</si>
  <si>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</si>
  <si>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</si>
  <si>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</si>
  <si>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</si>
  <si>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</si>
  <si>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</si>
  <si>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</si>
  <si>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</si>
  <si>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</si>
  <si>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</si>
  <si>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</si>
  <si>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</si>
  <si>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</si>
  <si>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</si>
  <si>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</si>
  <si>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</si>
  <si>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</si>
  <si>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</si>
  <si>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</si>
  <si>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</si>
  <si>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</si>
  <si>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</si>
  <si>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</si>
  <si>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</si>
  <si>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</si>
  <si>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</si>
  <si>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</si>
  <si>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</si>
  <si>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</si>
  <si>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</si>
  <si>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</si>
  <si>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</si>
  <si>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</si>
  <si>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</si>
  <si>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</si>
  <si>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</si>
  <si>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</si>
  <si>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</si>
  <si>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</si>
  <si>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</si>
  <si>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</si>
  <si>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</si>
  <si>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</si>
  <si>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</si>
  <si>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</si>
  <si>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</si>
  <si>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</si>
  <si>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</si>
  <si>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</si>
  <si>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</si>
  <si>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</si>
  <si>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</si>
  <si>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</si>
  <si>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</si>
  <si>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</si>
  <si>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</si>
  <si>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</si>
  <si>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</si>
  <si>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</si>
  <si>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</si>
  <si>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</si>
  <si>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</si>
  <si>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</si>
  <si>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</si>
  <si>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</si>
  <si>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</si>
  <si>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</si>
  <si>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</si>
  <si>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</si>
  <si>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</si>
  <si>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</si>
  <si>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</si>
  <si>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</si>
  <si>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</si>
  <si>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</si>
  <si>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</si>
  <si>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</si>
  <si>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</si>
  <si>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</si>
  <si>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</si>
  <si>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</si>
  <si>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</si>
  <si>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</si>
  <si>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</si>
  <si>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</si>
  <si>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</si>
  <si>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</si>
  <si>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</si>
  <si>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</si>
  <si>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</si>
  <si>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</si>
  <si>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</si>
  <si>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</si>
  <si>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</si>
  <si>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</si>
  <si>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</si>
  <si>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</si>
  <si>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</si>
  <si>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</si>
  <si>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</si>
  <si>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</si>
  <si>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</si>
  <si>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</si>
  <si>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</si>
  <si>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</si>
  <si>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</si>
  <si>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</si>
  <si>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</si>
  <si>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</si>
  <si>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</si>
  <si>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</si>
  <si>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</si>
  <si>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</si>
  <si>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</si>
  <si>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</si>
  <si>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</si>
  <si>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</si>
  <si>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</si>
  <si>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</si>
  <si>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</si>
  <si>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</si>
  <si>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</si>
  <si>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</si>
  <si>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</si>
  <si>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</si>
  <si>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</si>
  <si>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</si>
  <si>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</si>
  <si>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</si>
  <si>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</si>
  <si>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</si>
  <si>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</si>
  <si>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</si>
  <si>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</si>
  <si>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</si>
  <si>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</si>
  <si>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</si>
  <si>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</si>
  <si>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</si>
  <si>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</si>
  <si>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</si>
  <si>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</si>
  <si>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</si>
  <si>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</si>
  <si>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</si>
  <si>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</si>
  <si>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</si>
  <si>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</si>
  <si>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</si>
  <si>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</si>
  <si>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</si>
  <si>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</si>
  <si>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</si>
  <si>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</si>
  <si>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</si>
  <si>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</si>
  <si>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</si>
  <si>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</si>
  <si>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</si>
  <si>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</si>
  <si>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</si>
  <si>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</si>
  <si>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</si>
  <si>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</si>
  <si>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</si>
  <si>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</si>
  <si>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</si>
  <si>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</si>
  <si>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</si>
  <si>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</si>
  <si>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</si>
  <si>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</si>
  <si>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</si>
  <si>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</si>
  <si>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</si>
  <si>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</si>
  <si>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</si>
  <si>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</si>
  <si>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</si>
  <si>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</si>
  <si>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</si>
  <si>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</si>
  <si>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</si>
  <si>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</si>
  <si>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</si>
  <si>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</si>
  <si>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</si>
  <si>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</si>
  <si>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</si>
  <si>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</si>
  <si>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</si>
  <si>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</si>
  <si>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</si>
  <si>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</si>
  <si>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</si>
  <si>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</si>
  <si>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</si>
  <si>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</si>
  <si>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</si>
  <si>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</si>
  <si>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</si>
  <si>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</si>
  <si>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</si>
  <si>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</si>
  <si>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</si>
  <si>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</si>
  <si>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</si>
  <si>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</si>
  <si>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</si>
  <si>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</si>
  <si>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</si>
  <si>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</si>
  <si>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</si>
  <si>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</si>
  <si>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</si>
  <si>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</si>
  <si>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</si>
  <si>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</si>
  <si>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</si>
  <si>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</si>
  <si>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</si>
  <si>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</si>
  <si>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</si>
  <si>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</si>
  <si>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</si>
  <si>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</si>
  <si>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</si>
  <si>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</si>
  <si>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</si>
  <si>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</si>
  <si>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</si>
  <si>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</si>
  <si>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</si>
  <si>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</si>
  <si>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</si>
  <si>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</si>
  <si>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</si>
  <si>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</si>
  <si>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</si>
  <si>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</si>
  <si>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</si>
  <si>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</si>
  <si>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</si>
  <si>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</si>
  <si>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</si>
  <si>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</si>
  <si>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</si>
  <si>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</si>
  <si>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</si>
  <si>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</si>
  <si>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</si>
  <si>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</si>
  <si>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</si>
  <si>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</si>
  <si>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</si>
  <si>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</si>
  <si>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</si>
  <si>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</si>
  <si>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</si>
  <si>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</si>
  <si>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</si>
  <si>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</si>
  <si>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</si>
  <si>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</si>
  <si>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</si>
  <si>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</si>
  <si>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</si>
  <si>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</si>
  <si>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</si>
  <si>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</si>
  <si>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</si>
  <si>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</si>
  <si>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</si>
  <si>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</si>
  <si>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</si>
  <si>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</si>
  <si>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</si>
  <si>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</si>
  <si>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</si>
  <si>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</si>
  <si>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</si>
  <si>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</si>
  <si>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</si>
  <si>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</si>
  <si>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</si>
  <si>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</si>
  <si>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</si>
  <si>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</si>
  <si>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</si>
  <si>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</si>
  <si>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</si>
  <si>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</si>
  <si>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</si>
  <si>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</si>
  <si>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</si>
  <si>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</si>
  <si>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</si>
  <si>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</si>
  <si>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</si>
  <si>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</si>
  <si>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</si>
  <si>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</si>
  <si>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</si>
  <si>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</si>
  <si>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</si>
  <si>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</si>
  <si>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</si>
  <si>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</si>
  <si>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</si>
  <si>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</si>
  <si>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</si>
  <si>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</si>
  <si>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</si>
  <si>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</si>
  <si>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</si>
  <si>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</si>
  <si>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</si>
  <si>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</si>
  <si>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</si>
  <si>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</si>
  <si>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</si>
  <si>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</si>
  <si>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</si>
  <si>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</si>
  <si>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</si>
  <si>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</si>
  <si>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</si>
  <si>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</si>
  <si>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</si>
  <si>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</si>
  <si>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</si>
  <si>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</si>
  <si>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</si>
  <si>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</si>
  <si>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</si>
  <si>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</si>
  <si>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</si>
  <si>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</si>
  <si>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</si>
  <si>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</si>
  <si>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</si>
  <si>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</si>
  <si>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</si>
  <si>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</si>
  <si>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</si>
  <si>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</si>
  <si>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</si>
  <si>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</si>
  <si>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</si>
  <si>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</si>
  <si>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</si>
  <si>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</si>
  <si>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</si>
  <si>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</si>
  <si>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</si>
  <si>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</si>
  <si>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</si>
  <si>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</si>
  <si>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</si>
  <si>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</si>
  <si>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</si>
  <si>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</si>
  <si>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</si>
  <si>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</si>
  <si>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</si>
  <si>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</si>
  <si>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</si>
  <si>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</si>
  <si>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</si>
  <si>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</si>
  <si>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</si>
  <si>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</si>
  <si>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</si>
  <si>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</si>
  <si>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</si>
  <si>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</si>
  <si>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</si>
  <si>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</si>
  <si>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</si>
  <si>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</si>
  <si>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</si>
  <si>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</si>
  <si>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</si>
  <si>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</si>
  <si>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</si>
  <si>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</si>
  <si>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</si>
  <si>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</si>
  <si>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</si>
  <si>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</si>
  <si>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</si>
  <si>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</si>
  <si>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</si>
  <si>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</si>
  <si>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</si>
  <si>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</si>
  <si>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</si>
  <si>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</si>
  <si>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</si>
  <si>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</si>
  <si>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</si>
  <si>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</si>
  <si>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</si>
  <si>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</si>
  <si>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</si>
  <si>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</si>
  <si>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</si>
  <si>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</si>
  <si>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</si>
  <si>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</si>
  <si>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</si>
  <si>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</si>
  <si>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</si>
  <si>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</si>
  <si>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</si>
  <si>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</si>
  <si>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</si>
  <si>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</si>
  <si>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</si>
  <si>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</si>
  <si>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</si>
  <si>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</si>
  <si>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</si>
  <si>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</si>
  <si>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</si>
  <si>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</si>
  <si>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</si>
  <si>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</si>
  <si>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</si>
  <si>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</si>
  <si>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</si>
  <si>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</si>
  <si>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</si>
  <si>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</si>
  <si>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</si>
  <si>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</si>
  <si>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</si>
  <si>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</si>
  <si>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</si>
  <si>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</si>
  <si>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</si>
  <si>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</si>
  <si>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</si>
  <si>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</si>
  <si>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</si>
  <si>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</si>
  <si>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</si>
  <si>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</si>
  <si>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</si>
  <si>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</si>
  <si>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</si>
  <si>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</si>
  <si>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</si>
  <si>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</si>
  <si>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</si>
  <si>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</si>
  <si>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</si>
  <si>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</si>
  <si>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</si>
  <si>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</si>
  <si>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</si>
  <si>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</si>
  <si>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</si>
  <si>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</si>
  <si>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</si>
  <si>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</si>
  <si>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</si>
  <si>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</si>
  <si>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</si>
  <si>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</si>
  <si>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</si>
  <si>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</si>
  <si>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</si>
  <si>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</si>
  <si>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</si>
  <si>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</si>
  <si>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</si>
  <si>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</si>
  <si>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</si>
  <si>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</si>
  <si>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</si>
  <si>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</si>
  <si>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</si>
  <si>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</si>
  <si>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</si>
  <si>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</si>
  <si>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</si>
  <si>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</si>
  <si>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</si>
  <si>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</si>
  <si>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</si>
  <si>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</si>
  <si>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</si>
  <si>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</si>
  <si>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</si>
  <si>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</si>
  <si>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</si>
  <si>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</si>
  <si>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</si>
  <si>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</si>
  <si>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</si>
  <si>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</si>
  <si>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</si>
  <si>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</si>
  <si>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</si>
  <si>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</si>
  <si>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</si>
  <si>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</si>
  <si>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</si>
  <si>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</si>
  <si>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</si>
  <si>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</si>
  <si>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</si>
  <si>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</si>
  <si>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</si>
  <si>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</si>
  <si>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</si>
  <si>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</si>
  <si>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</si>
  <si>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</si>
  <si>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</si>
  <si>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</si>
  <si>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</si>
  <si>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</si>
  <si>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</si>
  <si>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</si>
  <si>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</si>
  <si>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</si>
  <si>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</si>
  <si>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</si>
  <si>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</si>
  <si>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</si>
  <si>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</si>
  <si>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</si>
  <si>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</si>
  <si>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</si>
  <si>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</si>
  <si>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</si>
  <si>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</si>
  <si>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</si>
  <si>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</si>
  <si>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</si>
  <si>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</si>
  <si>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</si>
  <si>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</si>
  <si>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</si>
  <si>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</si>
  <si>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</si>
  <si>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</si>
  <si>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</si>
  <si>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</si>
  <si>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</si>
  <si>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</si>
  <si>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</si>
  <si>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</si>
  <si>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</si>
  <si>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</si>
  <si>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</si>
  <si>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</si>
  <si>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</si>
  <si>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</si>
  <si>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</si>
  <si>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</si>
  <si>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</si>
  <si>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</si>
  <si>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</si>
  <si>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</si>
  <si>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</si>
  <si>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</si>
  <si>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</si>
  <si>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</si>
  <si>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</si>
  <si>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</si>
  <si>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</si>
  <si>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</si>
  <si>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</si>
  <si>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</si>
  <si>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</si>
  <si>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</si>
  <si>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</si>
  <si>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</si>
  <si>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</si>
  <si>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</si>
  <si>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</si>
  <si>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</si>
  <si>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</si>
  <si>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</si>
  <si>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</si>
  <si>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</si>
  <si>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</si>
  <si>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</si>
  <si>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</si>
  <si>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</si>
  <si>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</si>
  <si>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</si>
  <si>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</si>
  <si>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</si>
  <si>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</si>
  <si>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</si>
  <si>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</si>
  <si>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</si>
  <si>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</si>
  <si>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</si>
  <si>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</si>
  <si>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</si>
  <si>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</si>
  <si>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</si>
  <si>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</si>
  <si>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</si>
  <si>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</si>
  <si>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</si>
  <si>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</si>
  <si>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</si>
  <si>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</si>
  <si>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</si>
  <si>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</si>
  <si>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</si>
  <si>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</si>
  <si>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</si>
  <si>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</si>
  <si>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</si>
  <si>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</si>
  <si>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</si>
  <si>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</si>
  <si>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</si>
  <si>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</si>
  <si>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</si>
  <si>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</si>
  <si>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</si>
  <si>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</si>
  <si>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</si>
  <si>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</si>
  <si>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</si>
  <si>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</si>
  <si>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</si>
  <si>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</si>
  <si>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</si>
  <si>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</si>
  <si>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</si>
  <si>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</si>
  <si>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</si>
  <si>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</si>
  <si>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</si>
  <si>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</si>
  <si>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</si>
  <si>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</si>
  <si>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</si>
  <si>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</si>
  <si>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</si>
  <si>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</si>
  <si>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</si>
  <si>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</si>
  <si>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</si>
  <si>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</si>
  <si>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</si>
  <si>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</si>
  <si>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</si>
  <si>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</si>
  <si>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</si>
  <si>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</si>
  <si>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</si>
  <si>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</si>
  <si>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</si>
  <si>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</si>
  <si>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</si>
  <si>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</si>
  <si>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</si>
  <si>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</si>
  <si>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</si>
  <si>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</si>
  <si>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</si>
  <si>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</si>
  <si>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</si>
  <si>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</si>
  <si>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</si>
  <si>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</si>
  <si>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</si>
  <si>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</si>
  <si>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</si>
  <si>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</si>
  <si>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</si>
  <si>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</si>
  <si>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</si>
  <si>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</si>
  <si>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</si>
  <si>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</si>
  <si>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</si>
  <si>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</si>
  <si>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</si>
  <si>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</si>
  <si>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</si>
  <si>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</si>
  <si>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</si>
  <si>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</si>
  <si>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</si>
  <si>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</si>
  <si>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</si>
  <si>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</si>
  <si>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</si>
  <si>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</si>
  <si>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</si>
  <si>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</si>
  <si>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</si>
  <si>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</si>
  <si>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</si>
  <si>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</si>
  <si>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</si>
  <si>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</si>
  <si>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</si>
  <si>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</si>
  <si>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</si>
  <si>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</si>
  <si>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</si>
  <si>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</si>
  <si>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</si>
  <si>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</si>
  <si>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</si>
  <si>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</si>
  <si>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</si>
  <si>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</si>
  <si>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</si>
  <si>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</si>
  <si>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</si>
  <si>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</si>
  <si>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</si>
  <si>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</si>
  <si>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</si>
  <si>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</si>
  <si>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</si>
  <si>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</si>
  <si>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</si>
  <si>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</si>
  <si>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</si>
  <si>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</si>
  <si>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</si>
  <si>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</si>
  <si>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</si>
  <si>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</si>
  <si>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</si>
  <si>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</si>
  <si>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</si>
  <si>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</si>
  <si>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</si>
  <si>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</si>
  <si>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</si>
  <si>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</si>
  <si>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</si>
  <si>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</si>
  <si>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</si>
  <si>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</si>
  <si>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</si>
  <si>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</si>
  <si>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</si>
  <si>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</si>
  <si>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</si>
  <si>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</si>
  <si>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</si>
  <si>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</si>
  <si>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</si>
  <si>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</si>
  <si>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</si>
  <si>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</si>
  <si>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</si>
  <si>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</si>
  <si>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</si>
  <si>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</si>
  <si>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</si>
  <si>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</si>
  <si>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</si>
  <si>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</si>
  <si>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</si>
  <si>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</si>
  <si>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</si>
  <si>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</si>
  <si>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</si>
  <si>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</si>
  <si>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</si>
  <si>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</si>
  <si>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</si>
  <si>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</si>
  <si>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</si>
  <si>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</si>
  <si>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</si>
  <si>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</si>
  <si>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</si>
  <si>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</si>
  <si>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</si>
  <si>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</si>
  <si>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</si>
  <si>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</si>
  <si>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</si>
  <si>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</si>
  <si>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</si>
  <si>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</si>
  <si>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</si>
  <si>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</si>
  <si>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</si>
  <si>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</si>
  <si>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</si>
  <si>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</si>
  <si>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</si>
  <si>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</si>
  <si>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</si>
  <si>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</si>
  <si>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</si>
  <si>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</si>
  <si>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</si>
  <si>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</si>
  <si>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</si>
  <si>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</si>
  <si>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</si>
  <si>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</si>
  <si>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</si>
  <si>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</si>
  <si>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</si>
  <si>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</si>
  <si>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</si>
  <si>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</si>
  <si>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</si>
  <si>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</si>
  <si>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</si>
  <si>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</si>
  <si>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</si>
  <si>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</si>
  <si>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</si>
  <si>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</si>
  <si>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</si>
  <si>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</si>
  <si>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</si>
  <si>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</si>
  <si>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</si>
  <si>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</si>
  <si>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</si>
  <si>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</si>
  <si>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</si>
  <si>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</si>
  <si>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</si>
  <si>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</si>
  <si>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</si>
  <si>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</si>
  <si>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</si>
  <si>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</si>
  <si>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</si>
  <si>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</si>
  <si>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</si>
  <si>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</si>
  <si>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</si>
  <si>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</si>
  <si>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</si>
  <si>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</si>
  <si>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</si>
  <si>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</si>
  <si>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</si>
  <si>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</si>
  <si>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</si>
  <si>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</si>
  <si>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</si>
  <si>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</si>
  <si>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</si>
  <si>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</si>
  <si>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</si>
  <si>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</si>
  <si>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</si>
  <si>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</si>
  <si>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</si>
  <si>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</si>
  <si>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</si>
  <si>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</si>
  <si>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</si>
  <si>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</si>
  <si>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</si>
  <si>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</si>
  <si>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</si>
  <si>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</si>
  <si>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</si>
  <si>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</si>
  <si>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</si>
  <si>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</si>
  <si>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</si>
  <si>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</si>
  <si>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</si>
  <si>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</si>
  <si>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</si>
  <si>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</si>
  <si>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</si>
  <si>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</si>
  <si>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</si>
  <si>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</si>
  <si>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</si>
  <si>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</si>
  <si>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</si>
  <si>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</si>
  <si>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</si>
  <si>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</si>
  <si>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</si>
  <si>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</si>
  <si>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</si>
  <si>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</si>
  <si>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</si>
  <si>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</si>
  <si>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</si>
  <si>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</si>
  <si>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</si>
  <si>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</si>
  <si>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</si>
  <si>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</si>
  <si>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</si>
  <si>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</si>
  <si>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</si>
  <si>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</si>
  <si>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</si>
  <si>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</si>
  <si>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</si>
  <si>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</si>
  <si>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</si>
  <si>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</si>
  <si>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</si>
  <si>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</si>
  <si>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</si>
  <si>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</si>
  <si>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</si>
  <si>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</si>
  <si>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</si>
  <si>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</si>
  <si>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</si>
  <si>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</si>
  <si>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</si>
  <si>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</si>
  <si>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</si>
  <si>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</si>
  <si>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</si>
  <si>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</si>
  <si>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</si>
  <si>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</si>
  <si>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</si>
  <si>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</si>
  <si>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</si>
  <si>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</si>
  <si>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</si>
  <si>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</si>
  <si>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</si>
  <si>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</si>
  <si>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</si>
  <si>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</si>
  <si>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</si>
  <si>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</si>
  <si>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</si>
  <si>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</si>
  <si>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</si>
  <si>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</si>
  <si>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</si>
  <si>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</si>
  <si>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</si>
  <si>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</si>
  <si>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</si>
  <si>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</si>
  <si>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</si>
  <si>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</si>
  <si>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</si>
  <si>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</si>
  <si>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</si>
  <si>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</si>
  <si>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</si>
  <si>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</si>
  <si>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</si>
  <si>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</si>
  <si>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</si>
  <si>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</si>
  <si>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</si>
  <si>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</si>
  <si>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</si>
  <si>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</si>
  <si>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</si>
  <si>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</si>
  <si>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</si>
  <si>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</si>
  <si>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</si>
  <si>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</si>
  <si>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</si>
  <si>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</si>
  <si>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</si>
  <si>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</si>
  <si>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</si>
  <si>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</si>
  <si>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</si>
  <si>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</si>
  <si>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</si>
  <si>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</si>
  <si>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</si>
  <si>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</si>
  <si>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</si>
  <si>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</si>
  <si>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</si>
  <si>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</si>
  <si>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</si>
  <si>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</si>
  <si>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</si>
  <si>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</si>
  <si>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</si>
  <si>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</si>
  <si>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</si>
  <si>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</si>
  <si>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</si>
  <si>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</si>
  <si>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</si>
  <si>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</si>
  <si>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</si>
  <si>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</si>
  <si>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</si>
  <si>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</si>
  <si>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</si>
  <si>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</si>
  <si>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</si>
  <si>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</si>
  <si>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</si>
  <si>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</si>
  <si>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</si>
  <si>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</si>
  <si>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</si>
  <si>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</si>
  <si>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</si>
  <si>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</si>
  <si>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</si>
  <si>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</si>
  <si>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</si>
  <si>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</si>
  <si>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</si>
  <si>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</si>
  <si>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</si>
  <si>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</si>
  <si>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</si>
  <si>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</si>
  <si>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</si>
  <si>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</si>
  <si>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</si>
  <si>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</si>
  <si>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</si>
  <si>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</si>
  <si>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</si>
  <si>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</si>
  <si>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</si>
  <si>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</si>
  <si>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</si>
  <si>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</si>
  <si>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</si>
  <si>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</si>
  <si>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</si>
  <si>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</si>
  <si>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</si>
  <si>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</si>
  <si>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</si>
  <si>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</si>
  <si>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</si>
  <si>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</si>
  <si>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</si>
  <si>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</si>
  <si>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</si>
  <si>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</si>
  <si>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</si>
  <si>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</si>
  <si>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</si>
  <si>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</si>
  <si>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</si>
  <si>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</si>
  <si>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</si>
  <si>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</si>
  <si>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</si>
  <si>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</si>
  <si>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</si>
  <si>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</si>
  <si>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</si>
  <si>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</si>
  <si>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</si>
  <si>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</si>
  <si>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</si>
  <si>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</si>
  <si>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</si>
  <si>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</si>
  <si>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</si>
  <si>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</si>
  <si>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</si>
  <si>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</si>
  <si>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</si>
  <si>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</si>
  <si>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</si>
  <si>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</si>
  <si>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</si>
  <si>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</si>
  <si>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</si>
  <si>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</si>
  <si>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</si>
  <si>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</si>
  <si>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</si>
  <si>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</si>
  <si>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</si>
  <si>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</si>
  <si>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</si>
  <si>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</si>
  <si>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</si>
  <si>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</si>
  <si>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</si>
  <si>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</si>
  <si>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</si>
  <si>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</si>
  <si>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</si>
  <si>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</si>
  <si>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</si>
  <si>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</si>
  <si>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</si>
  <si>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</si>
  <si>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</si>
  <si>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</si>
  <si>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</si>
  <si>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</si>
  <si>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</si>
  <si>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</si>
  <si>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</si>
  <si>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</si>
  <si>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</si>
  <si>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</si>
  <si>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</si>
  <si>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</si>
  <si>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</si>
  <si>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</si>
  <si>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</si>
  <si>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</si>
  <si>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</si>
  <si>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</si>
  <si>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</si>
  <si>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</si>
  <si>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</si>
  <si>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</si>
  <si>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</si>
  <si>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</si>
  <si>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</si>
  <si>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</si>
  <si>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</si>
  <si>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</si>
  <si>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</si>
  <si>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</si>
  <si>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</si>
  <si>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</si>
  <si>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</si>
  <si>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</si>
  <si>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</si>
  <si>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</si>
  <si>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</si>
  <si>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</si>
  <si>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</si>
  <si>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</si>
  <si>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</si>
  <si>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</si>
  <si>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</si>
  <si>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</si>
  <si>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</si>
  <si>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</si>
  <si>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</si>
  <si>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</si>
  <si>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</si>
  <si>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</si>
  <si>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</si>
  <si>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</si>
  <si>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</si>
  <si>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</si>
  <si>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</si>
  <si>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</si>
  <si>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</si>
  <si>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</si>
  <si>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</si>
  <si>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</si>
  <si>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</si>
  <si>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</si>
  <si>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</si>
  <si>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</si>
  <si>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</si>
  <si>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</si>
  <si>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</si>
  <si>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</si>
  <si>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</si>
  <si>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</si>
  <si>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</si>
  <si>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</si>
  <si>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</si>
  <si>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</si>
  <si>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</si>
  <si>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</si>
  <si>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</si>
  <si>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</si>
  <si>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</si>
  <si>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</si>
  <si>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</si>
  <si>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</si>
  <si>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</si>
  <si>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</si>
  <si>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</si>
  <si>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</si>
  <si>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</si>
  <si>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</si>
  <si>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</si>
  <si>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</si>
  <si>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</si>
  <si>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</si>
  <si>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</si>
  <si>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</si>
  <si>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</si>
  <si>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</si>
  <si>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</si>
  <si>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</si>
  <si>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</si>
  <si>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</si>
  <si>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</si>
  <si>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</si>
  <si>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</si>
  <si>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</si>
  <si>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</si>
  <si>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</si>
  <si>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</si>
  <si>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</si>
  <si>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</si>
  <si>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</si>
  <si>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</si>
  <si>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</si>
  <si>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</si>
  <si>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</si>
  <si>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</si>
  <si>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</si>
  <si>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</si>
  <si>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</si>
  <si>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</si>
  <si>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</si>
  <si>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</si>
  <si>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</si>
  <si>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</si>
  <si>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</si>
  <si>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</si>
  <si>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</si>
  <si>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</si>
  <si>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</si>
  <si>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</si>
  <si>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</si>
  <si>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</si>
  <si>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</si>
  <si>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</si>
  <si>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</si>
  <si>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</si>
  <si>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</si>
  <si>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</si>
  <si>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</si>
  <si>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</si>
  <si>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</si>
  <si>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</si>
  <si>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</si>
  <si>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</si>
  <si>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</si>
  <si>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</si>
  <si>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</si>
  <si>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</si>
  <si>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</si>
  <si>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</si>
  <si>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</si>
  <si>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</si>
  <si>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</si>
  <si>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</si>
  <si>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</si>
  <si>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</si>
  <si>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</si>
  <si>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</si>
  <si>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</si>
  <si>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</si>
  <si>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</si>
  <si>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</si>
  <si>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</si>
  <si>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</si>
  <si>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</si>
  <si>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</si>
  <si>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</si>
  <si>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</si>
  <si>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</si>
  <si>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</si>
  <si>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</si>
  <si>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</si>
  <si>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</si>
  <si>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</si>
  <si>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</si>
  <si>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</si>
  <si>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</si>
  <si>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</si>
  <si>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</si>
  <si>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</si>
  <si>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</si>
  <si>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</si>
  <si>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</si>
  <si>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</si>
  <si>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</si>
  <si>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</si>
  <si>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</si>
  <si>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</si>
  <si>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</si>
  <si>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</si>
  <si>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</si>
  <si>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</si>
  <si>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</si>
  <si>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</si>
  <si>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</si>
  <si>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</si>
  <si>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</si>
  <si>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</si>
  <si>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</si>
  <si>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</si>
  <si>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</si>
  <si>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</si>
  <si>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</si>
  <si>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</si>
  <si>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</si>
  <si>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</si>
  <si>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</si>
  <si>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</si>
  <si>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</si>
  <si>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</si>
  <si>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</si>
  <si>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</si>
  <si>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</si>
  <si>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</si>
  <si>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</si>
  <si>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</si>
  <si>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</si>
  <si>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</si>
  <si>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</si>
  <si>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</si>
  <si>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</si>
  <si>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</si>
  <si>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</si>
  <si>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</si>
  <si>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</si>
  <si>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</si>
  <si>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</si>
  <si>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</si>
  <si>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</si>
  <si>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</si>
  <si>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</si>
  <si>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</si>
  <si>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</si>
  <si>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</si>
  <si>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</si>
  <si>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</si>
  <si>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</si>
  <si>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</si>
  <si>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</si>
  <si>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</si>
  <si>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</si>
  <si>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</si>
  <si>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</si>
  <si>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</si>
  <si>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</si>
  <si>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</si>
  <si>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</si>
  <si>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</si>
  <si>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</si>
  <si>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</si>
  <si>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</si>
  <si>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</si>
  <si>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</si>
  <si>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</si>
  <si>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</si>
  <si>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</si>
  <si>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</si>
  <si>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</si>
  <si>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</si>
  <si>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</si>
  <si>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</si>
  <si>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</si>
  <si>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</si>
  <si>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</si>
  <si>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</si>
  <si>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</si>
  <si>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</si>
  <si>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</si>
  <si>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</si>
  <si>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</si>
  <si>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</si>
  <si>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</si>
  <si>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</si>
  <si>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</si>
  <si>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</si>
  <si>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</si>
  <si>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</si>
  <si>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</si>
  <si>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</si>
  <si>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</si>
  <si>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</si>
  <si>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</si>
  <si>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</si>
  <si>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</si>
  <si>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</si>
  <si>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</si>
  <si>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</si>
  <si>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</si>
  <si>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</si>
  <si>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</si>
  <si>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</si>
  <si>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</si>
  <si>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</si>
  <si>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</si>
  <si>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</si>
  <si>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</si>
  <si>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</si>
  <si>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</si>
  <si>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</si>
  <si>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</si>
  <si>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</si>
  <si>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</si>
  <si>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</si>
  <si>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</si>
  <si>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</si>
  <si>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</si>
  <si>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</si>
  <si>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</si>
  <si>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</si>
  <si>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</si>
  <si>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</si>
  <si>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</si>
  <si>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</si>
  <si>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</si>
  <si>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</si>
  <si>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</si>
  <si>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</si>
  <si>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</si>
  <si>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</si>
  <si>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</si>
  <si>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</si>
  <si>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</si>
  <si>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</si>
  <si>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</si>
  <si>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</si>
  <si>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</si>
  <si>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</si>
  <si>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</si>
  <si>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</si>
  <si>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</si>
  <si>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</si>
  <si>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</si>
  <si>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</si>
  <si>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</si>
  <si>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</si>
  <si>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</si>
  <si>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</si>
  <si>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</si>
  <si>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</si>
  <si>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</si>
  <si>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</si>
  <si>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</si>
  <si>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</si>
  <si>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</si>
  <si>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</si>
  <si>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</si>
  <si>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</si>
  <si>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</si>
  <si>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</si>
  <si>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</si>
  <si>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</si>
  <si>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</si>
  <si>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</si>
  <si>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</si>
  <si>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</si>
  <si>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</si>
  <si>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</si>
  <si>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</si>
  <si>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</si>
  <si>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</si>
  <si>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</si>
  <si>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</si>
  <si>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</si>
  <si>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</si>
  <si>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</si>
  <si>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</si>
  <si>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</si>
  <si>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</si>
  <si>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</si>
  <si>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</si>
  <si>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</si>
  <si>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</si>
  <si>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</si>
  <si>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</si>
  <si>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</si>
  <si>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</si>
  <si>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</si>
  <si>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</si>
  <si>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</si>
  <si>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</si>
  <si>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</si>
  <si>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</si>
  <si>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</si>
  <si>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</si>
  <si>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</si>
  <si>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</si>
  <si>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</si>
  <si>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</si>
  <si>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</si>
  <si>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</si>
  <si>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</si>
  <si>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</si>
  <si>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</si>
  <si>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</si>
  <si>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</si>
  <si>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</si>
  <si>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</si>
  <si>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</si>
  <si>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</si>
  <si>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</si>
  <si>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</si>
  <si>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</si>
  <si>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</si>
  <si>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</si>
  <si>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</si>
  <si>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</si>
  <si>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</si>
  <si>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</si>
  <si>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</si>
  <si>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</si>
  <si>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</si>
  <si>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</si>
  <si>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</si>
  <si>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</si>
  <si>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</si>
  <si>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</si>
  <si>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</si>
  <si>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</si>
  <si>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</si>
  <si>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</si>
  <si>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</si>
  <si>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</si>
  <si>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</si>
  <si>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</si>
  <si>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</si>
  <si>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</si>
  <si>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</si>
  <si>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</si>
  <si>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</si>
  <si>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</si>
  <si>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</si>
  <si>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</si>
  <si>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</si>
  <si>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</si>
  <si>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</si>
  <si>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</si>
  <si>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</si>
  <si>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</si>
  <si>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</si>
  <si>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</si>
  <si>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</si>
  <si>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</si>
  <si>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</si>
  <si>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</si>
  <si>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</si>
  <si>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</si>
  <si>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</si>
  <si>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</si>
  <si>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</si>
  <si>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</si>
  <si>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</si>
  <si>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</si>
  <si>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</si>
  <si>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</si>
  <si>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</si>
  <si>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</si>
  <si>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</si>
  <si>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</si>
  <si>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</si>
  <si>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</si>
  <si>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</si>
  <si>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</si>
  <si>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</si>
  <si>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</si>
  <si>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</si>
  <si>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</si>
  <si>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</si>
  <si>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</si>
  <si>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</si>
  <si>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</si>
  <si>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</si>
  <si>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</si>
  <si>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</si>
  <si>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</si>
  <si>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</si>
  <si>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</si>
  <si>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</si>
  <si>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</si>
  <si>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</si>
  <si>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</si>
  <si>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</si>
  <si>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</si>
  <si>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</si>
  <si>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</si>
  <si>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</si>
  <si>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</si>
  <si>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</si>
  <si>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</si>
  <si>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</si>
  <si>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</si>
  <si>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</si>
  <si>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</si>
  <si>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</si>
  <si>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</si>
  <si>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</si>
  <si>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</si>
  <si>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</si>
  <si>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</si>
  <si>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</si>
  <si>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</si>
  <si>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</si>
  <si>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</si>
  <si>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</si>
  <si>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</si>
  <si>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</si>
  <si>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</si>
  <si>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</si>
  <si>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</si>
  <si>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</si>
  <si>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</si>
  <si>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</si>
  <si>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</si>
  <si>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</si>
  <si>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</si>
  <si>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</si>
  <si>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</si>
  <si>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</si>
  <si>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</si>
  <si>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</si>
  <si>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</si>
  <si>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</si>
  <si>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</si>
  <si>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</si>
  <si>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</si>
  <si>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</si>
  <si>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</si>
  <si>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</si>
  <si>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</si>
  <si>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</si>
  <si>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</si>
  <si>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</si>
  <si>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</si>
  <si>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</si>
  <si>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</si>
  <si>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</si>
  <si>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</si>
  <si>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</si>
  <si>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</si>
  <si>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</si>
  <si>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</si>
  <si>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</si>
  <si>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</si>
  <si>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</si>
  <si>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</si>
  <si>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</si>
  <si>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</si>
  <si>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</si>
  <si>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</si>
  <si>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</si>
  <si>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</si>
  <si>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</si>
  <si>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</si>
  <si>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</si>
  <si>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</si>
  <si>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</si>
  <si>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</si>
  <si>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</si>
  <si>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</si>
  <si>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</si>
  <si>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</si>
  <si>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</si>
  <si>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</si>
  <si>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</si>
  <si>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</si>
  <si>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</si>
  <si>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</si>
  <si>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</si>
  <si>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</si>
  <si>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</si>
  <si>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</si>
  <si>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</si>
  <si>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</si>
  <si>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</si>
  <si>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</si>
  <si>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</si>
  <si>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</si>
  <si>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</si>
  <si>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</si>
  <si>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</si>
  <si>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</si>
  <si>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</si>
  <si>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</si>
  <si>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</si>
  <si>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</si>
  <si>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</si>
  <si>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</si>
  <si>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</si>
  <si>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</si>
  <si>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</si>
  <si>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</si>
  <si>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</si>
  <si>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</si>
  <si>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</si>
  <si>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</si>
  <si>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</si>
  <si>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</si>
  <si>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</si>
  <si>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</si>
  <si>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</si>
  <si>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</si>
  <si>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</si>
  <si>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</si>
  <si>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</si>
  <si>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</si>
  <si>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</si>
  <si>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</si>
  <si>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</si>
  <si>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</si>
  <si>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</si>
  <si>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</si>
  <si>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</si>
  <si>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</si>
  <si>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</si>
  <si>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</si>
  <si>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</si>
  <si>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</si>
  <si>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</si>
  <si>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</si>
  <si>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</si>
  <si>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</si>
  <si>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</si>
  <si>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</si>
  <si>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</si>
  <si>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</si>
  <si>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</si>
  <si>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</si>
  <si>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</si>
  <si>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</si>
  <si>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</si>
  <si>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</si>
  <si>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</si>
  <si>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</si>
  <si>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</si>
  <si>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</si>
  <si>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</si>
  <si>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</si>
  <si>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</si>
  <si>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</si>
  <si>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</si>
  <si>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</si>
  <si>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</si>
  <si>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</si>
  <si>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</si>
  <si>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</si>
  <si>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</si>
  <si>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</si>
  <si>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</si>
  <si>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</si>
  <si>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</si>
  <si>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</si>
  <si>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</si>
  <si>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</si>
  <si>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</si>
  <si>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</si>
  <si>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</si>
  <si>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</si>
  <si>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</si>
  <si>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</si>
  <si>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</si>
  <si>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</si>
  <si>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</si>
  <si>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</si>
  <si>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</si>
  <si>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</si>
  <si>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</si>
  <si>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</si>
  <si>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</si>
  <si>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</si>
  <si>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</si>
  <si>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</si>
  <si>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</si>
  <si>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</si>
  <si>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</si>
  <si>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</si>
  <si>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</si>
  <si>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</si>
  <si>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</si>
  <si>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</si>
  <si>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</si>
  <si>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</si>
  <si>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</si>
  <si>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</si>
  <si>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</si>
  <si>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</si>
  <si>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</si>
  <si>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</si>
  <si>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</si>
  <si>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</si>
  <si>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</si>
  <si>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</si>
  <si>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</si>
  <si>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</si>
  <si>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</si>
  <si>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</si>
  <si>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</si>
  <si>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</si>
  <si>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</si>
  <si>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</si>
  <si>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</si>
  <si>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</si>
  <si>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</si>
  <si>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</si>
  <si>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</si>
  <si>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</si>
  <si>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</si>
  <si>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</si>
  <si>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</si>
  <si>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</si>
  <si>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</si>
  <si>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</si>
  <si>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</si>
  <si>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</si>
  <si>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</si>
  <si>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</si>
  <si>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</si>
  <si>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</si>
  <si>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</si>
  <si>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</si>
  <si>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</si>
  <si>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</si>
  <si>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</si>
  <si>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</si>
  <si>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</si>
  <si>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</si>
  <si>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</si>
  <si>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</si>
  <si>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</si>
  <si>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</si>
  <si>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</si>
  <si>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</si>
  <si>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</si>
  <si>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</si>
  <si>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</si>
  <si>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</si>
  <si>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</si>
  <si>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</si>
  <si>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</si>
  <si>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</si>
  <si>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</si>
  <si>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</si>
  <si>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</si>
  <si>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</si>
  <si>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</si>
  <si>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</si>
  <si>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</si>
  <si>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</si>
  <si>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</si>
  <si>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</si>
  <si>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</si>
  <si>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</si>
  <si>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</si>
  <si>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</si>
  <si>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</si>
  <si>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</si>
  <si>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</si>
  <si>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</si>
  <si>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</si>
  <si>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</si>
  <si>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</si>
  <si>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</si>
  <si>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</si>
  <si>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</si>
  <si>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</si>
  <si>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</si>
  <si>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</si>
  <si>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</si>
  <si>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</si>
  <si>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</si>
  <si>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</si>
  <si>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</si>
  <si>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</si>
  <si>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</si>
  <si>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</si>
  <si>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</si>
  <si>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</si>
  <si>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</si>
  <si>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</si>
  <si>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</si>
  <si>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</si>
  <si>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</si>
  <si>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</si>
  <si>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</si>
  <si>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</si>
  <si>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</si>
  <si>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</si>
  <si>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</si>
  <si>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</si>
  <si>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</si>
  <si>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</si>
  <si>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</si>
  <si>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</si>
  <si>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</si>
  <si>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</si>
  <si>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</si>
  <si>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</si>
  <si>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</si>
  <si>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</si>
  <si>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</si>
  <si>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</si>
  <si>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</si>
  <si>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</si>
  <si>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</si>
  <si>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</si>
  <si>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</si>
  <si>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</si>
  <si>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</si>
  <si>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</si>
  <si>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</si>
  <si>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</si>
  <si>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</si>
  <si>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</si>
  <si>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</si>
  <si>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</si>
  <si>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</si>
  <si>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</si>
  <si>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</si>
  <si>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</si>
  <si>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</si>
  <si>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</si>
  <si>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</si>
  <si>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</si>
  <si>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</si>
  <si>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</si>
  <si>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</si>
  <si>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</si>
  <si>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</si>
  <si>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</si>
  <si>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</si>
  <si>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</si>
  <si>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</si>
  <si>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</si>
  <si>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</si>
  <si>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</si>
  <si>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</si>
  <si>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</si>
  <si>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</si>
  <si>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</si>
  <si>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</si>
  <si>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</si>
  <si>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</si>
  <si>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</si>
  <si>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</si>
  <si>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</si>
  <si>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</si>
  <si>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</si>
  <si>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</si>
  <si>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</si>
  <si>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</si>
  <si>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</si>
  <si>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</si>
  <si>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</si>
  <si>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</si>
  <si>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</si>
  <si>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</si>
  <si>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</si>
  <si>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</si>
  <si>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</si>
  <si>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</si>
  <si>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</si>
  <si>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</si>
  <si>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</si>
  <si>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</si>
  <si>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</si>
  <si>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</si>
  <si>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</si>
  <si>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</si>
  <si>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</si>
  <si>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</si>
  <si>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</si>
  <si>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</si>
  <si>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</si>
  <si>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</si>
  <si>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</si>
  <si>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</si>
  <si>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</si>
  <si>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</si>
  <si>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</si>
  <si>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</si>
  <si>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</si>
  <si>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</si>
  <si>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</si>
  <si>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</si>
  <si>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</si>
  <si>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</si>
  <si>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</si>
  <si>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</si>
  <si>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</si>
  <si>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</si>
  <si>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</si>
  <si>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</si>
  <si>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</si>
  <si>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</si>
  <si>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</si>
  <si>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</si>
  <si>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</si>
  <si>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</si>
  <si>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</si>
  <si>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</si>
  <si>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</si>
  <si>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</si>
  <si>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</si>
  <si>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</si>
  <si>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</si>
  <si>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</si>
  <si>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</si>
  <si>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</si>
  <si>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</si>
  <si>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</si>
  <si>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</si>
  <si>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</si>
  <si>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</si>
  <si>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</si>
  <si>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</si>
  <si>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</si>
  <si>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</si>
  <si>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</si>
  <si>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</si>
  <si>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</si>
  <si>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</si>
  <si>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</si>
  <si>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</si>
  <si>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</si>
  <si>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</si>
  <si>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</si>
  <si>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</si>
  <si>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</si>
  <si>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</si>
  <si>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</si>
  <si>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</si>
  <si>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</si>
  <si>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</si>
  <si>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</si>
  <si>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</si>
  <si>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</si>
  <si>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</si>
  <si>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</si>
  <si>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</si>
  <si>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</si>
  <si>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</si>
  <si>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</si>
  <si>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</si>
  <si>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</si>
  <si>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</si>
  <si>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</si>
  <si>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</si>
  <si>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</si>
  <si>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</si>
  <si>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</si>
  <si>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</si>
  <si>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</si>
  <si>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</si>
  <si>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</si>
  <si>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</si>
  <si>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</si>
  <si>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</si>
  <si>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</si>
  <si>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</si>
  <si>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</si>
  <si>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</si>
  <si>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</si>
  <si>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</si>
  <si>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</si>
  <si>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</si>
  <si>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</si>
  <si>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</si>
  <si>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</si>
  <si>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</si>
  <si>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</si>
  <si>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</si>
  <si>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</si>
  <si>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</si>
  <si>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</si>
  <si>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</si>
  <si>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</si>
  <si>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</si>
  <si>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</si>
  <si>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</si>
  <si>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</si>
  <si>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</si>
  <si>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</si>
  <si>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</si>
  <si>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</si>
  <si>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</si>
  <si>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</si>
  <si>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</si>
  <si>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</si>
  <si>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</si>
  <si>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</si>
  <si>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</si>
  <si>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</si>
  <si>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</si>
  <si>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</si>
  <si>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</si>
  <si>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</si>
  <si>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</si>
  <si>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</si>
  <si>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</si>
  <si>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</si>
  <si>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</si>
  <si>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</si>
  <si>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</si>
  <si>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</si>
  <si>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</si>
  <si>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</si>
  <si>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</si>
  <si>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</si>
  <si>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</si>
  <si>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</si>
  <si>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</si>
  <si>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</si>
  <si>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</si>
  <si>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</si>
  <si>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</si>
  <si>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</si>
  <si>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</si>
  <si>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</si>
  <si>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</si>
  <si>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</si>
  <si>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</si>
  <si>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</si>
  <si>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</si>
  <si>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</si>
  <si>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</si>
  <si>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</si>
  <si>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</si>
  <si>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</si>
  <si>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</si>
  <si>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</si>
  <si>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</si>
  <si>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</si>
  <si>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</si>
  <si>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</si>
  <si>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</si>
  <si>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</si>
  <si>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</si>
  <si>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</si>
  <si>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</si>
  <si>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</si>
  <si>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</si>
  <si>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</si>
  <si>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</si>
  <si>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</si>
  <si>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</si>
  <si>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</si>
  <si>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</si>
  <si>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</si>
  <si>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</si>
  <si>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</si>
  <si>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</si>
  <si>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</si>
  <si>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</si>
  <si>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</si>
  <si>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</si>
  <si>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</si>
  <si>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</si>
  <si>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</si>
  <si>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</si>
  <si>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</si>
  <si>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</si>
  <si>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</si>
  <si>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</si>
  <si>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</si>
  <si>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</si>
  <si>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</si>
  <si>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</si>
  <si>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</si>
  <si>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</si>
  <si>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</si>
  <si>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</si>
  <si>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</si>
  <si>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</si>
  <si>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</si>
  <si>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</si>
  <si>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</si>
  <si>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</si>
  <si>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</si>
  <si>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</si>
  <si>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</si>
  <si>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</si>
  <si>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</si>
  <si>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</si>
  <si>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</si>
  <si>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</si>
  <si>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</si>
  <si>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</si>
  <si>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</si>
  <si>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</si>
  <si>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</si>
  <si>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</si>
  <si>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</si>
  <si>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</si>
  <si>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</si>
  <si>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</si>
  <si>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</si>
  <si>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</si>
  <si>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</si>
  <si>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</si>
  <si>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</si>
  <si>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</si>
  <si>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</si>
  <si>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</si>
  <si>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</si>
  <si>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</si>
  <si>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</si>
  <si>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</si>
  <si>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</si>
  <si>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</si>
  <si>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</si>
  <si>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</si>
  <si>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</si>
  <si>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</si>
  <si>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</si>
  <si>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</si>
  <si>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</si>
  <si>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</si>
  <si>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</si>
  <si>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</si>
  <si>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</si>
  <si>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</si>
  <si>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</si>
  <si>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</si>
  <si>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</si>
  <si>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</si>
  <si>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</si>
  <si>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</si>
  <si>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</si>
  <si>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</si>
  <si>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</si>
  <si>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</si>
  <si>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</si>
  <si>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</si>
  <si>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</si>
  <si>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</si>
  <si>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</si>
  <si>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</si>
  <si>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</si>
  <si>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</si>
  <si>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</si>
  <si>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</si>
  <si>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</si>
  <si>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</si>
  <si>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</si>
  <si>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</si>
  <si>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</si>
  <si>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</si>
  <si>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</si>
  <si>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</si>
  <si>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</si>
  <si>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</si>
  <si>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</si>
  <si>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</si>
  <si>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</si>
  <si>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</si>
  <si>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</si>
  <si>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</si>
  <si>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</si>
  <si>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</si>
  <si>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</si>
  <si>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</si>
  <si>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</si>
  <si>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</si>
  <si>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</si>
  <si>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</si>
  <si>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</si>
  <si>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</si>
  <si>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</si>
  <si>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</si>
  <si>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</si>
  <si>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</si>
  <si>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</si>
  <si>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</si>
  <si>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</si>
  <si>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</si>
  <si>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</si>
  <si>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</si>
  <si>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</si>
  <si>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</si>
  <si>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</si>
  <si>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</si>
  <si>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</si>
  <si>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</si>
  <si>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</si>
  <si>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</si>
  <si>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</si>
  <si>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</si>
  <si>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</si>
  <si>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</si>
  <si>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</si>
  <si>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</si>
  <si>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</si>
  <si>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</si>
  <si>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</si>
  <si>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</si>
  <si>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</si>
  <si>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</si>
  <si>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</si>
  <si>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</si>
  <si>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</si>
  <si>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</si>
  <si>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</si>
  <si>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</si>
  <si>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</si>
  <si>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</si>
  <si>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</si>
  <si>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</si>
  <si>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</si>
  <si>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</si>
  <si>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</si>
  <si>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</si>
  <si>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</si>
  <si>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</si>
  <si>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</si>
  <si>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</si>
  <si>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</si>
  <si>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</si>
  <si>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</si>
  <si>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</si>
  <si>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</si>
  <si>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</si>
  <si>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</si>
  <si>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</si>
  <si>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</si>
  <si>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</si>
  <si>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</si>
  <si>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</si>
  <si>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</si>
  <si>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</si>
  <si>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</si>
  <si>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</si>
  <si>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</si>
  <si>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</si>
  <si>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</si>
  <si>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</si>
  <si>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</si>
  <si>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</si>
  <si>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</si>
  <si>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</si>
  <si>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</si>
  <si>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</si>
  <si>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</si>
  <si>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</si>
  <si>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</si>
  <si>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</si>
  <si>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</si>
  <si>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</si>
  <si>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</si>
  <si>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</si>
  <si>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</si>
  <si>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</si>
  <si>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</si>
  <si>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</si>
  <si>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</si>
  <si>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</si>
  <si>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</si>
  <si>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</si>
  <si>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</si>
  <si>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</si>
  <si>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</si>
  <si>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</si>
  <si>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</si>
  <si>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</si>
  <si>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</si>
  <si>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</si>
  <si>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</si>
  <si>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</si>
  <si>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</si>
  <si>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</si>
  <si>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</si>
  <si>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</si>
  <si>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</si>
  <si>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</si>
  <si>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</si>
  <si>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</si>
  <si>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</si>
  <si>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</si>
  <si>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</si>
  <si>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</si>
  <si>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</si>
  <si>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</si>
  <si>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</si>
  <si>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</si>
  <si>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</si>
  <si>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</si>
  <si>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</si>
  <si>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</si>
  <si>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</si>
  <si>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</si>
  <si>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</si>
  <si>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</si>
  <si>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</si>
  <si>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</si>
  <si>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</si>
  <si>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</si>
  <si>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</si>
  <si>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</si>
  <si>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</si>
  <si>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</si>
  <si>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</si>
  <si>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</si>
  <si>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</si>
  <si>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</si>
  <si>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</si>
  <si>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</si>
  <si>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</si>
  <si>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</si>
  <si>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</si>
  <si>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</si>
  <si>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</si>
  <si>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</si>
  <si>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</si>
  <si>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</si>
  <si>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</si>
  <si>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</si>
  <si>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</si>
  <si>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</si>
  <si>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</si>
  <si>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</si>
  <si>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</si>
  <si>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</si>
  <si>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</si>
  <si>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</si>
  <si>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</si>
  <si>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</si>
  <si>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</si>
  <si>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</si>
  <si>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</si>
  <si>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</si>
  <si>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</si>
  <si>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</si>
  <si>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</si>
  <si>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</si>
  <si>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</si>
  <si>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</si>
  <si>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</si>
  <si>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</si>
  <si>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</si>
  <si>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</si>
  <si>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</si>
  <si>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</si>
  <si>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</si>
  <si>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</si>
  <si>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</si>
  <si>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</si>
  <si>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</si>
  <si>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</si>
  <si>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</si>
  <si>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</si>
  <si>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</si>
  <si>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</si>
  <si>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</si>
  <si>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</si>
  <si>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</si>
  <si>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</si>
  <si>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</si>
  <si>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</si>
  <si>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</si>
  <si>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</si>
  <si>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</si>
  <si>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</si>
  <si>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</si>
  <si>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</si>
  <si>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</si>
  <si>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</si>
  <si>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</si>
  <si>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</si>
  <si>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</si>
  <si>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</si>
  <si>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</si>
  <si>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</si>
  <si>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</si>
  <si>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</si>
  <si>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</si>
  <si>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</si>
  <si>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</si>
  <si>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</si>
  <si>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</si>
  <si>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</si>
  <si>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</si>
  <si>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</si>
  <si>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</si>
  <si>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</si>
  <si>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</si>
  <si>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</si>
  <si>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</si>
  <si>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</si>
  <si>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</si>
  <si>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</si>
  <si>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</si>
  <si>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</si>
  <si>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</si>
  <si>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</si>
  <si>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</si>
  <si>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</si>
  <si>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</si>
  <si>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</si>
  <si>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</si>
  <si>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</si>
  <si>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</si>
  <si>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</si>
  <si>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</si>
  <si>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</si>
  <si>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</si>
  <si>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</si>
  <si>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</si>
  <si>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</si>
  <si>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</si>
  <si>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</si>
  <si>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</si>
  <si>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</si>
  <si>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</si>
  <si>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</si>
  <si>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</si>
  <si>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</si>
  <si>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</si>
  <si>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</si>
  <si>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</si>
  <si>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</si>
  <si>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</si>
  <si>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</si>
  <si>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</si>
  <si>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</si>
  <si>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</si>
  <si>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</si>
  <si>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</si>
  <si>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</si>
  <si>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</si>
  <si>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</si>
  <si>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</si>
  <si>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</si>
  <si>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</si>
  <si>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</si>
  <si>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</si>
  <si>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</si>
  <si>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</si>
  <si>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</si>
  <si>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</si>
  <si>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</si>
  <si>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</si>
  <si>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</si>
  <si>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</si>
  <si>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</si>
  <si>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</si>
  <si>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</si>
  <si>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</si>
  <si>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</si>
  <si>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</si>
  <si>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</si>
  <si>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</si>
  <si>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</si>
  <si>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</si>
  <si>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</si>
  <si>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</si>
  <si>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</si>
  <si>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</si>
  <si>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</si>
  <si>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</si>
  <si>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</si>
  <si>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</si>
  <si>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</si>
  <si>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</si>
  <si>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</si>
  <si>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</si>
  <si>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</si>
  <si>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</si>
  <si>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</si>
  <si>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</si>
  <si>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</si>
  <si>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</si>
  <si>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</si>
  <si>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</si>
  <si>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</si>
  <si>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</si>
  <si>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</si>
  <si>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</si>
  <si>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</si>
  <si>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</si>
  <si>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</si>
  <si>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</si>
  <si>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</si>
  <si>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</si>
  <si>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</si>
  <si>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</si>
  <si>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</si>
  <si>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</si>
  <si>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</si>
  <si>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</si>
  <si>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</si>
  <si>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</si>
  <si>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</si>
  <si>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</si>
  <si>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</si>
  <si>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</si>
  <si>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</si>
  <si>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</si>
  <si>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</si>
  <si>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</si>
  <si>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</si>
  <si>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</si>
  <si>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</si>
  <si>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</si>
  <si>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</si>
  <si>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</si>
  <si>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</si>
  <si>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</si>
  <si>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</si>
  <si>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</si>
  <si>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</si>
  <si>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</si>
  <si>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</si>
  <si>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</si>
  <si>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</si>
  <si>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</si>
  <si>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</si>
  <si>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</si>
  <si>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</si>
  <si>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</si>
  <si>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</si>
  <si>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</si>
  <si>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</si>
  <si>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</si>
  <si>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</si>
  <si>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</si>
  <si>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</si>
  <si>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</si>
  <si>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</si>
  <si>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</si>
  <si>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</si>
  <si>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</si>
  <si>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</si>
  <si>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</si>
  <si>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</si>
  <si>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</si>
  <si>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</si>
  <si>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</si>
  <si>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</si>
  <si>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</si>
  <si>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</si>
  <si>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</si>
  <si>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</si>
  <si>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</si>
  <si>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</si>
  <si>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</si>
  <si>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</si>
  <si>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</si>
  <si>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</si>
  <si>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</si>
  <si>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</si>
  <si>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</si>
  <si>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</si>
  <si>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</si>
  <si>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</si>
  <si>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</si>
  <si>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</si>
  <si>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</si>
  <si>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</si>
  <si>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</si>
  <si>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</si>
  <si>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</si>
  <si>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</si>
  <si>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</si>
  <si>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</si>
  <si>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</si>
  <si>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</si>
  <si>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</si>
  <si>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</si>
  <si>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</si>
  <si>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</si>
  <si>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</si>
  <si>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</si>
  <si>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</si>
  <si>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</si>
  <si>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</si>
  <si>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</si>
  <si>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</si>
  <si>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</si>
  <si>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</si>
  <si>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</si>
  <si>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</si>
  <si>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</si>
  <si>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</si>
  <si>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</si>
  <si>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</si>
  <si>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</si>
  <si>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</si>
  <si>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</si>
  <si>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</si>
  <si>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</si>
  <si>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</si>
  <si>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</si>
  <si>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</si>
  <si>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</si>
  <si>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</si>
  <si>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</si>
  <si>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</si>
  <si>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</si>
  <si>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</si>
  <si>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</si>
  <si>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</si>
  <si>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</si>
  <si>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</si>
  <si>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</si>
  <si>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</si>
  <si>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</si>
  <si>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</si>
  <si>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</si>
  <si>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</si>
  <si>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</si>
  <si>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</si>
  <si>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</si>
  <si>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</si>
  <si>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</si>
  <si>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</si>
  <si>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</si>
  <si>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</si>
  <si>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</si>
  <si>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</si>
  <si>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</si>
  <si>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</si>
  <si>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</si>
  <si>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</si>
  <si>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</si>
  <si>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</si>
  <si>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</si>
  <si>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</si>
  <si>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</si>
  <si>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</si>
  <si>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</si>
  <si>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</si>
  <si>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</si>
  <si>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</si>
  <si>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</si>
  <si>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</si>
  <si>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</si>
  <si>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</si>
  <si>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</si>
  <si>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</si>
  <si>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</si>
  <si>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</si>
  <si>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</si>
  <si>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</si>
  <si>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</si>
  <si>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</si>
  <si>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</si>
  <si>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</si>
  <si>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</si>
  <si>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</si>
  <si>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</si>
  <si>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</si>
  <si>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</si>
  <si>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</si>
  <si>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</si>
  <si>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</si>
  <si>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</si>
  <si>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</si>
  <si>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</si>
  <si>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</si>
  <si>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</si>
  <si>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</si>
  <si>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</si>
  <si>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</si>
  <si>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</si>
  <si>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</si>
  <si>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</si>
  <si>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</si>
  <si>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</si>
  <si>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</si>
  <si>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</si>
  <si>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</si>
  <si>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</si>
  <si>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</si>
  <si>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</si>
  <si>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</si>
  <si>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</si>
  <si>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</si>
  <si>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</si>
  <si>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</si>
  <si>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</si>
  <si>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</si>
  <si>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</si>
  <si>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</si>
  <si>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</si>
  <si>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</si>
  <si>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</si>
  <si>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</si>
  <si>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</si>
  <si>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</si>
  <si>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</si>
  <si>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</si>
  <si>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</si>
  <si>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</si>
  <si>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</si>
  <si>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</si>
  <si>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</si>
  <si>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</si>
  <si>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</si>
  <si>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</si>
  <si>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</si>
  <si>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</si>
  <si>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</si>
  <si>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</si>
  <si>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</si>
  <si>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</si>
  <si>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</si>
  <si>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</si>
  <si>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</si>
  <si>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</si>
  <si>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</si>
  <si>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</si>
  <si>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</si>
  <si>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</si>
  <si>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</si>
  <si>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</si>
  <si>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</si>
  <si>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</si>
  <si>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</si>
  <si>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</si>
  <si>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</si>
  <si>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</si>
  <si>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</si>
  <si>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</si>
  <si>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</si>
  <si>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</si>
  <si>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</si>
  <si>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</si>
  <si>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</si>
  <si>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</si>
  <si>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</si>
  <si>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</si>
  <si>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</si>
  <si>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</si>
  <si>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</si>
  <si>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</si>
  <si>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</si>
  <si>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</si>
  <si>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</si>
  <si>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</si>
  <si>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</si>
  <si>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</si>
  <si>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</si>
  <si>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</si>
  <si>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</si>
  <si>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</si>
  <si>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</si>
  <si>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</si>
  <si>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</si>
  <si>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</si>
  <si>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</si>
  <si>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</si>
  <si>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</si>
  <si>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</si>
  <si>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</si>
  <si>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</si>
  <si>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</si>
  <si>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</si>
  <si>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</si>
  <si>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</si>
  <si>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</si>
  <si>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</si>
  <si>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</si>
  <si>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</si>
  <si>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</si>
  <si>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</si>
  <si>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</si>
  <si>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</si>
  <si>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</si>
  <si>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</si>
  <si>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</si>
  <si>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</si>
  <si>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</si>
  <si>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</si>
  <si>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</si>
  <si>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</si>
  <si>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</si>
  <si>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</si>
  <si>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</si>
  <si>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</si>
  <si>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</si>
  <si>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</si>
  <si>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</si>
  <si>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</si>
  <si>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</si>
  <si>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</si>
  <si>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</si>
  <si>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</si>
  <si>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</si>
  <si>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</si>
  <si>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</si>
  <si>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</si>
  <si>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</si>
  <si>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</si>
  <si>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</si>
  <si>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</si>
  <si>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</si>
  <si>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</si>
  <si>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</si>
  <si>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</si>
  <si>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</si>
  <si>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</si>
  <si>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</si>
  <si>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</si>
  <si>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</si>
  <si>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</si>
  <si>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</si>
  <si>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</si>
  <si>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</si>
  <si>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</si>
  <si>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</si>
  <si>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</si>
  <si>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</si>
  <si>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</si>
  <si>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</si>
  <si>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</si>
  <si>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</si>
  <si>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</si>
  <si>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</si>
  <si>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</si>
  <si>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</si>
  <si>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</si>
  <si>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</si>
  <si>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</si>
  <si>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</si>
  <si>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</si>
  <si>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</si>
  <si>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</si>
  <si>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</si>
  <si>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</si>
  <si>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</si>
  <si>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</si>
  <si>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</si>
  <si>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</si>
  <si>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</si>
  <si>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</si>
  <si>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</si>
  <si>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</si>
  <si>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</si>
  <si>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</si>
  <si>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</si>
  <si>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</si>
  <si>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</si>
  <si>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</si>
  <si>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</si>
  <si>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</si>
  <si>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</si>
  <si>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</si>
  <si>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</si>
  <si>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</si>
  <si>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</si>
  <si>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</si>
  <si>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</si>
  <si>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</si>
  <si>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</si>
  <si>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</si>
  <si>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</si>
  <si>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</si>
  <si>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</si>
  <si>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</si>
  <si>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</si>
  <si>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</si>
  <si>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</si>
  <si>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</si>
  <si>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</si>
  <si>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</si>
  <si>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</si>
  <si>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</si>
  <si>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</si>
  <si>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</si>
  <si>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</si>
  <si>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</si>
  <si>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</si>
  <si>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</si>
  <si>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</si>
  <si>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</si>
  <si>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</si>
  <si>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</si>
  <si>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</si>
  <si>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</si>
  <si>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</si>
  <si>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</si>
  <si>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</si>
  <si>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</si>
  <si>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</si>
  <si>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</si>
  <si>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</si>
  <si>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</si>
  <si>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</si>
  <si>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</si>
  <si>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</si>
  <si>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</si>
  <si>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</si>
  <si>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</si>
  <si>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</si>
  <si>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</si>
  <si>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</si>
  <si>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</si>
  <si>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</si>
  <si>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</si>
  <si>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</si>
  <si>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</si>
  <si>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</si>
  <si>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</si>
  <si>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</si>
  <si>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</si>
  <si>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</si>
  <si>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</si>
  <si>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</si>
  <si>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</si>
  <si>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</si>
  <si>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</si>
  <si>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</si>
  <si>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</si>
  <si>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</si>
  <si>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</si>
  <si>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</si>
  <si>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</si>
  <si>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</si>
  <si>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</si>
  <si>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</si>
  <si>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</si>
  <si>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</si>
  <si>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</si>
  <si>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</si>
  <si>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</si>
  <si>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</si>
  <si>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</si>
  <si>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</si>
  <si>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</si>
  <si>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</si>
  <si>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</si>
  <si>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</si>
  <si>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</si>
  <si>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</si>
  <si>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</si>
  <si>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</si>
  <si>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</si>
  <si>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</si>
  <si>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</si>
  <si>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</si>
  <si>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</si>
  <si>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</si>
  <si>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</si>
  <si>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</si>
  <si>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</si>
  <si>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</si>
  <si>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</si>
  <si>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</si>
  <si>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</si>
  <si>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</si>
  <si>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</si>
  <si>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</si>
  <si>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</si>
  <si>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</si>
  <si>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</si>
  <si>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</si>
  <si>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</si>
  <si>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</si>
  <si>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</si>
  <si>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</si>
  <si>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</si>
  <si>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</si>
  <si>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</si>
  <si>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</si>
  <si>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</si>
  <si>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</si>
  <si>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</si>
  <si>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</si>
  <si>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</si>
  <si>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</si>
  <si>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</si>
  <si>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</si>
  <si>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</si>
  <si>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</si>
  <si>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</si>
  <si>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</si>
  <si>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</si>
  <si>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</si>
  <si>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</si>
  <si>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</si>
  <si>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</si>
  <si>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</si>
  <si>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</si>
  <si>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</si>
  <si>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</si>
  <si>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</si>
  <si>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</si>
  <si>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</si>
  <si>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</si>
  <si>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</si>
  <si>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</si>
  <si>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</si>
  <si>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</si>
  <si>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</si>
  <si>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</si>
  <si>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</si>
  <si>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</si>
  <si>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</si>
  <si>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</si>
  <si>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</si>
  <si>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</si>
  <si>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</si>
  <si>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</si>
  <si>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</si>
  <si>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</si>
  <si>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</si>
  <si>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</si>
  <si>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</si>
  <si>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</si>
  <si>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</si>
  <si>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</si>
  <si>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</si>
  <si>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</si>
  <si>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</si>
  <si>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</si>
  <si>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</si>
  <si>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</si>
  <si>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</si>
  <si>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</si>
  <si>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</si>
  <si>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</si>
  <si>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</si>
  <si>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</si>
  <si>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</si>
  <si>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</si>
  <si>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</si>
  <si>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</si>
  <si>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</si>
  <si>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</si>
  <si>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</si>
  <si>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</si>
  <si>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</si>
  <si>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</si>
  <si>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</si>
  <si>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</si>
  <si>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</si>
  <si>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</si>
  <si>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</si>
  <si>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</si>
  <si>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</si>
  <si>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</si>
  <si>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</si>
  <si>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</si>
  <si>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</si>
  <si>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</si>
  <si>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</si>
  <si>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</si>
  <si>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</si>
  <si>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</si>
  <si>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</si>
  <si>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</si>
  <si>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</si>
  <si>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</si>
  <si>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</si>
  <si>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</si>
  <si>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</si>
  <si>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</si>
  <si>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</si>
  <si>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</si>
  <si>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</si>
  <si>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</si>
  <si>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</si>
  <si>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</si>
  <si>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</si>
  <si>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</si>
  <si>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</si>
  <si>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</si>
  <si>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</si>
  <si>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</si>
  <si>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</si>
  <si>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</si>
  <si>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</si>
  <si>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</si>
  <si>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</si>
  <si>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</si>
  <si>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</si>
  <si>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</si>
  <si>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</si>
  <si>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</si>
  <si>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</si>
  <si>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</si>
  <si>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</si>
  <si>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</si>
  <si>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</si>
  <si>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</si>
  <si>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</si>
  <si>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</si>
  <si>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</si>
  <si>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</si>
  <si>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</si>
  <si>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</si>
  <si>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</si>
  <si>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</si>
  <si>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</si>
  <si>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</si>
  <si>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</si>
  <si>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</si>
  <si>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</si>
  <si>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</si>
  <si>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</si>
  <si>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</si>
  <si>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</si>
  <si>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</si>
  <si>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</si>
  <si>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</si>
  <si>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</si>
  <si>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</si>
  <si>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</si>
  <si>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</si>
  <si>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</si>
  <si>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</si>
  <si>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</si>
  <si>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</si>
  <si>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</si>
  <si>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</si>
  <si>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</si>
  <si>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</si>
  <si>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</si>
  <si>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</si>
  <si>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</si>
  <si>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</si>
  <si>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</si>
  <si>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</si>
  <si>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</si>
  <si>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</si>
  <si>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</si>
  <si>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</si>
  <si>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</si>
  <si>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</si>
  <si>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</si>
  <si>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</si>
  <si>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</si>
  <si>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</si>
  <si>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</si>
  <si>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</si>
  <si>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</si>
  <si>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</si>
  <si>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</si>
  <si>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</si>
  <si>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</si>
  <si>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</si>
  <si>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</si>
  <si>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</si>
  <si>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</si>
  <si>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</si>
  <si>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</si>
  <si>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</si>
  <si>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</si>
  <si>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</si>
  <si>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</si>
  <si>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</si>
  <si>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</si>
  <si>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</si>
  <si>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</si>
  <si>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</si>
  <si>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</si>
  <si>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</si>
  <si>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</si>
  <si>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</si>
  <si>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</si>
  <si>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</si>
  <si>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</si>
  <si>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</si>
  <si>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</si>
  <si>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</si>
  <si>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</si>
  <si>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</si>
  <si>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</si>
  <si>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</si>
  <si>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</si>
  <si>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</si>
  <si>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</si>
  <si>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</si>
  <si>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</si>
  <si>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</si>
  <si>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</si>
  <si>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</si>
  <si>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</si>
  <si>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</si>
  <si>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</si>
  <si>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</si>
  <si>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</si>
  <si>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</si>
  <si>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</si>
  <si>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</si>
  <si>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</si>
  <si>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</si>
  <si>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</si>
  <si>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</si>
  <si>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</si>
  <si>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</si>
  <si>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</si>
  <si>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</si>
  <si>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</si>
  <si>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</si>
  <si>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</si>
  <si>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</si>
  <si>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</si>
  <si>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</si>
  <si>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</si>
  <si>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</si>
  <si>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</si>
  <si>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</si>
  <si>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</si>
  <si>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</si>
  <si>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</si>
  <si>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</si>
  <si>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</si>
  <si>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</si>
  <si>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</si>
  <si>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</si>
  <si>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</si>
  <si>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</si>
  <si>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</si>
  <si>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</si>
  <si>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</si>
  <si>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</si>
  <si>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</si>
  <si>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</si>
  <si>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</si>
  <si>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</si>
  <si>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</si>
  <si>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</si>
  <si>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</si>
  <si>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</si>
  <si>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</si>
  <si>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</si>
  <si>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</si>
  <si>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</si>
  <si>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</si>
  <si>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</si>
  <si>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</si>
  <si>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</si>
  <si>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</si>
  <si>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</si>
  <si>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</si>
  <si>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</si>
  <si>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</si>
  <si>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</si>
  <si>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</si>
  <si>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</si>
  <si>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</si>
  <si>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</si>
  <si>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</si>
  <si>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</si>
  <si>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</si>
  <si>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</si>
  <si>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</si>
  <si>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</si>
  <si>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</si>
  <si>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</si>
  <si>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</si>
  <si>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</si>
  <si>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</si>
  <si>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</si>
  <si>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</si>
  <si>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</si>
  <si>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</si>
  <si>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</si>
  <si>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</si>
  <si>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</si>
  <si>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</si>
  <si>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</si>
  <si>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</si>
  <si>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</si>
  <si>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</si>
  <si>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</si>
  <si>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</si>
  <si>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</si>
  <si>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</si>
  <si>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</si>
  <si>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</si>
  <si>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</si>
  <si>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</si>
  <si>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</si>
  <si>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</si>
  <si>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</si>
  <si>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</si>
  <si>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</si>
  <si>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</si>
  <si>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</si>
  <si>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</si>
  <si>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</si>
  <si>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</si>
  <si>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</si>
  <si>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</si>
  <si>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</si>
  <si>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</si>
  <si>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</si>
  <si>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</si>
  <si>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</si>
  <si>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</si>
  <si>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</si>
  <si>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</si>
  <si>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</si>
  <si>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</si>
  <si>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</si>
  <si>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</si>
  <si>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</si>
  <si>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</si>
  <si>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</si>
  <si>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</si>
  <si>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</si>
  <si>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</si>
  <si>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</si>
  <si>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</si>
  <si>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</si>
  <si>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</si>
  <si>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</si>
  <si>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</si>
  <si>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</si>
  <si>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</si>
  <si>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</si>
  <si>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</si>
  <si>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</si>
  <si>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</si>
  <si>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</si>
  <si>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</si>
  <si>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</si>
  <si>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</si>
  <si>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</si>
  <si>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</si>
  <si>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</si>
  <si>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</si>
  <si>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</si>
  <si>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</si>
  <si>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</si>
  <si>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</si>
  <si>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</si>
  <si>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</si>
  <si>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</si>
  <si>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</si>
  <si>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</si>
  <si>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</si>
  <si>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</si>
  <si>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</si>
  <si>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</si>
  <si>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</si>
  <si>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</si>
  <si>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</si>
  <si>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</si>
  <si>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</si>
  <si>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</si>
  <si>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</si>
  <si>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</si>
  <si>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</si>
  <si>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</si>
  <si>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</si>
  <si>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</si>
  <si>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</si>
  <si>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</si>
  <si>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</si>
  <si>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</si>
  <si>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</si>
  <si>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</si>
  <si>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</si>
  <si>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</si>
  <si>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</si>
  <si>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</si>
  <si>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</si>
  <si>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</si>
  <si>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</si>
  <si>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</si>
  <si>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</si>
  <si>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</si>
  <si>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</si>
  <si>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</si>
  <si>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</si>
  <si>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</si>
  <si>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</si>
  <si>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</si>
  <si>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</si>
  <si>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</si>
  <si>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</si>
  <si>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</si>
  <si>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</si>
  <si>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</si>
  <si>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</si>
  <si>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</si>
  <si>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</si>
  <si>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</si>
  <si>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</si>
  <si>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</si>
  <si>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</si>
  <si>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</si>
  <si>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</si>
  <si>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</si>
  <si>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</si>
  <si>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</si>
  <si>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</si>
  <si>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</si>
  <si>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</si>
  <si>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</si>
  <si>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</si>
  <si>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</si>
  <si>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</si>
  <si>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</si>
  <si>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</si>
  <si>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</si>
  <si>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</si>
  <si>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</si>
  <si>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</si>
  <si>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</si>
  <si>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</si>
  <si>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</si>
  <si>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</si>
  <si>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</si>
  <si>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</si>
  <si>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</si>
  <si>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</si>
  <si>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</si>
  <si>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</si>
  <si>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</si>
  <si>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</si>
  <si>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</si>
  <si>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</si>
  <si>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</si>
  <si>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</si>
  <si>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</si>
  <si>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</si>
  <si>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</si>
  <si>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</si>
  <si>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</si>
  <si>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</si>
  <si>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</si>
  <si>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</si>
  <si>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</si>
  <si>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</si>
  <si>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</si>
  <si>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</si>
  <si>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</si>
  <si>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</si>
  <si>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</si>
  <si>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</si>
  <si>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</si>
  <si>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</si>
  <si>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</si>
  <si>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</si>
  <si>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</si>
  <si>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</si>
  <si>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</si>
  <si>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</si>
  <si>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</si>
  <si>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</si>
  <si>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</si>
  <si>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</si>
  <si>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</si>
  <si>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</si>
  <si>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</si>
  <si>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</si>
  <si>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</si>
  <si>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</si>
  <si>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</si>
  <si>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</si>
  <si>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</si>
  <si>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</si>
  <si>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</si>
  <si>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</si>
  <si>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</si>
  <si>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</si>
  <si>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</si>
  <si>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</si>
  <si>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</si>
  <si>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</si>
  <si>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</si>
  <si>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</si>
  <si>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</si>
  <si>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</si>
  <si>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</si>
  <si>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</si>
  <si>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</si>
  <si>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</si>
  <si>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</si>
  <si>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</si>
  <si>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</si>
  <si>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</si>
  <si>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</si>
  <si>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</si>
  <si>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</si>
  <si>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</si>
  <si>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</si>
  <si>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</si>
  <si>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</si>
  <si>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</si>
  <si>
    <t>800-500019-01A</t>
  </si>
  <si>
    <t>50WS73-850FL</t>
  </si>
  <si>
    <t>0.0240" Dia x 0.3341 LOC -2FLT CD x 140 Deg</t>
  </si>
  <si>
    <t>L: x = 0.004368, y = 0.012000</t>
  </si>
  <si>
    <t>L: x = 0.004368, y = 0.012500</t>
  </si>
  <si>
    <t>L: x = 0.334168, y = 0.012500</t>
  </si>
  <si>
    <t>L: x = 0.379168, y = 0.020000</t>
  </si>
  <si>
    <t>L: x = 0.446068, y = 0.020000</t>
  </si>
  <si>
    <t>L: x = 0.576068, y = 0.062500</t>
  </si>
  <si>
    <t>L: x = 0.616068, y = 0.062500</t>
  </si>
  <si>
    <t>L: x = 0.616068, y = 0.147500</t>
  </si>
  <si>
    <t>L: x = 0.796068, y = 0.147500</t>
  </si>
  <si>
    <t>L: x = 0.796068, y = 0.062500</t>
  </si>
  <si>
    <t>L: x = 1.496068, y = 0.062500</t>
  </si>
  <si>
    <t>L: x = 1.496068, y = 0.000000</t>
  </si>
  <si>
    <t>800-503291-01A</t>
  </si>
  <si>
    <t>972710-C3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</si>
</sst>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87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485" totalsRowShown="0">
  <autoFilter ref="A1:BP1485" xr:uid="{00000000-0009-0000-0100-000002000000}"/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5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4"/>
    <tableColumn id="67" xr3:uid="{6C7363B5-23B1-4863-9E09-780902EF62D4}" name="T" dataDxfId="3"/>
    <tableColumn id="68" xr3:uid="{A0BB1658-9851-48AA-AD38-45191D934830}" name="U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zoomScaleNormal="100" workbookViewId="0">
      <pane ySplit="1" topLeftCell="A2" activePane="bottomLeft" state="frozen"/>
      <selection pane="bottomLeft" activeCell="BM1485" sqref="BM1485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81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65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65" x14ac:dyDescent="0.25">
      <c r="A1483" s="6">
        <v>1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Q1483" s="6">
        <v>1.002</v>
      </c>
      <c r="R1483" s="14">
        <v>90</v>
      </c>
      <c r="S1483" s="15">
        <v>1.5</v>
      </c>
      <c r="T1483" s="6">
        <v>4</v>
      </c>
      <c r="U1483" s="6">
        <v>4</v>
      </c>
      <c r="V1483" s="6">
        <v>1</v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84" spans="1:65" x14ac:dyDescent="0.25">
      <c r="A1484" s="6">
        <v>1</v>
      </c>
      <c r="B1484" s="6" t="s">
        <v>149</v>
      </c>
      <c r="D1484" s="6" t="s">
        <v>149</v>
      </c>
      <c r="H1484" s="10" t="s">
        <v>150</v>
      </c>
      <c r="I1484" s="11" t="s">
        <v>4313</v>
      </c>
      <c r="J1484" t="s">
        <v>4314</v>
      </c>
      <c r="K1484" s="11" t="str">
        <f>CONCATENATE(Table3[[#This Row],[Type]]," "&amp;TEXT(Table3[[#This Row],[Diameter]],".0000")&amp;""," "&amp;Table3[[#This Row],[NumFlutes]]&amp;"FL")</f>
        <v>CD .0240 2FL</v>
      </c>
      <c r="M1484" s="13">
        <v>2.4E-2</v>
      </c>
      <c r="N1484" s="13">
        <v>0.125</v>
      </c>
      <c r="O1484" s="6">
        <v>2.4E-2</v>
      </c>
      <c r="P1484" s="6">
        <v>0.82499999999999996</v>
      </c>
      <c r="Q1484" s="6">
        <v>0.82499999999999996</v>
      </c>
      <c r="R1484" s="14">
        <f>IF(Table3[[#This Row],[ShoulderLenEnd]]="",0,90-(DEGREES(ATAN((Q1484-P1484)/((N1484-O1484)/2)))))</f>
        <v>90</v>
      </c>
      <c r="S1484" s="15">
        <v>0.8</v>
      </c>
      <c r="T1484" s="6">
        <v>2</v>
      </c>
      <c r="U1484" s="6">
        <v>1.5</v>
      </c>
      <c r="V1484" s="6">
        <v>0.33410000000000001</v>
      </c>
      <c r="Z1484" s="6">
        <v>140</v>
      </c>
      <c r="AA1484" s="13">
        <v>4.0000000000000001E-3</v>
      </c>
      <c r="AE1484" s="6" t="s">
        <v>44</v>
      </c>
      <c r="AF1484" s="6" t="s">
        <v>62</v>
      </c>
      <c r="AG1484" s="6" t="s">
        <v>3344</v>
      </c>
      <c r="AH1484" s="6" t="s">
        <v>153</v>
      </c>
      <c r="AI1484" s="6">
        <v>0</v>
      </c>
      <c r="AJ1484" s="6">
        <v>1</v>
      </c>
      <c r="AK1484" s="6">
        <v>0</v>
      </c>
      <c r="AL1484" s="6">
        <v>0</v>
      </c>
      <c r="AM1484" s="6">
        <v>0</v>
      </c>
      <c r="AN1484" s="6">
        <v>1</v>
      </c>
      <c r="AO1484" s="6">
        <v>1</v>
      </c>
      <c r="AP1484" s="6">
        <v>1</v>
      </c>
      <c r="AQ1484" s="6" t="s">
        <v>4315</v>
      </c>
      <c r="AR1484" s="6">
        <v>0</v>
      </c>
      <c r="AS1484" s="6">
        <v>0</v>
      </c>
      <c r="AT1484" s="6">
        <v>0</v>
      </c>
      <c r="AU1484" s="6">
        <v>0</v>
      </c>
      <c r="AV1484" s="6">
        <v>0</v>
      </c>
      <c r="AW1484" s="6">
        <v>0</v>
      </c>
      <c r="AX1484" s="6">
        <v>0</v>
      </c>
      <c r="AY1484" s="6">
        <v>0</v>
      </c>
      <c r="AZ1484" s="6">
        <v>1</v>
      </c>
      <c r="BA1484" s="6">
        <v>0</v>
      </c>
      <c r="BB1484" s="6">
        <v>0</v>
      </c>
      <c r="BC1484" s="6">
        <v>0</v>
      </c>
      <c r="BD1484" s="6">
        <v>0</v>
      </c>
      <c r="BE1484" s="6">
        <v>0</v>
      </c>
      <c r="BF1484" s="6">
        <v>0</v>
      </c>
      <c r="BG1484" s="6">
        <v>0</v>
      </c>
      <c r="BH1484" s="6">
        <v>0</v>
      </c>
      <c r="BI1484" s="6">
        <v>0</v>
      </c>
      <c r="BJ1484" s="6">
        <v>0</v>
      </c>
      <c r="BK1484" s="6">
        <v>0</v>
      </c>
      <c r="BL1484" s="6">
        <v>0</v>
      </c>
      <c r="BM1484" s="75">
        <f>IF(Table3[[#This Row],[Type]]="EM",IF((Table3[[#This Row],[Diameter]]/2)-Table3[[#This Row],[CornerRadius]]-0.012&gt;0,(Table3[[#This Row],[Diameter]]/2)-Table3[[#This Row],[CornerRadius]]-0.012,0),)</f>
        <v>0</v>
      </c>
    </row>
    <row r="1485" spans="1:65" x14ac:dyDescent="0.25">
      <c r="A1485" s="6">
        <v>0</v>
      </c>
      <c r="B1485" s="6" t="s">
        <v>120</v>
      </c>
      <c r="C1485" s="6" t="s">
        <v>120</v>
      </c>
      <c r="H1485" s="10" t="s">
        <v>120</v>
      </c>
      <c r="I1485" s="11" t="s">
        <v>4328</v>
      </c>
      <c r="J1485" s="30" t="s">
        <v>4329</v>
      </c>
      <c r="K1485" s="11" t="str">
        <f>CONCATENATE(Table3[[#This Row],[Type]]," "&amp;TEXT(Table3[[#This Row],[Diameter]],".0000")&amp;""," "&amp;Table3[[#This Row],[NumFlutes]]&amp;"FL")</f>
        <v>BU .0100 3FL</v>
      </c>
      <c r="M1485" s="13">
        <v>0.01</v>
      </c>
      <c r="N1485" s="13">
        <v>0.125</v>
      </c>
      <c r="O1485" s="6">
        <v>8.9999999999999993E-3</v>
      </c>
      <c r="P1485" s="6">
        <v>1.7000000000000001E-2</v>
      </c>
      <c r="Q1485" s="6">
        <v>8.2000000000000003E-2</v>
      </c>
      <c r="R1485" s="14">
        <f>IF(Table3[[#This Row],[ShoulderLenEnd]]="",0,90-(DEGREES(ATAN((Q1485-P1485)/((N1485-O1485)/2)))))</f>
        <v>41.742778059333041</v>
      </c>
      <c r="S1485" s="15">
        <v>0.1</v>
      </c>
      <c r="T1485" s="6">
        <v>3</v>
      </c>
      <c r="U1485" s="6">
        <v>2.5</v>
      </c>
      <c r="V1485" s="6">
        <v>1.6E-2</v>
      </c>
      <c r="W1485" s="6">
        <v>3.0000000000000001E-3</v>
      </c>
      <c r="AE1485" s="6" t="s">
        <v>44</v>
      </c>
      <c r="AF1485" s="6" t="s">
        <v>369</v>
      </c>
      <c r="AG1485" s="6" t="s">
        <v>66</v>
      </c>
      <c r="AI1485" s="6">
        <v>0</v>
      </c>
      <c r="AJ1485" s="6">
        <v>1</v>
      </c>
      <c r="AK1485" s="6">
        <v>0</v>
      </c>
      <c r="AL1485" s="6">
        <v>0</v>
      </c>
      <c r="AM1485" s="6">
        <v>1</v>
      </c>
      <c r="AN1485" s="6">
        <v>1</v>
      </c>
      <c r="AO1485" s="6">
        <v>1</v>
      </c>
      <c r="AP1485" s="6">
        <v>1</v>
      </c>
      <c r="AR1485" s="6">
        <v>0</v>
      </c>
      <c r="AS1485" s="6">
        <v>0</v>
      </c>
      <c r="AT1485" s="6">
        <v>0</v>
      </c>
      <c r="AU1485" s="6">
        <v>0</v>
      </c>
      <c r="AV1485" s="6">
        <v>1</v>
      </c>
      <c r="AW1485" s="6">
        <v>0</v>
      </c>
      <c r="AX1485" s="6">
        <v>0</v>
      </c>
      <c r="AY1485" s="6">
        <v>0</v>
      </c>
      <c r="AZ1485" s="6">
        <v>1</v>
      </c>
      <c r="BA1485" s="6">
        <v>0</v>
      </c>
      <c r="BB1485" s="6">
        <v>0</v>
      </c>
      <c r="BC1485" s="6">
        <v>0</v>
      </c>
      <c r="BD1485" s="6">
        <v>0</v>
      </c>
      <c r="BE1485" s="6">
        <v>0</v>
      </c>
      <c r="BF1485" s="6">
        <v>0</v>
      </c>
      <c r="BG1485" s="6">
        <v>0</v>
      </c>
      <c r="BH1485" s="6">
        <v>0</v>
      </c>
      <c r="BI1485" s="6">
        <v>0</v>
      </c>
      <c r="BJ1485" s="6">
        <v>0</v>
      </c>
      <c r="BK1485" s="6">
        <v>0</v>
      </c>
      <c r="BL1485" s="6">
        <v>0</v>
      </c>
      <c r="BM1485" s="75">
        <f>IF(Table3[[#This Row],[Type]]="EM",IF((Table3[[#This Row],[Diameter]]/2)-Table3[[#This Row],[CornerRadius]]-0.012&gt;0,(Table3[[#This Row],[Diameter]]/2)-Table3[[#This Row],[CornerRadius]]-0.012,0),)</f>
        <v>0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33" priority="21" operator="containsText" text="Error">
      <formula>NOT(ISERROR(SEARCH("Error",BO1)))</formula>
    </cfRule>
  </conditionalFormatting>
  <conditionalFormatting sqref="BO21:BO121">
    <cfRule type="containsText" dxfId="32" priority="22" operator="containsText" text="Error">
      <formula>NOT(ISERROR(SEARCH("Error",BO21)))</formula>
    </cfRule>
  </conditionalFormatting>
  <conditionalFormatting sqref="BO133:BO1334 BO1336:BO1341">
    <cfRule type="containsText" dxfId="31" priority="24" operator="containsText" text="Error">
      <formula>NOT(ISERROR(SEARCH("Error",BO133)))</formula>
    </cfRule>
  </conditionalFormatting>
  <conditionalFormatting sqref="I1405:I1048576 I21:I1341 I1343:I1354 I1357:I1358 I1363:I1402">
    <cfRule type="duplicateValues" dxfId="30" priority="25"/>
  </conditionalFormatting>
  <conditionalFormatting sqref="I11:I19 I1 I8:I9 I4:I6">
    <cfRule type="duplicateValues" dxfId="29" priority="26"/>
    <cfRule type="duplicateValues" dxfId="28" priority="26"/>
  </conditionalFormatting>
  <conditionalFormatting sqref="BO20">
    <cfRule type="containsText" dxfId="27" priority="27" operator="containsText" text="Error">
      <formula>NOT(ISERROR(SEARCH("Error",BO20)))</formula>
    </cfRule>
  </conditionalFormatting>
  <conditionalFormatting sqref="I20">
    <cfRule type="duplicateValues" dxfId="26" priority="28"/>
    <cfRule type="duplicateValues" dxfId="25" priority="28"/>
  </conditionalFormatting>
  <conditionalFormatting sqref="I1405:I1048576 I1302:I1341 I1343:I1354 I1357:I1358 I1363:I1402">
    <cfRule type="duplicateValues" dxfId="24" priority="29"/>
  </conditionalFormatting>
  <conditionalFormatting sqref="I21:I1300">
    <cfRule type="duplicateValues" dxfId="23" priority="30"/>
  </conditionalFormatting>
  <conditionalFormatting sqref="BO7">
    <cfRule type="containsText" dxfId="22" priority="17" operator="containsText" text="Error">
      <formula>NOT(ISERROR(SEARCH("Error",BO7)))</formula>
    </cfRule>
  </conditionalFormatting>
  <conditionalFormatting sqref="BO1335">
    <cfRule type="containsText" dxfId="21" priority="16" operator="containsText" text="Error">
      <formula>NOT(ISERROR(SEARCH("Error",BO1335)))</formula>
    </cfRule>
  </conditionalFormatting>
  <conditionalFormatting sqref="BO1342">
    <cfRule type="containsText" dxfId="20" priority="13" operator="containsText" text="Error">
      <formula>NOT(ISERROR(SEARCH("Error",BO1342)))</formula>
    </cfRule>
  </conditionalFormatting>
  <conditionalFormatting sqref="I1342">
    <cfRule type="duplicateValues" dxfId="19" priority="14"/>
  </conditionalFormatting>
  <conditionalFormatting sqref="I1342">
    <cfRule type="duplicateValues" dxfId="18" priority="15"/>
  </conditionalFormatting>
  <conditionalFormatting sqref="BO1355">
    <cfRule type="containsText" dxfId="17" priority="10" operator="containsText" text="Error">
      <formula>NOT(ISERROR(SEARCH("Error",BO1355)))</formula>
    </cfRule>
  </conditionalFormatting>
  <conditionalFormatting sqref="I1355">
    <cfRule type="duplicateValues" dxfId="16" priority="11"/>
  </conditionalFormatting>
  <conditionalFormatting sqref="I1355">
    <cfRule type="duplicateValues" dxfId="15" priority="12"/>
  </conditionalFormatting>
  <conditionalFormatting sqref="BO1359:BO1362">
    <cfRule type="containsText" dxfId="14" priority="7" operator="containsText" text="Error">
      <formula>NOT(ISERROR(SEARCH("Error",BO1359)))</formula>
    </cfRule>
  </conditionalFormatting>
  <conditionalFormatting sqref="I1359:I1362">
    <cfRule type="duplicateValues" dxfId="13" priority="8"/>
  </conditionalFormatting>
  <conditionalFormatting sqref="I1359:I1362">
    <cfRule type="duplicateValues" dxfId="12" priority="9"/>
  </conditionalFormatting>
  <conditionalFormatting sqref="BO1403">
    <cfRule type="containsText" dxfId="11" priority="4" operator="containsText" text="Error">
      <formula>NOT(ISERROR(SEARCH("Error",BO1403)))</formula>
    </cfRule>
  </conditionalFormatting>
  <conditionalFormatting sqref="I1403">
    <cfRule type="duplicateValues" dxfId="10" priority="5"/>
  </conditionalFormatting>
  <conditionalFormatting sqref="I1403">
    <cfRule type="duplicateValues" dxfId="9" priority="6"/>
  </conditionalFormatting>
  <conditionalFormatting sqref="BO1404">
    <cfRule type="containsText" dxfId="8" priority="1" operator="containsText" text="Error">
      <formula>NOT(ISERROR(SEARCH("Error",BO1404)))</formula>
    </cfRule>
  </conditionalFormatting>
  <conditionalFormatting sqref="I1404">
    <cfRule type="duplicateValues" dxfId="7" priority="2"/>
  </conditionalFormatting>
  <conditionalFormatting sqref="I1404">
    <cfRule type="duplicateValues" dxfId="6" priority="3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B12" sqref="B12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55" activePane="bottomLeft" state="frozen"/>
      <selection activeCell="M1" sqref="M1"/>
      <selection pane="bottomLeft" activeCell="A165" sqref="A165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7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7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7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7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7" x14ac:dyDescent="0.2">
      <c r="A165" s="21" t="s">
        <v>4315</v>
      </c>
      <c r="B165" s="21" t="s">
        <v>2489</v>
      </c>
      <c r="C165" s="21">
        <v>1.5</v>
      </c>
      <c r="D165" s="21" t="s">
        <v>2513</v>
      </c>
      <c r="E165" s="21" t="s">
        <v>2514</v>
      </c>
      <c r="F165" s="21" t="s">
        <v>4316</v>
      </c>
      <c r="G165" s="21" t="s">
        <v>4317</v>
      </c>
      <c r="H165" s="21" t="s">
        <v>4318</v>
      </c>
      <c r="I165" s="21" t="s">
        <v>4319</v>
      </c>
      <c r="J165" s="21" t="s">
        <v>4320</v>
      </c>
      <c r="K165" s="21" t="s">
        <v>4321</v>
      </c>
      <c r="L165" s="21" t="s">
        <v>4322</v>
      </c>
      <c r="M165" s="21" t="s">
        <v>4323</v>
      </c>
      <c r="N165" s="21" t="s">
        <v>4324</v>
      </c>
      <c r="O165" s="21" t="s">
        <v>4325</v>
      </c>
      <c r="P165" s="21" t="s">
        <v>4326</v>
      </c>
      <c r="Q165" s="21" t="s">
        <v>4327</v>
      </c>
    </row>
    <row r="166" spans="1:17" x14ac:dyDescent="0.2">
      <c r="E166" s="81"/>
    </row>
    <row r="167" spans="1:17" x14ac:dyDescent="0.2">
      <c r="E167" s="81"/>
    </row>
    <row r="168" spans="1:17" x14ac:dyDescent="0.2">
      <c r="E168" s="81"/>
    </row>
    <row r="169" spans="1:17" x14ac:dyDescent="0.2">
      <c r="E169" s="81"/>
    </row>
    <row r="170" spans="1:17" x14ac:dyDescent="0.2">
      <c r="E170" s="81"/>
    </row>
    <row r="171" spans="1:17" x14ac:dyDescent="0.2">
      <c r="E171" s="81"/>
    </row>
    <row r="172" spans="1:17" x14ac:dyDescent="0.2">
      <c r="E172" s="81"/>
    </row>
    <row r="173" spans="1:17" x14ac:dyDescent="0.2">
      <c r="E173" s="81"/>
    </row>
    <row r="174" spans="1:17" x14ac:dyDescent="0.2">
      <c r="E174" s="81"/>
    </row>
    <row r="175" spans="1:17" x14ac:dyDescent="0.2">
      <c r="E175" s="81"/>
    </row>
    <row r="176" spans="1:17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zoomScaleNormal="100" workbookViewId="0">
      <selection activeCell="A11" sqref="A11:XFD11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20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2025-11-26T16:49:27Z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
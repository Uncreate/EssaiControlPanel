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F556BF4C-44C2-4887-BEAE-9F100FB629FD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500" i="45" l="1"/>
  <c r="K1500" i="45" l="1"/>
  <c r="BM1500" i="45"/>
  <c r="BM1489" i="45" l="1"/>
  <c r="BM1490" i="45"/>
  <c r="BM1491" i="45"/>
  <c r="BM1492" i="45"/>
  <c r="BM1493" i="45"/>
  <c r="BM1494" i="45"/>
  <c r="BM1495" i="45"/>
  <c r="BM1496" i="45"/>
  <c r="BM1497" i="45"/>
  <c r="BM1498" i="45"/>
  <c r="BM1499" i="45"/>
  <c r="AA1482" i="45"/>
  <c r="AA1483" i="45"/>
  <c r="AA1484" i="45"/>
  <c r="AA1485" i="45"/>
  <c r="AA1486" i="45"/>
  <c r="AA1487" i="45"/>
  <c r="AA1488" i="45"/>
  <c r="AA1489" i="45"/>
  <c r="AA1490" i="45"/>
  <c r="AA1491" i="45"/>
  <c r="AA1492" i="45"/>
  <c r="AA1493" i="45"/>
  <c r="AA1494" i="45"/>
  <c r="AA1495" i="45"/>
  <c r="AA1496" i="45"/>
  <c r="AA1497" i="45"/>
  <c r="AA1498" i="45"/>
  <c r="AA1499" i="45"/>
  <c r="R1489" i="45"/>
  <c r="R1490" i="45"/>
  <c r="R1491" i="45"/>
  <c r="R1492" i="45"/>
  <c r="R1493" i="45"/>
  <c r="R1494" i="45"/>
  <c r="R1495" i="45"/>
  <c r="R1496" i="45"/>
  <c r="R1497" i="45"/>
  <c r="R1498" i="45"/>
  <c r="R1499" i="45"/>
  <c r="K1489" i="45"/>
  <c r="K1490" i="45"/>
  <c r="K1491" i="45"/>
  <c r="K1492" i="45"/>
  <c r="K1493" i="45"/>
  <c r="K1494" i="45"/>
  <c r="K1495" i="45"/>
  <c r="K1496" i="45"/>
  <c r="K1497" i="45"/>
  <c r="K1498" i="45"/>
  <c r="K1499" i="45"/>
  <c r="R1488" i="45" l="1"/>
  <c r="K1488" i="45"/>
  <c r="BM1488" i="45"/>
  <c r="R1487" i="45" l="1"/>
  <c r="K1487" i="45"/>
  <c r="BM1487" i="45"/>
  <c r="R1486" i="45" l="1"/>
  <c r="K1486" i="45"/>
  <c r="BM1486" i="45"/>
  <c r="R1485" i="45" l="1"/>
  <c r="K1485" i="45"/>
  <c r="BM1485" i="45"/>
  <c r="R1484" i="45" l="1"/>
  <c r="K1484" i="45" l="1"/>
  <c r="BM1484" i="45"/>
  <c r="K1483" i="45" l="1"/>
  <c r="BM1483" i="45"/>
  <c r="R1482" i="45" l="1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<sst xmlns="http://schemas.openxmlformats.org/spreadsheetml/2006/main" count="21878" uniqueCount="4390">
  <si>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</si>
  <si>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</si>
  <si>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</si>
  <si>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</si>
  <si>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</si>
  <si>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</si>
  <si>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</si>
  <si>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</si>
  <si>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</si>
  <si>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</si>
  <si>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</si>
  <si>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</si>
  <si>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</si>
  <si>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</si>
  <si>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</si>
  <si>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</si>
  <si>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</si>
  <si>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</si>
  <si>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</si>
  <si>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</si>
  <si>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</si>
  <si>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</si>
  <si>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</si>
  <si>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</si>
  <si>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</si>
  <si>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</si>
  <si>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</si>
  <si>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</si>
  <si>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</si>
  <si>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</si>
  <si>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</si>
  <si>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</si>
  <si>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</si>
  <si>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</si>
  <si>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</si>
  <si>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</si>
  <si>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</si>
  <si>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</si>
  <si>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</si>
  <si>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</si>
  <si>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</si>
  <si>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</si>
  <si>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</si>
  <si>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</si>
  <si>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</si>
  <si>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</si>
  <si>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</si>
  <si>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</si>
  <si>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</si>
  <si>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</si>
  <si>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</si>
  <si>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</si>
  <si>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</si>
  <si>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</si>
  <si>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</si>
  <si>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</si>
  <si>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</si>
  <si>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</si>
  <si>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</si>
  <si>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</si>
  <si>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</si>
  <si>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</si>
  <si>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</si>
  <si>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</si>
  <si>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</si>
  <si>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</si>
  <si>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</si>
  <si>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</si>
  <si>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</si>
  <si>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</si>
  <si>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</si>
  <si>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</si>
  <si>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</si>
  <si>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</si>
  <si>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</si>
  <si>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</si>
  <si>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</si>
  <si>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</si>
  <si>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</si>
  <si>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</si>
  <si>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</si>
  <si>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</si>
  <si>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</si>
  <si>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</si>
  <si>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</si>
  <si>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</si>
  <si>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</si>
  <si>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</si>
  <si>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</si>
  <si>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</si>
  <si>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</si>
  <si>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</si>
  <si>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</si>
  <si>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</si>
  <si>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</si>
  <si>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</si>
  <si>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</si>
  <si>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</si>
  <si>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</si>
  <si>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</si>
  <si>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</si>
  <si>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</si>
  <si>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</si>
  <si>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</si>
  <si>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</si>
  <si>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</si>
  <si>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</si>
  <si>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</si>
  <si>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</si>
  <si>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</si>
  <si>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</si>
  <si>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</si>
  <si>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</si>
  <si>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</si>
  <si>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</si>
  <si>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</si>
  <si>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</si>
  <si>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</si>
  <si>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</si>
  <si>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</si>
  <si>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</si>
  <si>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</si>
  <si>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</si>
  <si>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</si>
  <si>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</si>
  <si>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</si>
  <si>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</si>
  <si>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</si>
  <si>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</si>
  <si>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</si>
  <si>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</si>
  <si>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</si>
  <si>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</si>
  <si>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</si>
  <si>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</si>
  <si>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</si>
  <si>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</si>
  <si>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</si>
  <si>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</si>
  <si>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</si>
  <si>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</si>
  <si>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</si>
  <si>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</si>
  <si>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</si>
  <si>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</si>
  <si>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</si>
  <si>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</si>
  <si>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</si>
  <si>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</si>
  <si>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</si>
  <si>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</si>
  <si>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</si>
  <si>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</si>
  <si>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</si>
  <si>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</si>
  <si>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</si>
  <si>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</si>
  <si>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</si>
  <si>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</si>
  <si>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</si>
  <si>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</si>
  <si>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</si>
  <si>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</si>
  <si>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</si>
  <si>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</si>
  <si>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</si>
  <si>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</si>
  <si>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</si>
  <si>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</si>
  <si>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</si>
  <si>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</si>
  <si>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</si>
  <si>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</si>
  <si>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</si>
  <si>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</si>
  <si>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</si>
  <si>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</si>
  <si>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</si>
  <si>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</si>
  <si>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</si>
  <si>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</si>
  <si>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</si>
  <si>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</si>
  <si>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</si>
  <si>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</si>
  <si>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</si>
  <si>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</si>
  <si>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</si>
  <si>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</si>
  <si>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</si>
  <si>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</si>
  <si>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</si>
  <si>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</si>
  <si>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</si>
  <si>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</si>
  <si>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</si>
  <si>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</si>
  <si>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</si>
  <si>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</si>
  <si>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</si>
  <si>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</si>
  <si>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</si>
  <si>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</si>
  <si>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</si>
  <si>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</si>
  <si>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</si>
  <si>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</si>
  <si>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</si>
  <si>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</si>
  <si>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</si>
  <si>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</si>
  <si>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</si>
  <si>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</si>
  <si>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</si>
  <si>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</si>
  <si>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</si>
  <si>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</si>
  <si>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</si>
  <si>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</si>
  <si>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</si>
  <si>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</si>
  <si>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</si>
  <si>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</si>
  <si>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</si>
  <si>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</si>
  <si>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</si>
  <si>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</si>
  <si>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</si>
  <si>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</si>
  <si>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</si>
  <si>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</si>
  <si>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</si>
  <si>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</si>
  <si>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</si>
  <si>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</si>
  <si>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</si>
  <si>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</si>
  <si>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</si>
  <si>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</si>
  <si>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</si>
  <si>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</si>
  <si>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</si>
  <si>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</si>
  <si>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</si>
  <si>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</si>
  <si>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</si>
  <si>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</si>
  <si>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</si>
  <si>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</si>
  <si>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</si>
  <si>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</si>
  <si>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</si>
  <si>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</si>
  <si>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</si>
  <si>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</si>
  <si>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</si>
  <si>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</si>
  <si>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</si>
  <si>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</si>
  <si>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</si>
  <si>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</si>
  <si>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</si>
  <si>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</si>
  <si>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</si>
  <si>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</si>
  <si>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</si>
  <si>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</si>
  <si>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</si>
  <si>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</si>
  <si>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</si>
  <si>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</si>
  <si>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</si>
  <si>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</si>
  <si>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</si>
  <si>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</si>
  <si>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</si>
  <si>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</si>
  <si>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</si>
  <si>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</si>
  <si>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</si>
  <si>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</si>
  <si>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</si>
  <si>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</si>
  <si>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</si>
  <si>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</si>
  <si>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</si>
  <si>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</si>
  <si>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</si>
  <si>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</si>
  <si>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</si>
  <si>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</si>
  <si>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</si>
  <si>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</si>
  <si>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</si>
  <si>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</si>
  <si>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</si>
  <si>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</si>
  <si>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</si>
  <si>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</si>
  <si>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</si>
  <si>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</si>
  <si>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</si>
  <si>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</si>
  <si>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</si>
  <si>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</si>
  <si>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</si>
  <si>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</si>
  <si>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</si>
  <si>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</si>
  <si>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</si>
  <si>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</si>
  <si>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</si>
  <si>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</si>
  <si>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</si>
  <si>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</si>
  <si>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</si>
  <si>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</si>
  <si>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</si>
  <si>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</si>
  <si>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</si>
  <si>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</si>
  <si>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</si>
  <si>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</si>
  <si>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</si>
  <si>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</si>
  <si>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</si>
  <si>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</si>
  <si>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</si>
  <si>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</si>
  <si>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</si>
  <si>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</si>
  <si>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</si>
  <si>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</si>
  <si>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</si>
  <si>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</si>
  <si>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</si>
  <si>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</si>
  <si>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</si>
  <si>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</si>
  <si>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</si>
  <si>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</si>
  <si>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</si>
  <si>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</si>
  <si>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</si>
  <si>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</si>
  <si>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</si>
  <si>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</si>
  <si>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</si>
  <si>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</si>
  <si>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</si>
  <si>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</si>
  <si>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</si>
  <si>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</si>
  <si>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</si>
  <si>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</si>
  <si>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</si>
  <si>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</si>
  <si>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</si>
  <si>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</si>
  <si>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</si>
  <si>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</si>
  <si>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</si>
  <si>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</si>
  <si>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</si>
  <si>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</si>
  <si>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</si>
  <si>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</si>
  <si>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</si>
  <si>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</si>
  <si>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</si>
  <si>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</si>
  <si>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</si>
  <si>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</si>
  <si>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</si>
  <si>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</si>
  <si>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</si>
  <si>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</si>
  <si>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</si>
  <si>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</si>
  <si>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</si>
  <si>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</si>
  <si>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</si>
  <si>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</si>
  <si>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</si>
  <si>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</si>
  <si>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</si>
  <si>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</si>
  <si>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</si>
  <si>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</si>
  <si>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</si>
  <si>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</si>
  <si>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</si>
  <si>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</si>
  <si>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</si>
  <si>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</si>
  <si>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</si>
  <si>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</si>
  <si>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</si>
  <si>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</si>
  <si>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</si>
  <si>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</si>
  <si>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</si>
  <si>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</si>
  <si>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</si>
  <si>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</si>
  <si>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</si>
  <si>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</si>
  <si>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</si>
  <si>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</si>
  <si>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</si>
  <si>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</si>
  <si>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</si>
  <si>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</si>
  <si>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</si>
  <si>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</si>
  <si>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</si>
  <si>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</si>
  <si>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</si>
  <si>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</si>
  <si>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</si>
  <si>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</si>
  <si>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</si>
  <si>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</si>
  <si>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</si>
  <si>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</si>
  <si>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</si>
  <si>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</si>
  <si>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</si>
  <si>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</si>
  <si>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</si>
  <si>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</si>
  <si>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</si>
  <si>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</si>
  <si>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</si>
  <si>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</si>
  <si>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</si>
  <si>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</si>
  <si>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</si>
  <si>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</si>
  <si>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</si>
  <si>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</si>
  <si>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</si>
  <si>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</si>
  <si>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</si>
  <si>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</si>
  <si>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</si>
  <si>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</si>
  <si>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</si>
  <si>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</si>
  <si>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</si>
  <si>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</si>
  <si>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</si>
  <si>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</si>
  <si>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</si>
  <si>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</si>
  <si>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</si>
  <si>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</si>
  <si>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</si>
  <si>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</si>
  <si>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</si>
  <si>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</si>
  <si>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</si>
  <si>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</si>
  <si>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</si>
  <si>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</si>
  <si>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</si>
  <si>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</si>
  <si>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</si>
  <si>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</si>
  <si>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</si>
  <si>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</si>
  <si>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</si>
  <si>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</si>
  <si>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</si>
  <si>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</si>
  <si>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</si>
  <si>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</si>
  <si>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</si>
  <si>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</si>
  <si>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</si>
  <si>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</si>
  <si>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</si>
  <si>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</si>
  <si>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</si>
  <si>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</si>
  <si>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</si>
  <si>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</si>
  <si>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</si>
  <si>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</si>
  <si>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</si>
  <si>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</si>
  <si>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</si>
  <si>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</si>
  <si>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</si>
  <si>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</si>
  <si>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</si>
  <si>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</si>
  <si>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</si>
  <si>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</si>
  <si>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</si>
  <si>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</si>
  <si>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</si>
  <si>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</si>
  <si>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</si>
  <si>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</si>
  <si>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</si>
  <si>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</si>
  <si>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</si>
  <si>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</si>
  <si>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</si>
  <si>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</si>
  <si>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</si>
  <si>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</si>
  <si>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</si>
  <si>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</si>
  <si>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</si>
  <si>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</si>
  <si>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</si>
  <si>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</si>
  <si>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</si>
  <si>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</si>
  <si>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</si>
  <si>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</si>
  <si>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</si>
  <si>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</si>
  <si>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</si>
  <si>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</si>
  <si>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</si>
  <si>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</si>
  <si>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</si>
  <si>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</si>
  <si>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</si>
  <si>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</si>
  <si>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</si>
  <si>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</si>
  <si>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</si>
  <si>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</si>
  <si>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</si>
  <si>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</si>
  <si>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</si>
  <si>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</si>
  <si>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</si>
  <si>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</si>
  <si>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</si>
  <si>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</si>
  <si>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</si>
  <si>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</si>
  <si>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</si>
  <si>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</si>
  <si>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</si>
  <si>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</si>
  <si>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</si>
  <si>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</si>
  <si>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</si>
  <si>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</si>
  <si>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</si>
  <si>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</si>
  <si>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</si>
  <si>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</si>
  <si>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</si>
  <si>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</si>
  <si>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</si>
  <si>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</si>
  <si>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</si>
  <si>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</si>
  <si>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</si>
  <si>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</si>
  <si>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</si>
  <si>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</si>
  <si>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</si>
  <si>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</si>
  <si>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</si>
  <si>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</si>
  <si>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</si>
  <si>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</si>
  <si>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</si>
  <si>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</si>
  <si>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</si>
  <si>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</si>
  <si>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</si>
  <si>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</si>
  <si>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</si>
  <si>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</si>
  <si>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</si>
  <si>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</si>
  <si>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</si>
  <si>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</si>
  <si>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</si>
  <si>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</si>
  <si>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</si>
  <si>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</si>
  <si>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</si>
  <si>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</si>
  <si>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</si>
  <si>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</si>
  <si>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</si>
  <si>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</si>
  <si>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</si>
  <si>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</si>
  <si>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</si>
  <si>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</si>
  <si>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</si>
  <si>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</si>
  <si>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</si>
  <si>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</si>
  <si>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</si>
  <si>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</si>
  <si>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</si>
  <si>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</si>
  <si>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</si>
  <si>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</si>
  <si>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</si>
  <si>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</si>
  <si>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</si>
  <si>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</si>
  <si>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</si>
  <si>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</si>
  <si>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</si>
  <si>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</si>
  <si>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</si>
  <si>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</si>
  <si>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</si>
  <si>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</si>
  <si>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</si>
  <si>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</si>
  <si>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</si>
  <si>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</si>
  <si>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</si>
  <si>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</si>
  <si>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</si>
  <si>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</si>
  <si>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</si>
  <si>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</si>
  <si>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</si>
  <si>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</si>
  <si>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</si>
  <si>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</si>
  <si>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</si>
  <si>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</si>
  <si>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</si>
  <si>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</si>
  <si>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</si>
  <si>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</si>
  <si>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</si>
  <si>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</si>
  <si>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</si>
  <si>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</si>
  <si>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</si>
  <si>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</si>
  <si>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</si>
  <si>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</si>
  <si>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</si>
  <si>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</si>
  <si>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</si>
  <si>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</si>
  <si>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</si>
  <si>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</si>
  <si>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</si>
  <si>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</si>
  <si>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</si>
  <si>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</si>
  <si>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</si>
  <si>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</si>
  <si>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</si>
  <si>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</si>
  <si>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</si>
  <si>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</si>
  <si>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</si>
  <si>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</si>
  <si>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</si>
  <si>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</si>
  <si>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</si>
  <si>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</si>
  <si>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</si>
  <si>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</si>
  <si>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</si>
  <si>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</si>
  <si>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</si>
  <si>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</si>
  <si>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</si>
  <si>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</si>
  <si>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</si>
  <si>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</si>
  <si>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</si>
  <si>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</si>
  <si>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</si>
  <si>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</si>
  <si>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</si>
  <si>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</si>
  <si>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</si>
  <si>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</si>
  <si>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</si>
  <si>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</si>
  <si>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</si>
  <si>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</si>
  <si>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</si>
  <si>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</si>
  <si>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</si>
  <si>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</si>
  <si>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</si>
  <si>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</si>
  <si>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</si>
  <si>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</si>
  <si>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</si>
  <si>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</si>
  <si>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</si>
  <si>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</si>
  <si>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</si>
  <si>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</si>
  <si>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</si>
  <si>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</si>
  <si>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</si>
  <si>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</si>
  <si>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</si>
  <si>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</si>
  <si>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</si>
  <si>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</si>
  <si>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</si>
  <si>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</si>
  <si>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</si>
  <si>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</si>
  <si>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</si>
  <si>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</si>
  <si>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</si>
  <si>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</si>
  <si>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</si>
  <si>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</si>
  <si>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</si>
  <si>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</si>
  <si>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</si>
  <si>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</si>
  <si>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</si>
  <si>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</si>
  <si>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</si>
  <si>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</si>
  <si>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</si>
  <si>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</si>
  <si>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</si>
  <si>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</si>
  <si>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</si>
  <si>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</si>
  <si>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</si>
  <si>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</si>
  <si>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</si>
  <si>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</si>
  <si>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</si>
  <si>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</si>
  <si>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</si>
  <si>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</si>
  <si>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</si>
  <si>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</si>
  <si>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</si>
  <si>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</si>
  <si>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</si>
  <si>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</si>
  <si>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</si>
  <si>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</si>
  <si>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</si>
  <si>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</si>
  <si>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</si>
  <si>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</si>
  <si>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</si>
  <si>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</si>
  <si>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</si>
  <si>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</si>
  <si>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</si>
  <si>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</si>
  <si>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</si>
  <si>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</si>
  <si>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</si>
  <si>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</si>
  <si>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</si>
  <si>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</si>
  <si>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</si>
  <si>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</si>
  <si>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</si>
  <si>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</si>
  <si>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</si>
  <si>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</si>
  <si>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</si>
  <si>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</si>
  <si>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</si>
  <si>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</si>
  <si>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</si>
  <si>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</si>
  <si>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</si>
  <si>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</si>
  <si>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</si>
  <si>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</si>
  <si>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</si>
  <si>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</si>
  <si>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</si>
  <si>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</si>
  <si>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</si>
  <si>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</si>
  <si>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</si>
  <si>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</si>
  <si>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</si>
  <si>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</si>
  <si>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</si>
  <si>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</si>
  <si>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</si>
  <si>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</si>
  <si>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</si>
  <si>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</si>
  <si>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</si>
  <si>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</si>
  <si>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</si>
  <si>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</si>
  <si>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</si>
  <si>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</si>
  <si>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</si>
  <si>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</si>
  <si>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</si>
  <si>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</si>
  <si>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</si>
  <si>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</si>
  <si>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</si>
  <si>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</si>
  <si>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</si>
  <si>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</si>
  <si>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</si>
  <si>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</si>
  <si>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</si>
  <si>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</si>
  <si>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</si>
  <si>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</si>
  <si>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</si>
  <si>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</si>
  <si>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</si>
  <si>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</si>
  <si>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</si>
  <si>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</si>
  <si>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</si>
  <si>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</si>
  <si>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</si>
  <si>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</si>
  <si>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</si>
  <si>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</si>
  <si>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</si>
  <si>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</si>
  <si>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</si>
  <si>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</si>
  <si>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</si>
  <si>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</si>
  <si>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</si>
  <si>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</si>
  <si>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</si>
  <si>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</si>
  <si>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</si>
  <si>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</si>
  <si>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</si>
  <si>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</si>
  <si>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</si>
  <si>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</si>
  <si>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</si>
  <si>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</si>
  <si>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</si>
  <si>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</si>
  <si>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</si>
  <si>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</si>
  <si>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</si>
  <si>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</si>
  <si>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</si>
  <si>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</si>
  <si>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</si>
  <si>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</si>
  <si>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</si>
  <si>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</si>
  <si>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</si>
  <si>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</si>
  <si>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</si>
  <si>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</si>
  <si>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</si>
  <si>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</si>
  <si>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</si>
  <si>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</si>
  <si>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</si>
  <si>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</si>
  <si>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</si>
  <si>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</si>
  <si>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</si>
  <si>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</si>
  <si>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</si>
  <si>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</si>
  <si>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</si>
  <si>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</si>
  <si>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</si>
  <si>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</si>
  <si>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</si>
  <si>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</si>
  <si>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</si>
  <si>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</si>
  <si>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</si>
  <si>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</si>
  <si>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</si>
  <si>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</si>
  <si>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</si>
  <si>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</si>
  <si>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</si>
  <si>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</si>
  <si>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</si>
  <si>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</si>
  <si>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</si>
  <si>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</si>
  <si>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</si>
  <si>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</si>
  <si>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</si>
  <si>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</si>
  <si>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</si>
  <si>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</si>
  <si>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</si>
  <si>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</si>
  <si>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</si>
  <si>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</si>
  <si>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</si>
  <si>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</si>
  <si>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</si>
  <si>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</si>
  <si>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</si>
  <si>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</si>
  <si>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</si>
  <si>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</si>
  <si>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</si>
  <si>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</si>
  <si>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</si>
  <si>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</si>
  <si>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</si>
  <si>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</si>
  <si>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</si>
  <si>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</si>
  <si>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</si>
  <si>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</si>
  <si>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</si>
  <si>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</si>
  <si>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</si>
  <si>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</si>
  <si>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</si>
  <si>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</si>
  <si>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</si>
  <si>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</si>
  <si>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</si>
  <si>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</si>
  <si>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</si>
  <si>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</si>
  <si>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</si>
  <si>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</si>
  <si>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</si>
  <si>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</si>
  <si>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</si>
  <si>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</si>
  <si>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</si>
  <si>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</si>
  <si>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</si>
  <si>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</si>
  <si>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</si>
  <si>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</si>
  <si>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</si>
  <si>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</si>
  <si>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</si>
  <si>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</si>
  <si>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</si>
  <si>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</si>
  <si>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</si>
  <si>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</si>
  <si>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</si>
  <si>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</si>
  <si>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</si>
  <si>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</si>
  <si>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</si>
  <si>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</si>
  <si>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</si>
  <si>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</si>
  <si>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</si>
  <si>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</si>
  <si>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</si>
  <si>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</si>
  <si>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</si>
  <si>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</si>
  <si>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</si>
  <si>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</si>
  <si>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</si>
  <si>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</si>
  <si>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</si>
  <si>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</si>
  <si>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</si>
  <si>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</si>
  <si>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</si>
  <si>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</si>
  <si>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</si>
  <si>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</si>
  <si>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</si>
  <si>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</si>
  <si>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</si>
  <si>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</si>
  <si>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</si>
  <si>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</si>
  <si>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</si>
  <si>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</si>
  <si>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</si>
  <si>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</si>
  <si>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</si>
  <si>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</si>
  <si>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</si>
  <si>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</si>
  <si>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</si>
  <si>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</si>
  <si>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</si>
  <si>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</si>
  <si>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</si>
  <si>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</si>
  <si>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</si>
  <si>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</si>
  <si>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</si>
  <si>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</si>
  <si>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</si>
  <si>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</si>
  <si>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</si>
  <si>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</si>
  <si>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</si>
  <si>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</si>
  <si>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</si>
  <si>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</si>
  <si>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</si>
  <si>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</si>
  <si>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</si>
  <si>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</si>
  <si>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</si>
  <si>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</si>
  <si>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</si>
  <si>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</si>
  <si>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</si>
  <si>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</si>
  <si>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</si>
  <si>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</si>
  <si>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</si>
  <si>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</si>
  <si>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</si>
  <si>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</si>
  <si>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</si>
  <si>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</si>
  <si>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</si>
  <si>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</si>
  <si>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</si>
  <si>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</si>
  <si>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</si>
  <si>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</si>
  <si>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</si>
  <si>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</si>
  <si>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</si>
  <si>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</si>
  <si>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</si>
  <si>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</si>
  <si>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</si>
  <si>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</si>
  <si>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</si>
  <si>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</si>
  <si>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</si>
  <si>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</si>
  <si>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</si>
  <si>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</si>
  <si>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</si>
  <si>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</si>
  <si>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</si>
  <si>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</si>
  <si>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</si>
  <si>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</si>
  <si>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</si>
  <si>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</si>
  <si>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</si>
  <si>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</si>
  <si>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</si>
  <si>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</si>
  <si>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</si>
  <si>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</si>
  <si>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</si>
  <si>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</si>
  <si>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</si>
  <si>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</si>
  <si>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</si>
  <si>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</si>
  <si>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</si>
  <si>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</si>
  <si>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</si>
  <si>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</si>
  <si>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</si>
  <si>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</si>
  <si>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</si>
  <si>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</si>
  <si>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</si>
  <si>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</si>
  <si>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</si>
  <si>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</si>
  <si>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</si>
  <si>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</si>
  <si>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</si>
  <si>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</si>
  <si>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</si>
  <si>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</si>
  <si>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</si>
  <si>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</si>
  <si>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</si>
  <si>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</si>
  <si>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</si>
  <si>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</si>
  <si>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</si>
  <si>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</si>
  <si>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</si>
  <si>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</si>
  <si>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</si>
  <si>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</si>
  <si>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</si>
  <si>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</si>
  <si>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</si>
  <si>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</si>
  <si>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</si>
  <si>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</si>
  <si>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</si>
  <si>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</si>
  <si>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</si>
  <si>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</si>
  <si>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</si>
  <si>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</si>
  <si>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</si>
  <si>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</si>
  <si>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</si>
  <si>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</si>
  <si>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</si>
  <si>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</si>
  <si>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</si>
  <si>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</si>
  <si>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</si>
  <si>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</si>
  <si>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</si>
  <si>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</si>
  <si>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</si>
  <si>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</si>
  <si>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</si>
  <si>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</si>
  <si>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</si>
  <si>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</si>
  <si>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</si>
  <si>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</si>
  <si>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</si>
  <si>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</si>
  <si>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</si>
  <si>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</si>
  <si>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</si>
  <si>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</si>
  <si>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</si>
  <si>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</si>
  <si>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</si>
  <si>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</si>
  <si>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</si>
  <si>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</si>
  <si>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</si>
  <si>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</si>
  <si>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</si>
  <si>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</si>
  <si>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</si>
  <si>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</si>
  <si>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</si>
  <si>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</si>
  <si>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</si>
  <si>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</si>
  <si>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</si>
  <si>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</si>
  <si>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</si>
  <si>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</si>
  <si>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</si>
  <si>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</si>
  <si>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</si>
  <si>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</si>
  <si>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</si>
  <si>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</si>
  <si>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</si>
  <si>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</si>
  <si>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</si>
  <si>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</si>
  <si>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</si>
  <si>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</si>
  <si>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</si>
  <si>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</si>
  <si>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</si>
  <si>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</si>
  <si>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</si>
  <si>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</si>
  <si>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</si>
  <si>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</si>
  <si>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</si>
  <si>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</si>
  <si>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</si>
  <si>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</si>
  <si>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</si>
  <si>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</si>
  <si>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</si>
  <si>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</si>
  <si>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</si>
  <si>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</si>
  <si>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</si>
  <si>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</si>
  <si>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</si>
  <si>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</si>
  <si>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</si>
  <si>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</si>
  <si>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</si>
  <si>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</si>
  <si>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</si>
  <si>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</si>
  <si>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</si>
  <si>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</si>
  <si>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</si>
  <si>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</si>
  <si>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</si>
  <si>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</si>
  <si>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</si>
  <si>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</si>
  <si>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</si>
  <si>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</si>
  <si>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</si>
  <si>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</si>
  <si>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</si>
  <si>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</si>
  <si>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</si>
  <si>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</si>
  <si>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</si>
  <si>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</si>
  <si>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</si>
  <si>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</si>
  <si>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</si>
  <si>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</si>
  <si>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</si>
  <si>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</si>
  <si>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</si>
  <si>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</si>
  <si>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</si>
  <si>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</si>
  <si>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</si>
  <si>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</si>
  <si>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</si>
  <si>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</si>
  <si>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</si>
  <si>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</si>
  <si>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</si>
  <si>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</si>
  <si>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</si>
  <si>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</si>
  <si>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</si>
  <si>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</si>
  <si>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</si>
  <si>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</si>
  <si>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</si>
  <si>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</si>
  <si>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</si>
  <si>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</si>
  <si>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</si>
  <si>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</si>
  <si>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</si>
  <si>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</si>
  <si>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</si>
  <si>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</si>
  <si>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</si>
  <si>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</si>
  <si>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</si>
  <si>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</si>
  <si>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</si>
  <si>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</si>
  <si>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</si>
  <si>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</si>
  <si>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</si>
  <si>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</si>
  <si>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</si>
  <si>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</si>
  <si>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</si>
  <si>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</si>
  <si>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</si>
  <si>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</si>
  <si>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</si>
  <si>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</si>
  <si>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</si>
  <si>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</si>
  <si>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</si>
  <si>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</si>
  <si>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</si>
  <si>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</si>
  <si>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</si>
  <si>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</si>
  <si>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</si>
  <si>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</si>
  <si>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</si>
  <si>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</si>
  <si>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</si>
  <si>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</si>
  <si>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</si>
  <si>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</si>
  <si>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</si>
  <si>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</si>
  <si>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</si>
  <si>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</si>
  <si>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</si>
  <si>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</si>
  <si>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</si>
  <si>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</si>
  <si>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</si>
  <si>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</si>
  <si>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</si>
  <si>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</si>
  <si>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</si>
  <si>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</si>
  <si>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</si>
  <si>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</si>
  <si>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</si>
  <si>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</si>
  <si>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</si>
  <si>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</si>
  <si>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</si>
  <si>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</si>
  <si>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</si>
  <si>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</si>
  <si>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</si>
  <si>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</si>
  <si>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</si>
  <si>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</si>
  <si>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</si>
  <si>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</si>
  <si>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</si>
  <si>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</si>
  <si>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</si>
  <si>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</si>
  <si>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</si>
  <si>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</si>
  <si>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</si>
  <si>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</si>
  <si>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</si>
  <si>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</si>
  <si>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</si>
  <si>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</si>
  <si>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</si>
  <si>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</si>
  <si>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</si>
  <si>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</si>
  <si>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</si>
  <si>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</si>
  <si>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</si>
  <si>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</si>
  <si>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</si>
  <si>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</si>
  <si>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</si>
  <si>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</si>
  <si>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</si>
  <si>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</si>
  <si>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</si>
  <si>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</si>
  <si>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</si>
  <si>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</si>
  <si>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</si>
  <si>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</si>
  <si>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</si>
  <si>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</si>
  <si>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</si>
  <si>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</si>
  <si>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</si>
  <si>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</si>
  <si>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</si>
  <si>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</si>
  <si>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</si>
  <si>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</si>
  <si>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</si>
  <si>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</si>
  <si>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</si>
  <si>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</si>
  <si>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</si>
  <si>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</si>
  <si>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</si>
  <si>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</si>
  <si>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</si>
  <si>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</si>
  <si>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</si>
  <si>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</si>
  <si>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</si>
  <si>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</si>
  <si>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</si>
  <si>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</si>
  <si>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</si>
  <si>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</si>
  <si>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</si>
  <si>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</si>
  <si>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</si>
  <si>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</si>
  <si>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</si>
  <si>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</si>
  <si>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</si>
  <si>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</si>
  <si>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</si>
  <si>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</si>
  <si>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</si>
  <si>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</si>
  <si>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</si>
  <si>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</si>
  <si>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</si>
  <si>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</si>
  <si>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</si>
  <si>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</si>
  <si>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</si>
  <si>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</si>
  <si>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</si>
  <si>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</si>
  <si>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</si>
  <si>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</si>
  <si>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</si>
  <si>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</si>
  <si>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</si>
  <si>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</si>
  <si>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</si>
  <si>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</si>
  <si>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</si>
  <si>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</si>
  <si>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</si>
  <si>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</si>
  <si>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</si>
  <si>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</si>
  <si>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</si>
  <si>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</si>
  <si>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</si>
  <si>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</si>
  <si>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</si>
  <si>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</si>
  <si>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</si>
  <si>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</si>
  <si>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</si>
  <si>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</si>
  <si>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</si>
  <si>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</si>
  <si>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</si>
  <si>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</si>
  <si>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</si>
  <si>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</si>
  <si>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</si>
  <si>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</si>
  <si>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</si>
  <si>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</si>
  <si>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</si>
  <si>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</si>
  <si>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</si>
  <si>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</si>
  <si>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</si>
  <si>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</si>
  <si>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</si>
  <si>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</si>
  <si>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</si>
  <si>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</si>
  <si>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</si>
  <si>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</si>
  <si>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</si>
  <si>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</si>
  <si>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</si>
  <si>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</si>
  <si>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</si>
  <si>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</si>
  <si>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</si>
  <si>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</si>
  <si>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</si>
  <si>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</si>
  <si>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</si>
  <si>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</si>
  <si>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</si>
  <si>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</si>
  <si>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</si>
  <si>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</si>
  <si>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</si>
  <si>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</si>
  <si>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</si>
  <si>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</si>
  <si>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</si>
  <si>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</si>
  <si>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</si>
  <si>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</si>
  <si>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</si>
  <si>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</si>
  <si>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</si>
  <si>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</si>
  <si>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</si>
  <si>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</si>
  <si>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</si>
  <si>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</si>
  <si>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</si>
  <si>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</si>
  <si>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</si>
  <si>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</si>
  <si>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</si>
  <si>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</si>
  <si>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</si>
  <si>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</si>
  <si>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</si>
  <si>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</si>
  <si>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</si>
  <si>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</si>
  <si>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</si>
  <si>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</si>
  <si>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</si>
  <si>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</si>
  <si>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</si>
  <si>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</si>
  <si>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</si>
  <si>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</si>
  <si>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</si>
  <si>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</si>
  <si>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</si>
  <si>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</si>
  <si>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</si>
  <si>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</si>
  <si>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</si>
  <si>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</si>
  <si>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</si>
  <si>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</si>
  <si>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</si>
  <si>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</si>
  <si>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</si>
  <si>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</si>
  <si>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</si>
  <si>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</si>
  <si>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</si>
  <si>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</si>
  <si>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</si>
  <si>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</si>
  <si>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</si>
  <si>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</si>
  <si>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</si>
  <si>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</si>
  <si>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</si>
  <si>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</si>
  <si>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</si>
  <si>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</si>
  <si>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</si>
  <si>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</si>
  <si>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</si>
  <si>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</si>
  <si>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</si>
  <si>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</si>
  <si>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</si>
  <si>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</si>
  <si>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</si>
  <si>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</si>
  <si>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</si>
  <si>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</si>
  <si>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</si>
  <si>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</si>
  <si>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</si>
  <si>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</si>
  <si>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</si>
  <si>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</si>
  <si>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</si>
  <si>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</si>
  <si>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</si>
  <si>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</si>
  <si>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</si>
  <si>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</si>
  <si>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</si>
  <si>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</si>
  <si>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</si>
  <si>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</si>
  <si>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</si>
  <si>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</si>
  <si>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</si>
  <si>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</si>
  <si>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</si>
  <si>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</si>
  <si>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</si>
  <si>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</si>
  <si>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</si>
  <si>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</si>
  <si>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</si>
  <si>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</si>
  <si>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</si>
  <si>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</si>
  <si>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</si>
  <si>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</si>
  <si>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</si>
  <si>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</si>
  <si>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</si>
  <si>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</si>
  <si>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</si>
  <si>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</si>
  <si>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</si>
  <si>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</si>
  <si>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</si>
  <si>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</si>
  <si>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</si>
  <si>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</si>
  <si>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</si>
  <si>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</si>
  <si>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</si>
  <si>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</si>
  <si>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</si>
  <si>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</si>
  <si>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</si>
  <si>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</si>
  <si>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</si>
  <si>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</si>
  <si>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</si>
  <si>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</si>
  <si>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</si>
  <si>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</si>
  <si>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</si>
  <si>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</si>
  <si>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</si>
  <si>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</si>
  <si>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</si>
  <si>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</si>
  <si>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</si>
  <si>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</si>
  <si>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</si>
  <si>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</si>
  <si>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</si>
  <si>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</si>
  <si>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</si>
  <si>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</si>
  <si>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</si>
  <si>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</si>
  <si>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</si>
  <si>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</si>
  <si>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</si>
  <si>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</si>
  <si>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</si>
  <si>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</si>
  <si>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</si>
  <si>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</si>
  <si>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</si>
  <si>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</si>
  <si>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</si>
  <si>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</si>
  <si>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</si>
  <si>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</si>
  <si>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</si>
  <si>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</si>
  <si>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</si>
  <si>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</si>
  <si>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</si>
  <si>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</si>
  <si>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</si>
  <si>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</si>
  <si>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</si>
  <si>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</si>
  <si>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</si>
  <si>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</si>
  <si>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</si>
  <si>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</si>
  <si>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</si>
  <si>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</si>
  <si>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</si>
  <si>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</si>
  <si>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</si>
  <si>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</si>
  <si>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</si>
  <si>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</si>
  <si>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</si>
  <si>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</si>
  <si>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</si>
  <si>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</si>
  <si>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</si>
  <si>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</si>
  <si>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</si>
  <si>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</si>
  <si>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</si>
  <si>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</si>
  <si>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</si>
  <si>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</si>
  <si>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</si>
  <si>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</si>
  <si>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</si>
  <si>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</si>
  <si>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</si>
  <si>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</si>
  <si>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</si>
  <si>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</si>
  <si>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</si>
  <si>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</si>
  <si>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</si>
  <si>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</si>
  <si>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</si>
  <si>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</si>
  <si>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</si>
  <si>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</si>
  <si>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</si>
  <si>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</si>
  <si>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</si>
  <si>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</si>
  <si>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</si>
  <si>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</si>
  <si>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</si>
  <si>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</si>
  <si>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</si>
  <si>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</si>
  <si>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</si>
  <si>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</si>
  <si>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</si>
  <si>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</si>
  <si>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</si>
  <si>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</si>
  <si>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</si>
  <si>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</si>
  <si>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</si>
  <si>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</si>
  <si>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</si>
  <si>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</si>
  <si>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</si>
  <si>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</si>
  <si>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</si>
  <si>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</si>
  <si>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</si>
  <si>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</si>
  <si>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</si>
  <si>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</si>
  <si>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</si>
  <si>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</si>
  <si>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</si>
  <si>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</si>
  <si>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</si>
  <si>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</si>
  <si>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</si>
  <si>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</si>
  <si>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</si>
  <si>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</si>
  <si>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</si>
  <si>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</si>
  <si>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</si>
  <si>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</si>
  <si>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</si>
  <si>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</si>
  <si>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</si>
  <si>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</si>
  <si>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</si>
  <si>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</si>
  <si>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</si>
  <si>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</si>
  <si>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</si>
  <si>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</si>
  <si>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</si>
  <si>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</si>
  <si>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</si>
  <si>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</si>
  <si>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</si>
  <si>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</si>
  <si>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</si>
  <si>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</si>
  <si>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</si>
  <si>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</si>
  <si>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</si>
  <si>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</si>
  <si>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</si>
  <si>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</si>
  <si>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</si>
  <si>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</si>
  <si>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</si>
  <si>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</si>
  <si>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</si>
  <si>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</si>
  <si>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</si>
  <si>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</si>
  <si>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</si>
  <si>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</si>
  <si>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</si>
  <si>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</si>
  <si>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</si>
  <si>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</si>
  <si>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</si>
  <si>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</si>
  <si>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</si>
  <si>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</si>
  <si>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</si>
  <si>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</si>
  <si>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</si>
  <si>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</si>
  <si>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</si>
  <si>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</si>
  <si>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</si>
  <si>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</si>
  <si>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</si>
  <si>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</si>
  <si>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</si>
  <si>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</si>
  <si>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</si>
  <si>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</si>
  <si>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</si>
  <si>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</si>
  <si>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</si>
  <si>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</si>
  <si>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</si>
  <si>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</si>
  <si>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</si>
  <si>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</si>
  <si>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</si>
  <si>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</si>
  <si>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</si>
  <si>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</si>
  <si>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</si>
  <si>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</si>
  <si>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</si>
  <si>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</si>
  <si>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</si>
  <si>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</si>
  <si>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</si>
  <si>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</si>
  <si>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</si>
  <si>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</si>
  <si>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</si>
  <si>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</si>
  <si>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</si>
  <si>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</si>
  <si>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</si>
  <si>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</si>
  <si>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</si>
  <si>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</si>
  <si>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</si>
  <si>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</si>
  <si>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</si>
  <si>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</si>
  <si>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</si>
  <si>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</si>
  <si>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</si>
  <si>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</si>
  <si>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</si>
  <si>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</si>
  <si>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</si>
  <si>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</si>
  <si>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</si>
  <si>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</si>
  <si>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</si>
  <si>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</si>
  <si>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</si>
  <si>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</si>
  <si>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</si>
  <si>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</si>
  <si>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</si>
  <si>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</si>
  <si>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</si>
  <si>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</si>
  <si>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</si>
  <si>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</si>
  <si>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</si>
  <si>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</si>
  <si>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</si>
  <si>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</si>
  <si>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</si>
  <si>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</si>
  <si>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</si>
  <si>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</si>
  <si>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</si>
  <si>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</si>
  <si>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</si>
  <si>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</si>
  <si>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</si>
  <si>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</si>
  <si>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</si>
  <si>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</si>
  <si>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</si>
  <si>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</si>
  <si>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</si>
  <si>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</si>
  <si>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</si>
  <si>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</si>
  <si>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</si>
  <si>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</si>
  <si>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</si>
  <si>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</si>
  <si>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</si>
  <si>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</si>
  <si>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</si>
  <si>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</si>
  <si>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</si>
  <si>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</si>
  <si>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</si>
  <si>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</si>
  <si>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</si>
  <si>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</si>
  <si>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</si>
  <si>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</si>
  <si>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</si>
  <si>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</si>
  <si>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</si>
  <si>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</si>
  <si>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</si>
  <si>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</si>
  <si>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</si>
  <si>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</si>
  <si>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</si>
  <si>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</si>
  <si>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</si>
  <si>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</si>
  <si>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</si>
  <si>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</si>
  <si>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</si>
  <si>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</si>
  <si>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</si>
  <si>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</si>
  <si>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</si>
  <si>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</si>
  <si>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</si>
  <si>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</si>
  <si>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</si>
  <si>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</si>
  <si>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</si>
  <si>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</si>
  <si>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</si>
  <si>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</si>
  <si>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</si>
  <si>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</si>
  <si>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</si>
  <si>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</si>
  <si>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</si>
  <si>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</si>
  <si>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</si>
  <si>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</si>
  <si>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</si>
  <si>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</si>
  <si>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</si>
  <si>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</si>
  <si>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</si>
  <si>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</si>
  <si>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</si>
  <si>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</si>
  <si>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</si>
  <si>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</si>
  <si>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</si>
  <si>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</si>
  <si>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</si>
  <si>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</si>
  <si>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</si>
  <si>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</si>
  <si>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</si>
  <si>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</si>
  <si>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</si>
  <si>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</si>
  <si>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</si>
  <si>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</si>
  <si>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</si>
  <si>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</si>
  <si>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</si>
  <si>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</si>
  <si>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</si>
  <si>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</si>
  <si>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</si>
  <si>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</si>
  <si>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</si>
  <si>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</si>
  <si>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</si>
  <si>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</si>
  <si>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</si>
  <si>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</si>
  <si>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</si>
  <si>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</si>
  <si>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</si>
  <si>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</si>
  <si>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</si>
  <si>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</si>
  <si>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</si>
  <si>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</si>
  <si>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</si>
  <si>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</si>
  <si>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</si>
  <si>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</si>
  <si>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</si>
  <si>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</si>
  <si>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</si>
  <si>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</si>
  <si>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</si>
  <si>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</si>
  <si>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</si>
  <si>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</si>
  <si>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</si>
  <si>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</si>
  <si>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</si>
  <si>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</si>
  <si>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</si>
  <si>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</si>
  <si>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</si>
  <si>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</si>
  <si>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</si>
  <si>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</si>
  <si>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</si>
  <si>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</si>
  <si>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</si>
  <si>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</si>
  <si>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</si>
  <si>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</si>
  <si>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</si>
  <si>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</si>
  <si>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</si>
  <si>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</si>
  <si>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</si>
  <si>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</si>
  <si>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</si>
  <si>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</si>
  <si>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</si>
  <si>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</si>
  <si>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</si>
  <si>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</si>
  <si>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</si>
  <si>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</si>
  <si>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</si>
  <si>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</si>
  <si>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</si>
  <si>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</si>
  <si>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</si>
  <si>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</si>
  <si>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</si>
  <si>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</si>
  <si>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</si>
  <si>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</si>
  <si>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</si>
  <si>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</si>
  <si>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</si>
  <si>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</si>
  <si>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</si>
  <si>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</si>
  <si>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</si>
  <si>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</si>
  <si>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</si>
  <si>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</si>
  <si>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</si>
  <si>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</si>
  <si>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</si>
  <si>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</si>
  <si>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</si>
  <si>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</si>
  <si>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</si>
  <si>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</si>
  <si>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</si>
  <si>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</si>
  <si>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</si>
  <si>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</si>
  <si>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</si>
  <si>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</si>
  <si>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</si>
  <si>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</si>
  <si>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</si>
  <si>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</si>
  <si>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</si>
  <si>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</si>
  <si>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</si>
  <si>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</si>
  <si>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</si>
  <si>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</si>
  <si>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</si>
  <si>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</si>
  <si>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</si>
  <si>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</si>
  <si>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</si>
  <si>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</si>
  <si>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</si>
  <si>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</si>
  <si>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</si>
  <si>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</si>
  <si>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</si>
  <si>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</si>
  <si>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</si>
  <si>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</si>
  <si>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</si>
  <si>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</si>
  <si>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</si>
  <si>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</si>
  <si>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</si>
  <si>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</si>
  <si>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</si>
  <si>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</si>
  <si>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</si>
  <si>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</si>
  <si>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</si>
  <si>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</si>
  <si>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</si>
  <si>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</si>
  <si>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</si>
  <si>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</si>
  <si>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</si>
  <si>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</si>
  <si>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</si>
  <si>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</si>
  <si>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</si>
  <si>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</si>
  <si>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</si>
  <si>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</si>
  <si>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</si>
  <si>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</si>
  <si>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</si>
  <si>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</si>
  <si>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</si>
  <si>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</si>
  <si>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</si>
  <si>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</si>
  <si>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</si>
  <si>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</si>
  <si>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</si>
  <si>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</si>
  <si>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</si>
  <si>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</si>
  <si>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</si>
  <si>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</si>
  <si>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</si>
  <si>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</si>
  <si>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</si>
  <si>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</si>
  <si>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</si>
  <si>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</si>
  <si>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</si>
  <si>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</si>
  <si>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</si>
  <si>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</si>
  <si>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</si>
  <si>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</si>
  <si>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</si>
  <si>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</si>
  <si>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</si>
  <si>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</si>
  <si>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</si>
  <si>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</si>
  <si>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</si>
  <si>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</si>
  <si>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</si>
  <si>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</si>
  <si>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</si>
  <si>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</si>
  <si>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</si>
  <si>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</si>
  <si>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</si>
  <si>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</si>
  <si>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</si>
  <si>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</si>
  <si>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</si>
  <si>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</si>
  <si>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</si>
  <si>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</si>
  <si>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</si>
  <si>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</si>
  <si>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</si>
  <si>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</si>
  <si>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</si>
  <si>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</si>
  <si>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</si>
  <si>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</si>
  <si>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</si>
  <si>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</si>
  <si>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</si>
  <si>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</si>
  <si>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</si>
  <si>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</si>
  <si>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</si>
  <si>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</si>
  <si>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</si>
  <si>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</si>
  <si>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</si>
  <si>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</si>
  <si>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</si>
  <si>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</si>
  <si>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</si>
  <si>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</si>
  <si>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</si>
  <si>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</si>
  <si>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</si>
  <si>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</si>
  <si>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</si>
  <si>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</si>
  <si>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</si>
  <si>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</si>
  <si>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</si>
  <si>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</si>
  <si>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</si>
  <si>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</si>
  <si>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</si>
  <si>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</si>
  <si>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</si>
  <si>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</si>
  <si>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</si>
  <si>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</si>
  <si>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</si>
  <si>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</si>
  <si>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</si>
  <si>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</si>
  <si>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</si>
  <si>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</si>
  <si>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</si>
  <si>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</si>
  <si>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</si>
  <si>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</si>
  <si>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</si>
  <si>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</si>
  <si>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</si>
  <si>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</si>
  <si>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</si>
  <si>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</si>
  <si>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</si>
  <si>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</si>
  <si>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</si>
  <si>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</si>
  <si>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</si>
  <si>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</si>
  <si>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</si>
  <si>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</si>
  <si>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</si>
  <si>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</si>
  <si>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</si>
  <si>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</si>
  <si>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</si>
  <si>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</si>
  <si>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</si>
  <si>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</si>
  <si>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</si>
  <si>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</si>
  <si>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</si>
  <si>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</si>
  <si>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</si>
  <si>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</si>
  <si>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</si>
  <si>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</si>
  <si>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</si>
  <si>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</si>
  <si>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</si>
  <si>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</si>
  <si>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</si>
  <si>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</si>
  <si>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</si>
  <si>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</si>
  <si>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</si>
  <si>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</si>
  <si>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</si>
  <si>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</si>
  <si>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</si>
  <si>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</si>
  <si>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</si>
  <si>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</si>
  <si>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</si>
  <si>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</si>
  <si>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</si>
  <si>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</si>
  <si>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</si>
  <si>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</si>
  <si>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</si>
  <si>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</si>
  <si>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</si>
  <si>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</si>
  <si>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</si>
  <si>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</si>
  <si>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</si>
  <si>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</si>
  <si>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</si>
  <si>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</si>
  <si>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</si>
  <si>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</si>
  <si>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</si>
  <si>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</si>
  <si>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</si>
  <si>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</si>
  <si>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</si>
  <si>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</si>
  <si>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</si>
  <si>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</si>
  <si>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</si>
  <si>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</si>
  <si>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</si>
  <si>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</si>
  <si>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</si>
  <si>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</si>
  <si>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</si>
  <si>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</si>
  <si>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</si>
  <si>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</si>
  <si>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</si>
  <si>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</si>
  <si>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</si>
  <si>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</si>
  <si>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</si>
  <si>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</si>
  <si>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</si>
  <si>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</si>
  <si>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</si>
  <si>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</si>
  <si>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</si>
  <si>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</si>
  <si>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</si>
  <si>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</si>
  <si>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</si>
  <si>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</si>
  <si>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</si>
  <si>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</si>
  <si>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</si>
  <si>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</si>
  <si>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</si>
  <si>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</si>
  <si>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</si>
  <si>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</si>
  <si>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</si>
  <si>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</si>
  <si>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</si>
  <si>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</si>
  <si>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</si>
  <si>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</si>
  <si>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</si>
  <si>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</si>
  <si>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</si>
  <si>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</si>
  <si>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</si>
  <si>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</si>
  <si>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</si>
  <si>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</si>
  <si>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</si>
  <si>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</si>
  <si>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</si>
  <si>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</si>
  <si>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</si>
  <si>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</si>
  <si>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</si>
  <si>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</si>
  <si>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</si>
  <si>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</si>
  <si>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</si>
  <si>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</si>
  <si>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</si>
  <si>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</si>
  <si>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</si>
  <si>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</si>
  <si>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</si>
  <si>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</si>
  <si>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</si>
  <si>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</si>
  <si>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</si>
  <si>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</si>
  <si>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</si>
  <si>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</si>
  <si>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</si>
  <si>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</si>
  <si>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</si>
  <si>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</si>
  <si>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</si>
  <si>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</si>
  <si>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</si>
  <si>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</si>
  <si>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</si>
  <si>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</si>
  <si>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</si>
  <si>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</si>
  <si>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</si>
  <si>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</si>
  <si>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</si>
  <si>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</si>
  <si>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</si>
  <si>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</si>
  <si>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</si>
  <si>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</si>
  <si>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</si>
  <si>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</si>
  <si>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</si>
  <si>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</si>
  <si>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</si>
  <si>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</si>
  <si>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</si>
  <si>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</si>
  <si>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</si>
  <si>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</si>
  <si>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</si>
  <si>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</si>
  <si>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</si>
  <si>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</si>
  <si>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</si>
  <si>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</si>
  <si>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</si>
  <si>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</si>
  <si>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</si>
  <si>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</si>
  <si>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</si>
  <si>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</si>
  <si>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</si>
  <si>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</si>
  <si>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</si>
  <si>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</si>
  <si>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</si>
  <si>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</si>
  <si>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</si>
  <si>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</si>
  <si>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</si>
  <si>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</si>
  <si>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</si>
  <si>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</si>
  <si>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</si>
  <si>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</si>
  <si>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</si>
  <si>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</si>
  <si>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</si>
  <si>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</si>
  <si>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</si>
  <si>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</si>
  <si>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</si>
  <si>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</si>
  <si>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</si>
  <si>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</si>
  <si>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</si>
  <si>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</si>
  <si>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</si>
  <si>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</si>
  <si>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</si>
  <si>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</si>
  <si>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</si>
  <si>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</si>
  <si>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</si>
  <si>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</si>
  <si>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</si>
  <si>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</si>
  <si>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</si>
  <si>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</si>
  <si>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</si>
  <si>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</si>
  <si>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</si>
  <si>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</si>
  <si>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</si>
  <si>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</si>
  <si>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</si>
  <si>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</si>
  <si>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</si>
  <si>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</si>
  <si>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</si>
  <si>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</si>
  <si>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</si>
  <si>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</si>
  <si>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</si>
  <si>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</si>
  <si>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</si>
  <si>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</si>
  <si>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</si>
  <si>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</si>
  <si>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</si>
  <si>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</si>
  <si>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</si>
  <si>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</si>
  <si>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</si>
  <si>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</si>
  <si>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</si>
  <si>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</si>
  <si>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</si>
  <si>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</si>
  <si>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</si>
  <si>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</si>
  <si>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</si>
  <si>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</si>
  <si>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</si>
  <si>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</si>
  <si>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</si>
  <si>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</si>
  <si>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</si>
  <si>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</si>
  <si>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</si>
  <si>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</si>
  <si>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</si>
  <si>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</si>
  <si>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</si>
  <si>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</si>
  <si>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</si>
  <si>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</si>
  <si>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</si>
  <si>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</si>
  <si>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</si>
  <si>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</si>
  <si>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</si>
  <si>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</si>
  <si>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</si>
  <si>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</si>
  <si>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</si>
  <si>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</si>
  <si>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</si>
  <si>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</si>
  <si>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</si>
  <si>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</si>
  <si>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</si>
  <si>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</si>
  <si>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</si>
  <si>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</si>
  <si>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</si>
  <si>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</si>
  <si>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</si>
  <si>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</si>
  <si>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</si>
  <si>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</si>
  <si>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</si>
  <si>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</si>
  <si>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</si>
  <si>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</si>
  <si>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</si>
  <si>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</si>
  <si>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</si>
  <si>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</si>
  <si>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</si>
  <si>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</si>
  <si>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</si>
  <si>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</si>
  <si>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</si>
  <si>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</si>
  <si>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</si>
  <si>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</si>
  <si>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</si>
  <si>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</si>
  <si>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</si>
  <si>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</si>
  <si>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</si>
  <si>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</si>
  <si>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</si>
  <si>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</si>
  <si>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</si>
  <si>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</si>
  <si>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</si>
  <si>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</si>
  <si>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</si>
  <si>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</si>
  <si>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</si>
  <si>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</si>
  <si>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</si>
  <si>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</si>
  <si>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</si>
  <si>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</si>
  <si>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</si>
  <si>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</si>
  <si>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</si>
  <si>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</si>
  <si>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</si>
  <si>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</si>
  <si>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</si>
  <si>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</si>
  <si>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</si>
  <si>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</si>
  <si>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</si>
  <si>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</si>
  <si>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</si>
  <si>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</si>
  <si>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</si>
  <si>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</si>
  <si>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</si>
  <si>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</si>
  <si>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</si>
  <si>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</si>
  <si>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</si>
  <si>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</si>
  <si>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</si>
  <si>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</si>
  <si>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</si>
  <si>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</si>
  <si>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</si>
  <si>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</si>
  <si>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</si>
  <si>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</si>
  <si>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</si>
  <si>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</si>
  <si>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</si>
  <si>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</si>
  <si>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</si>
  <si>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</si>
  <si>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</si>
  <si>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</si>
  <si>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</si>
  <si>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</si>
  <si>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</si>
  <si>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</si>
  <si>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</si>
  <si>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</si>
  <si>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</si>
  <si>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</si>
  <si>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</si>
  <si>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</si>
  <si>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</si>
  <si>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</si>
  <si>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</si>
  <si>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</si>
  <si>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</si>
  <si>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</si>
  <si>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</si>
  <si>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</si>
  <si>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</si>
  <si>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</si>
  <si>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</si>
  <si>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</si>
  <si>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</si>
  <si>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</si>
  <si>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</si>
  <si>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</si>
  <si>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</si>
  <si>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</si>
  <si>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</si>
  <si>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</si>
  <si>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</si>
  <si>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</si>
  <si>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</si>
  <si>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</si>
  <si>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</si>
  <si>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</si>
  <si>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</si>
  <si>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</si>
  <si>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</si>
  <si>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</si>
  <si>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</si>
  <si>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</si>
  <si>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</si>
  <si>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</si>
  <si>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</si>
  <si>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</si>
  <si>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</si>
  <si>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</si>
  <si>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</si>
  <si>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</si>
  <si>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</si>
  <si>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</si>
  <si>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</si>
  <si>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</si>
  <si>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</si>
  <si>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</si>
  <si>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</si>
  <si>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</si>
  <si>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</si>
  <si>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</si>
  <si>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</si>
  <si>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</si>
  <si>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</si>
  <si>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</si>
  <si>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</si>
  <si>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</si>
  <si>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</si>
  <si>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</si>
  <si>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</si>
  <si>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</si>
  <si>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</si>
  <si>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</si>
  <si>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</si>
  <si>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</si>
  <si>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</si>
  <si>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</si>
  <si>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</si>
  <si>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</si>
  <si>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</si>
  <si>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</si>
  <si>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</si>
  <si>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</si>
  <si>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</si>
  <si>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</si>
  <si>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</si>
  <si>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</si>
  <si>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</si>
  <si>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</si>
  <si>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</si>
  <si>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</si>
  <si>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</si>
  <si>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</si>
  <si>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</si>
  <si>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</si>
  <si>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</si>
  <si>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</si>
  <si>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</si>
  <si>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</si>
  <si>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</si>
  <si>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</si>
  <si>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</si>
  <si>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</si>
  <si>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</si>
  <si>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</si>
  <si>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</si>
  <si>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</si>
  <si>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</si>
  <si>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</si>
  <si>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</si>
  <si>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</si>
  <si>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</si>
  <si>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</si>
  <si>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</si>
  <si>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</si>
  <si>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</si>
  <si>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</si>
  <si>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</si>
  <si>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</si>
  <si>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</si>
  <si>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</si>
  <si>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</si>
  <si>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</si>
  <si>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</si>
  <si>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</si>
  <si>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</si>
  <si>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</si>
  <si>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</si>
  <si>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</si>
  <si>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</si>
  <si>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</si>
  <si>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</si>
  <si>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</si>
  <si>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</si>
  <si>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</si>
  <si>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</si>
  <si>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</si>
  <si>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</si>
  <si>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</si>
  <si>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</si>
  <si>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</si>
  <si>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</si>
  <si>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</si>
  <si>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</si>
  <si>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</si>
  <si>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</si>
  <si>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</si>
  <si>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</si>
  <si>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</si>
  <si>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</si>
  <si>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</si>
  <si>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</si>
  <si>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</si>
  <si>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</si>
  <si>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</si>
  <si>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</si>
  <si>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</si>
  <si>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</si>
  <si>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</si>
  <si>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</si>
  <si>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</si>
  <si>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</si>
  <si>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</si>
  <si>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</si>
  <si>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</si>
  <si>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</si>
  <si>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</si>
  <si>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</si>
  <si>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</si>
  <si>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</si>
  <si>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</si>
  <si>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</si>
  <si>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</si>
  <si>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</si>
  <si>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</si>
  <si>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</si>
  <si>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</si>
  <si>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</si>
  <si>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</si>
  <si>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</si>
  <si>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</si>
  <si>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</si>
  <si>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</si>
  <si>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</si>
  <si>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</si>
  <si>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</si>
  <si>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</si>
  <si>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</si>
  <si>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</si>
  <si>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</si>
  <si>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</si>
  <si>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</si>
  <si>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</si>
  <si>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</si>
  <si>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</si>
  <si>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</si>
  <si>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</si>
  <si>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</si>
  <si>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</si>
  <si>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</si>
  <si>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</si>
  <si>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</si>
  <si>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</si>
  <si>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</si>
  <si>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</si>
  <si>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</si>
  <si>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</si>
  <si>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</si>
  <si>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</si>
  <si>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</si>
  <si>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</si>
  <si>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</si>
  <si>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</si>
  <si>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</si>
  <si>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</si>
  <si>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</si>
  <si>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</si>
  <si>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</si>
  <si>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</si>
  <si>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</si>
  <si>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</si>
  <si>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</si>
  <si>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</si>
  <si>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</si>
  <si>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</si>
  <si>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</si>
  <si>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</si>
  <si>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</si>
  <si>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</si>
  <si>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</si>
  <si>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</si>
  <si>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</si>
  <si>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</si>
  <si>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</si>
  <si>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</si>
  <si>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</si>
  <si>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</si>
  <si>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</si>
  <si>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</si>
  <si>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</si>
  <si>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</si>
  <si>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</si>
  <si>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</si>
  <si>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</si>
  <si>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</si>
  <si>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</si>
  <si>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</si>
  <si>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</si>
  <si>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</si>
  <si>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</si>
  <si>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</si>
  <si>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</si>
  <si>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</si>
  <si>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</si>
  <si>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</si>
  <si>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</si>
  <si>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</si>
  <si>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</si>
  <si>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</si>
  <si>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</si>
  <si>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</si>
  <si>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</si>
  <si>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</si>
  <si>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</si>
  <si>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</si>
  <si>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</si>
  <si>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</si>
  <si>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</si>
  <si>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</si>
  <si>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</si>
  <si>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</si>
  <si>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</si>
  <si>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</si>
  <si>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</si>
  <si>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</si>
  <si>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</si>
  <si>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</si>
  <si>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</si>
  <si>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</si>
  <si>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</si>
  <si>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</si>
  <si>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</si>
  <si>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</si>
  <si>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</si>
  <si>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</si>
  <si>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</si>
  <si>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</si>
  <si>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</si>
  <si>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</si>
  <si>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</si>
  <si>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</si>
  <si>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</si>
  <si>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</si>
  <si>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</si>
  <si>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</si>
  <si>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</si>
  <si>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</si>
  <si>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</si>
  <si>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</si>
  <si>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</si>
  <si>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</si>
  <si>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</si>
  <si>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</si>
  <si>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</si>
  <si>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</si>
  <si>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</si>
  <si>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</si>
  <si>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</si>
  <si>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</si>
  <si>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</si>
  <si>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</si>
  <si>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</si>
  <si>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</si>
  <si>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</si>
  <si>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</si>
  <si>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</si>
  <si>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</si>
  <si>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</si>
  <si>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</si>
  <si>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</si>
  <si>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</si>
  <si>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</si>
  <si>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</si>
  <si>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</si>
  <si>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</si>
  <si>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</si>
  <si>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</si>
  <si>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</si>
  <si>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</si>
  <si>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</si>
  <si>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</si>
  <si>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</si>
  <si>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</si>
  <si>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</si>
  <si>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</si>
  <si>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</si>
  <si>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</si>
  <si>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</si>
  <si>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</si>
  <si>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</si>
  <si>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</si>
  <si>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</si>
  <si>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</si>
  <si>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</si>
  <si>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</si>
  <si>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</si>
  <si>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</si>
  <si>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</si>
  <si>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</si>
  <si>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</si>
  <si>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</si>
  <si>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</si>
  <si>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</si>
  <si>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</si>
  <si>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</si>
  <si>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</si>
  <si>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</si>
  <si>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</si>
  <si>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</si>
  <si>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</si>
  <si>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</si>
  <si>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</si>
  <si>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</si>
  <si>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</si>
  <si>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</si>
  <si>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</si>
  <si>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</si>
  <si>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</si>
  <si>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</si>
  <si>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</si>
  <si>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</si>
  <si>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</si>
  <si>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</si>
  <si>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</si>
  <si>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</si>
  <si>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</si>
  <si>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</si>
  <si>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</si>
  <si>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</si>
  <si>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</si>
  <si>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</si>
  <si>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</si>
  <si>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</si>
  <si>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</si>
  <si>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</si>
  <si>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</si>
  <si>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</si>
  <si>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</si>
  <si>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</si>
  <si>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</si>
  <si>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</si>
  <si>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</si>
  <si>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</si>
  <si>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</si>
  <si>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</si>
  <si>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</si>
  <si>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</si>
  <si>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</si>
  <si>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</si>
  <si>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</si>
  <si>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</si>
  <si>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</si>
  <si>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</si>
  <si>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</si>
  <si>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</si>
  <si>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</si>
  <si>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</si>
  <si>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</si>
  <si>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</si>
  <si>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</si>
  <si>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</si>
  <si>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</si>
  <si>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</si>
  <si>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</si>
  <si>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</si>
  <si>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</si>
  <si>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</si>
  <si>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</si>
  <si>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</si>
  <si>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</si>
  <si>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</si>
  <si>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</si>
  <si>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</si>
  <si>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</si>
  <si>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</si>
  <si>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</si>
  <si>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</si>
  <si>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</si>
  <si>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</si>
  <si>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</si>
  <si>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</si>
  <si>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</si>
  <si>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</si>
  <si>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</si>
  <si>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</si>
  <si>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</si>
  <si>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</si>
  <si>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</si>
  <si>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</si>
  <si>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</si>
  <si>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</si>
  <si>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</si>
  <si>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</si>
  <si>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</si>
  <si>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</si>
  <si>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</si>
  <si>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</si>
  <si>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</si>
  <si>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</si>
  <si>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</si>
  <si>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</si>
  <si>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</si>
  <si>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</si>
  <si>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</si>
  <si>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</si>
  <si>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</si>
  <si>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</si>
  <si>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</si>
  <si>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</si>
  <si>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</si>
  <si>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</si>
  <si>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</si>
  <si>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</si>
  <si>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</si>
  <si>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</si>
  <si>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</si>
  <si>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</si>
  <si>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</si>
  <si>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</si>
  <si>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</si>
  <si>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</si>
  <si>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</si>
  <si>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</si>
  <si>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</si>
  <si>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</si>
  <si>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</si>
  <si>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</si>
  <si>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</si>
  <si>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</si>
  <si>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</si>
  <si>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</si>
  <si>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</si>
  <si>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</si>
  <si>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</si>
  <si>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</si>
  <si>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</si>
  <si>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</si>
  <si>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</si>
  <si>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</si>
  <si>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</si>
  <si>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</si>
  <si>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</si>
  <si>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</si>
  <si>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</si>
  <si>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</si>
  <si>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</si>
  <si>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</si>
  <si>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</si>
  <si>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</si>
  <si>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</si>
  <si>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</si>
  <si>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</si>
  <si>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</si>
  <si>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</si>
  <si>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</si>
  <si>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</si>
  <si>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</si>
  <si>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</si>
  <si>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</si>
  <si>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</si>
  <si>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</si>
  <si>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</si>
  <si>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</si>
  <si>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</si>
  <si>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</si>
  <si>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</si>
  <si>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</si>
  <si>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</si>
  <si>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</si>
  <si>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</si>
  <si>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</si>
  <si>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</si>
  <si>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</si>
  <si>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</si>
  <si>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</si>
  <si>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</si>
  <si>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</si>
  <si>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</si>
  <si>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</si>
  <si>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</si>
  <si>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</si>
  <si>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</si>
  <si>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</si>
  <si>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</si>
  <si>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</si>
  <si>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</si>
  <si>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</si>
  <si>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</si>
  <si>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</si>
  <si>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</si>
  <si>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</si>
  <si>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</si>
  <si>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</si>
  <si>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</si>
  <si>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</si>
  <si>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</si>
  <si>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</si>
  <si>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</si>
  <si>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</si>
  <si>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</si>
  <si>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</si>
  <si>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</si>
  <si>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</si>
  <si>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</si>
  <si>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</si>
  <si>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</si>
  <si>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</si>
  <si>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</si>
  <si>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</si>
  <si>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</si>
  <si>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</si>
  <si>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</si>
  <si>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</si>
  <si>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</si>
  <si>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</si>
  <si>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</si>
  <si>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</si>
  <si>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</si>
  <si>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</si>
  <si>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</si>
  <si>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</si>
  <si>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</si>
  <si>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</si>
  <si>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</si>
  <si>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</si>
  <si>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</si>
  <si>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</si>
  <si>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</si>
  <si>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</si>
  <si>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</si>
  <si>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</si>
  <si>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</si>
  <si>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</si>
  <si>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</si>
  <si>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</si>
  <si>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</si>
  <si>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</si>
  <si>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</si>
  <si>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</si>
  <si>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</si>
  <si>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</si>
  <si>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</si>
  <si>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</si>
  <si>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</si>
  <si>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</si>
  <si>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</si>
  <si>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</si>
  <si>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</si>
  <si>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</si>
  <si>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</si>
  <si>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</si>
  <si>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</si>
  <si>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</si>
  <si>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</si>
  <si>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</si>
  <si>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</si>
  <si>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</si>
  <si>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</si>
  <si>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</si>
  <si>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</si>
  <si>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</si>
  <si>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</si>
  <si>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</si>
  <si>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</si>
  <si>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</si>
  <si>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</si>
  <si>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</si>
  <si>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</si>
  <si>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</si>
  <si>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</si>
  <si>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</si>
  <si>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</si>
  <si>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</si>
  <si>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</si>
  <si>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</si>
  <si>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</si>
  <si>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</si>
  <si>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</si>
  <si>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</si>
  <si>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</si>
  <si>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</si>
  <si>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</si>
  <si>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</si>
  <si>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</si>
  <si>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</si>
  <si>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</si>
  <si>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</si>
  <si>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</si>
  <si>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</si>
  <si>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</si>
  <si>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</si>
  <si>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</si>
  <si>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</si>
  <si>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</si>
  <si>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</si>
  <si>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</si>
  <si>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</si>
  <si>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</si>
  <si>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</si>
  <si>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</si>
  <si>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</si>
  <si>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</si>
  <si>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</si>
  <si>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</si>
  <si>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</si>
  <si>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</si>
  <si>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</si>
  <si>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</si>
  <si>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</si>
  <si>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</si>
  <si>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</si>
  <si>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</si>
  <si>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</si>
  <si>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</si>
  <si>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</si>
  <si>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</si>
  <si>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</si>
  <si>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</si>
  <si>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</si>
  <si>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</si>
  <si>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</si>
  <si>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</si>
  <si>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</si>
  <si>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</si>
  <si>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</si>
  <si>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</si>
  <si>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</si>
  <si>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</si>
  <si>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</si>
  <si>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</si>
  <si>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</si>
  <si>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</si>
  <si>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</si>
  <si>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</si>
  <si>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</si>
  <si>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</si>
  <si>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</si>
  <si>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</si>
  <si>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</si>
  <si>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</si>
  <si>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</si>
  <si>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</si>
  <si>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</si>
  <si>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</si>
  <si>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</si>
  <si>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</si>
  <si>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</si>
  <si>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</si>
  <si>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</si>
  <si>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</si>
  <si>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</si>
  <si>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</si>
  <si>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</si>
  <si>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</si>
  <si>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</si>
  <si>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</si>
  <si>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</si>
  <si>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</si>
  <si>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</si>
  <si>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</si>
  <si>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</si>
  <si>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</si>
  <si>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</si>
  <si>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</si>
  <si>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</si>
  <si>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</si>
  <si>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</si>
  <si>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</si>
  <si>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</si>
  <si>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</si>
  <si>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</si>
  <si>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</si>
  <si>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</si>
  <si>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</si>
  <si>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</si>
  <si>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</si>
  <si>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</si>
  <si>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</si>
  <si>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</si>
  <si>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</si>
  <si>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</si>
  <si>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</si>
  <si>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</si>
  <si>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</si>
  <si>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</si>
  <si>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</si>
  <si>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</si>
  <si>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</si>
  <si>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</si>
  <si>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</si>
  <si>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</si>
  <si>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</si>
  <si>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</si>
  <si>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</si>
  <si>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</si>
  <si>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</si>
  <si>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</si>
  <si>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</si>
  <si>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</si>
  <si>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</si>
  <si>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</si>
  <si>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</si>
  <si>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</si>
  <si>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</si>
  <si>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</si>
  <si>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</si>
  <si>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</si>
  <si>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</si>
  <si>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</si>
  <si>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</si>
  <si>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</si>
  <si>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</si>
  <si>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</si>
  <si>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</si>
  <si>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</si>
  <si>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</si>
  <si>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</si>
  <si>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</si>
  <si>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</si>
  <si>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</si>
  <si>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</si>
  <si>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</si>
  <si>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</si>
  <si>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</si>
  <si>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</si>
  <si>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</si>
  <si>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</si>
  <si>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</si>
  <si>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</si>
  <si>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</si>
  <si>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</si>
  <si>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</si>
  <si>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</si>
  <si>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</si>
  <si>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</si>
  <si>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</si>
  <si>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</si>
  <si>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</si>
  <si>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</si>
  <si>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</si>
  <si>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</si>
  <si>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</si>
  <si>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</si>
  <si>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</si>
  <si>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</si>
  <si>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</si>
  <si>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</si>
  <si>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</si>
  <si>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</si>
  <si>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</si>
  <si>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</si>
  <si>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</si>
  <si>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</si>
  <si>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</si>
  <si>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</si>
  <si>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</si>
  <si>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</si>
  <si>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</si>
  <si>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</si>
  <si>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</si>
  <si>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</si>
  <si>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</si>
  <si>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</si>
  <si>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</si>
  <si>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</si>
  <si>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</si>
  <si>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</si>
  <si>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</si>
  <si>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</si>
  <si>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</si>
  <si>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</si>
  <si>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</si>
  <si>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</si>
  <si>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</si>
  <si>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</si>
  <si>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</si>
  <si>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</si>
  <si>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</si>
  <si>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</si>
  <si>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</si>
  <si>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</si>
  <si>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</si>
  <si>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</si>
  <si>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</si>
  <si>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</si>
  <si>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</si>
  <si>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</si>
  <si>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</si>
  <si>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</si>
  <si>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</si>
  <si>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</si>
  <si>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</si>
  <si>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</si>
  <si>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</si>
  <si>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</si>
  <si>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</si>
  <si>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</si>
  <si>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</si>
  <si>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</si>
  <si>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</si>
  <si>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</si>
  <si>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</si>
  <si>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</si>
  <si>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</si>
  <si>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</si>
  <si>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</si>
  <si>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</si>
  <si>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</si>
  <si>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</si>
  <si>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</si>
  <si>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</si>
  <si>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</si>
  <si>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</si>
  <si>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</si>
  <si>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</si>
  <si>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</si>
  <si>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</si>
  <si>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</si>
  <si>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</si>
  <si>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</si>
  <si>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</si>
  <si>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</si>
  <si>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</si>
  <si>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</si>
  <si>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</si>
  <si>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</si>
  <si>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</si>
  <si>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</si>
  <si>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</si>
  <si>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</si>
  <si>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</si>
  <si>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</si>
  <si>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</si>
  <si>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</si>
  <si>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</si>
  <si>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</si>
  <si>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</si>
  <si>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</si>
  <si>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</si>
  <si>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</si>
  <si>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</si>
  <si>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</si>
  <si>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</si>
  <si>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</si>
  <si>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</si>
  <si>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</si>
  <si>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</si>
  <si>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</si>
  <si>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</si>
  <si>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</si>
  <si>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</si>
  <si>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</si>
  <si>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</si>
  <si>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</si>
  <si>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</si>
  <si>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</si>
  <si>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</si>
  <si>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</si>
  <si>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</si>
  <si>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</si>
  <si>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</si>
  <si>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</si>
  <si>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</si>
  <si>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</si>
  <si>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</si>
  <si>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</si>
  <si>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</si>
  <si>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</si>
  <si>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</si>
  <si>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</si>
  <si>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</si>
  <si>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</si>
  <si>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</si>
  <si>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</si>
  <si>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</si>
  <si>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</si>
  <si>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</si>
  <si>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</si>
  <si>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</si>
  <si>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</si>
  <si>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</si>
  <si>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</si>
  <si>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</si>
  <si>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</si>
  <si>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</si>
  <si>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</si>
  <si>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</si>
  <si>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</si>
  <si>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</si>
  <si>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</si>
  <si>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</si>
  <si>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</si>
  <si>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</si>
  <si>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</si>
  <si>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</si>
  <si>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</si>
  <si>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</si>
  <si>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</si>
  <si>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</si>
  <si>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</si>
  <si>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</si>
  <si>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</si>
  <si>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</si>
  <si>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</si>
  <si>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</si>
  <si>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</si>
  <si>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</si>
  <si>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</si>
  <si>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</si>
  <si>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</si>
  <si>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</si>
  <si>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</si>
  <si>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</si>
  <si>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</si>
  <si>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</si>
  <si>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</si>
  <si>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</si>
  <si>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</si>
  <si>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</si>
  <si>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</si>
  <si>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</si>
  <si>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</si>
  <si>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</si>
  <si>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</si>
  <si>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</si>
  <si>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</si>
  <si>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</si>
  <si>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</si>
  <si>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</si>
  <si>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</si>
  <si>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</si>
  <si>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</si>
  <si>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</si>
  <si>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</si>
  <si>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</si>
  <si>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</si>
  <si>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</si>
  <si>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</si>
  <si>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</si>
  <si>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</si>
  <si>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</si>
  <si>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</si>
  <si>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</si>
  <si>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</si>
  <si>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</si>
  <si>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</si>
  <si>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</si>
  <si>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</si>
  <si>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</si>
  <si>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</si>
  <si>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</si>
  <si>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</si>
  <si>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</si>
  <si>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</si>
  <si>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</si>
  <si>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</si>
  <si>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</si>
  <si>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</si>
  <si>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</si>
  <si>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</si>
  <si>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</si>
  <si>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</si>
  <si>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</si>
  <si>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</si>
  <si>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</si>
  <si>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</si>
  <si>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</si>
  <si>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</si>
  <si>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</si>
  <si>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</si>
  <si>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</si>
  <si>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</si>
  <si>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</si>
  <si>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</si>
  <si>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</si>
  <si>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</si>
  <si>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</si>
  <si>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</si>
  <si>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</si>
  <si>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</si>
  <si>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</si>
  <si>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</si>
  <si>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</si>
  <si>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</si>
  <si>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</si>
  <si>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</si>
  <si>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</si>
  <si>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</si>
  <si>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</si>
  <si>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</si>
  <si>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</si>
  <si>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</si>
  <si>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</si>
  <si>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</si>
  <si>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</si>
  <si>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</si>
  <si>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</si>
  <si>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</si>
  <si>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</si>
  <si>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</si>
  <si>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</si>
  <si>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</si>
  <si>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</si>
  <si>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</si>
  <si>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</si>
  <si>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</si>
  <si>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</si>
  <si>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</si>
  <si>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</si>
  <si>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</si>
  <si>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</si>
  <si>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</si>
  <si>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</si>
  <si>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</si>
  <si>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</si>
  <si>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</si>
  <si>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</si>
  <si>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</si>
  <si>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</si>
  <si>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</si>
  <si>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</si>
  <si>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</si>
  <si>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</si>
  <si>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</si>
  <si>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</si>
  <si>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</si>
  <si>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</si>
  <si>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</si>
  <si>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</si>
  <si>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</si>
  <si>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</si>
  <si>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</si>
  <si>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</si>
  <si>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</si>
  <si>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</si>
  <si>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</si>
  <si>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</si>
  <si>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</si>
  <si>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</si>
  <si>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</si>
  <si>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</si>
  <si>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</si>
  <si>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</si>
  <si>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</si>
  <si>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</si>
  <si>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</si>
  <si>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</si>
  <si>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</si>
  <si>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</si>
  <si>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</si>
  <si>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</si>
  <si>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</si>
  <si>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</si>
  <si>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</si>
  <si>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</si>
  <si>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</si>
  <si>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</si>
  <si>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</si>
  <si>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</si>
  <si>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</si>
  <si>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</si>
  <si>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</si>
  <si>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</si>
  <si>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</si>
  <si>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</si>
  <si>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</si>
  <si>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</si>
  <si>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</si>
  <si>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</si>
  <si>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</si>
  <si>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</si>
  <si>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</si>
  <si>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</si>
  <si>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</si>
  <si>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</si>
  <si>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</si>
  <si>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</si>
  <si>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</si>
  <si>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</si>
  <si>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</si>
  <si>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</si>
  <si>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</si>
  <si>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</si>
  <si>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</si>
  <si>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</si>
  <si>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</si>
  <si>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</si>
  <si>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</si>
  <si>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</si>
  <si>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</si>
  <si>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</si>
  <si>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</si>
  <si>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</si>
  <si>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</si>
  <si>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</si>
  <si>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</si>
  <si>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</si>
  <si>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</si>
  <si>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</si>
  <si>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</si>
  <si>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</si>
  <si>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</si>
  <si>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</si>
  <si>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</si>
  <si>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</si>
  <si>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</si>
  <si>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</si>
  <si>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</si>
  <si>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</si>
  <si>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</si>
  <si>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</si>
  <si>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</si>
  <si>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</si>
  <si>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</si>
  <si>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</si>
  <si>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</si>
  <si>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</si>
  <si>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</si>
  <si>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</si>
  <si>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</si>
  <si>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</si>
  <si>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</si>
  <si>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</si>
  <si>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</si>
  <si>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</si>
  <si>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</si>
  <si>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</si>
  <si>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</si>
  <si>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</si>
  <si>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</si>
  <si>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</si>
  <si>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</si>
  <si>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</si>
  <si>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</si>
  <si>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</si>
  <si>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</si>
  <si>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</si>
  <si>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</si>
  <si>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</si>
  <si>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</si>
  <si>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</si>
  <si>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</si>
  <si>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</si>
  <si>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</si>
  <si>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</si>
  <si>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</si>
  <si>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</si>
  <si>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</si>
  <si>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</si>
  <si>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</si>
  <si>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</si>
  <si>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</si>
  <si>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</si>
  <si>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</si>
  <si>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</si>
  <si>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</si>
  <si>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</si>
  <si>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</si>
  <si>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</si>
  <si>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</si>
  <si>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</si>
  <si>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</si>
  <si>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</si>
  <si>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</si>
  <si>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</si>
  <si>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</si>
  <si>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</si>
  <si>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</si>
  <si>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</si>
  <si>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</si>
  <si>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</si>
  <si>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</si>
  <si>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</si>
  <si>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</si>
  <si>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</si>
  <si>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</si>
  <si>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</si>
  <si>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</si>
  <si>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</si>
  <si>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</si>
  <si>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</si>
  <si>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</si>
  <si>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</si>
  <si>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</si>
  <si>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</si>
  <si>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</si>
  <si>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</si>
  <si>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</si>
  <si>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</si>
  <si>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</si>
  <si>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</si>
  <si>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</si>
  <si>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</si>
  <si>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</si>
  <si>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</si>
  <si>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</si>
  <si>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</si>
  <si>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</si>
  <si>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</si>
  <si>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</si>
  <si>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</si>
  <si>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</si>
  <si>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</si>
  <si>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</si>
  <si>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</si>
  <si>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</si>
  <si>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</si>
  <si>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</si>
  <si>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</si>
  <si>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</si>
  <si>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</si>
  <si>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</si>
  <si>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</si>
  <si>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</si>
  <si>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</si>
  <si>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</si>
  <si>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</si>
  <si>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</si>
  <si>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</si>
  <si>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</si>
  <si>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</si>
  <si>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</si>
  <si>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</si>
  <si>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</si>
  <si>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</si>
  <si>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</si>
  <si>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</si>
  <si>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</si>
  <si>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</si>
  <si>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</si>
  <si>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</si>
  <si>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</si>
  <si>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</si>
  <si>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</si>
  <si>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</si>
  <si>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</si>
  <si>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</si>
  <si>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</si>
  <si>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</si>
  <si>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</si>
  <si>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</si>
  <si>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</si>
  <si>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</si>
  <si>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</si>
  <si>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</si>
  <si>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</si>
  <si>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</si>
  <si>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</si>
  <si>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</si>
  <si>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</si>
  <si>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</si>
  <si>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</si>
  <si>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</si>
  <si>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</si>
  <si>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</si>
  <si>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</si>
  <si>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</si>
  <si>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</si>
  <si>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</si>
  <si>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</si>
  <si>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</si>
  <si>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</si>
  <si>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</si>
  <si>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</si>
  <si>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</si>
  <si>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</si>
  <si>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</si>
  <si>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</si>
  <si>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</si>
  <si>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</si>
  <si>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</si>
  <si>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</si>
  <si>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</si>
  <si>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</si>
  <si>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</si>
  <si>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</si>
  <si>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</si>
  <si>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</si>
  <si>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</si>
  <si>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</si>
  <si>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</si>
  <si>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</si>
  <si>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</si>
  <si>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</si>
  <si>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</si>
  <si>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</si>
  <si>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</si>
  <si>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</si>
  <si>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</si>
  <si>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</si>
  <si>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</si>
  <si>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</si>
  <si>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</si>
  <si>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</si>
  <si>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</si>
  <si>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</si>
  <si>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</si>
  <si>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</si>
  <si>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</si>
  <si>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</si>
  <si>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</si>
  <si>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</si>
  <si>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</si>
  <si>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</si>
  <si>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</si>
  <si>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</si>
  <si>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</si>
  <si>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</si>
  <si>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</si>
  <si>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</si>
  <si>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</si>
  <si>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</si>
  <si>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</si>
  <si>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</si>
  <si>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</si>
  <si>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</si>
  <si>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</si>
  <si>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</si>
  <si>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</si>
  <si>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</si>
  <si>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</si>
  <si>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</si>
  <si>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</si>
  <si>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</si>
  <si>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</si>
  <si>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</si>
  <si>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</si>
  <si>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</si>
  <si>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</si>
  <si>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</si>
  <si>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</si>
  <si>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</si>
  <si>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</si>
  <si>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</si>
  <si>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</si>
  <si>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</si>
  <si>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</si>
  <si>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</si>
  <si>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</si>
  <si>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</si>
  <si>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</si>
  <si>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</si>
  <si>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</si>
  <si>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</si>
  <si>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</si>
  <si>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</si>
  <si>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</si>
  <si>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</si>
  <si>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</si>
  <si>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</si>
  <si>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</si>
  <si>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</si>
  <si>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</si>
  <si>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</si>
  <si>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</si>
  <si>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</si>
  <si>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</si>
  <si>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</si>
  <si>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</si>
  <si>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</si>
  <si>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</si>
  <si>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</si>
  <si>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</si>
  <si>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</si>
  <si>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</si>
  <si>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</si>
  <si>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</si>
  <si>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</si>
  <si>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</si>
  <si>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</si>
  <si>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</si>
  <si>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</si>
  <si>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</si>
  <si>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</si>
  <si>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</si>
  <si>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</si>
  <si>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</si>
  <si>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</si>
  <si>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</si>
  <si>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</si>
  <si>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</si>
  <si>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</si>
  <si>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</si>
  <si>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</si>
  <si>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</si>
  <si>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</si>
  <si>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</si>
  <si>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</si>
  <si>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</si>
  <si>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</si>
  <si>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</si>
  <si>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</si>
  <si>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</si>
  <si>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</si>
  <si>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</si>
  <si>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</si>
  <si>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</si>
  <si>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</si>
  <si>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</si>
  <si>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</si>
  <si>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</si>
  <si>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</si>
  <si>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</si>
  <si>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</si>
  <si>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</si>
  <si>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</si>
  <si>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</si>
  <si>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</si>
  <si>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</si>
  <si>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</si>
  <si>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</si>
  <si>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</si>
  <si>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</si>
  <si>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</si>
  <si>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</si>
  <si>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</si>
  <si>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</si>
  <si>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</si>
  <si>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</si>
  <si>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</si>
  <si>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</si>
  <si>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</si>
  <si>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</si>
  <si>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</si>
  <si>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</si>
  <si>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</si>
  <si>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</si>
  <si>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</si>
  <si>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</si>
  <si>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</si>
  <si>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</si>
  <si>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</si>
  <si>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</si>
  <si>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</si>
  <si>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</si>
  <si>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</si>
  <si>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</si>
  <si>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</si>
  <si>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</si>
  <si>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</si>
  <si>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</si>
  <si>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</si>
  <si>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</si>
  <si>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</si>
  <si>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</si>
  <si>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</si>
  <si>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</si>
  <si>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</si>
  <si>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</si>
  <si>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</si>
  <si>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</si>
  <si>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</si>
  <si>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</si>
  <si>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</si>
  <si>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</si>
  <si>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</si>
  <si>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</si>
  <si>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</si>
  <si>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</si>
  <si>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</si>
  <si>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</si>
  <si>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</si>
  <si>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</si>
  <si>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</si>
  <si>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</si>
  <si>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</si>
  <si>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</si>
  <si>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</si>
  <si>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</si>
  <si>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</si>
  <si>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</si>
  <si>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</si>
  <si>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</si>
  <si>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</si>
  <si>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</si>
  <si>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</si>
  <si>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</si>
  <si>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</si>
  <si>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</si>
  <si>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</si>
  <si>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</si>
  <si>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</si>
  <si>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</si>
  <si>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</si>
  <si>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</si>
  <si>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</si>
  <si>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</si>
  <si>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</si>
  <si>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</si>
  <si>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</si>
  <si>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</si>
  <si>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</si>
  <si>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</si>
  <si>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</si>
  <si>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</si>
  <si>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</si>
  <si>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</si>
  <si>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</si>
  <si>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</si>
  <si>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</si>
  <si>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</si>
  <si>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</si>
  <si>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</si>
  <si>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</si>
  <si>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</si>
  <si>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</si>
  <si>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</si>
  <si>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</si>
  <si>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</si>
  <si>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</si>
  <si>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</si>
  <si>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</si>
  <si>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</si>
  <si>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</si>
  <si>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</si>
  <si>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</si>
  <si>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</si>
  <si>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</si>
  <si>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</si>
  <si>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</si>
  <si>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</si>
  <si>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</si>
  <si>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</si>
  <si>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</si>
  <si>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</si>
  <si>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</si>
  <si>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</si>
  <si>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</si>
  <si>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</si>
  <si>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</si>
  <si>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</si>
  <si>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</si>
  <si>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</si>
  <si>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</si>
  <si>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</si>
  <si>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</si>
  <si>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</si>
  <si>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</si>
  <si>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</si>
  <si>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</si>
  <si>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</si>
  <si>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</si>
  <si>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</si>
  <si>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</si>
  <si>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</si>
  <si>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</si>
  <si>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</si>
  <si>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</si>
  <si>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</si>
  <si>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</si>
  <si>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</si>
  <si>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</si>
  <si>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</si>
  <si>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</si>
  <si>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</si>
  <si>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</si>
  <si>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</si>
  <si>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</si>
  <si>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</si>
  <si>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</si>
  <si>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</si>
  <si>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</si>
  <si>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</si>
  <si>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</si>
  <si>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</si>
  <si>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</si>
  <si>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</si>
  <si>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</si>
  <si>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</si>
  <si>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</si>
  <si>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</si>
  <si>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</si>
  <si>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</si>
  <si>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</si>
  <si>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</si>
  <si>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</si>
  <si>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</si>
  <si>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</si>
  <si>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</si>
  <si>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</si>
  <si>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</si>
  <si>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</si>
  <si>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</si>
  <si>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</si>
  <si>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</si>
  <si>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</si>
  <si>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</si>
  <si>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</si>
  <si>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</si>
  <si>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</si>
  <si>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</si>
  <si>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</si>
  <si>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</si>
  <si>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</si>
  <si>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</si>
  <si>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</si>
  <si>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</si>
  <si>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</si>
  <si>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</si>
  <si>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</si>
  <si>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</si>
  <si>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</si>
  <si>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</si>
  <si>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</si>
  <si>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</si>
  <si>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</si>
  <si>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</si>
  <si>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</si>
  <si>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</si>
  <si>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</si>
  <si>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</si>
  <si>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</si>
  <si>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</si>
  <si>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</si>
  <si>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</si>
  <si>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</si>
  <si>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</si>
  <si>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</si>
  <si>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</si>
  <si>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</si>
  <si>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</si>
  <si>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</si>
  <si>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</si>
  <si>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</si>
  <si>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</si>
  <si>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</si>
  <si>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</si>
  <si>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</si>
  <si>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</si>
  <si>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</si>
  <si>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</si>
  <si>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</si>
  <si>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</si>
  <si>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</si>
  <si>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</si>
  <si>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</si>
  <si>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</si>
  <si>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</si>
  <si>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</si>
  <si>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</si>
  <si>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</si>
  <si>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</si>
  <si>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</si>
  <si>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</si>
  <si>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</si>
  <si>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</si>
  <si>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</si>
  <si>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</si>
  <si>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</si>
  <si>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</si>
  <si>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</si>
  <si>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</si>
  <si>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</si>
  <si>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</si>
  <si>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</si>
  <si>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</si>
  <si>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</si>
  <si>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</si>
  <si>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</si>
  <si>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</si>
  <si>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</si>
  <si>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</si>
  <si>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</si>
  <si>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</si>
  <si>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</si>
  <si>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</si>
  <si>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</si>
  <si>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</si>
  <si>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</si>
  <si>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</si>
  <si>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</si>
  <si>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</si>
  <si>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</si>
  <si>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</si>
  <si>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</si>
  <si>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</si>
  <si>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</si>
  <si>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</si>
  <si>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</si>
  <si>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</si>
  <si>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</si>
  <si>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</si>
  <si>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</si>
  <si>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</si>
  <si>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</si>
  <si>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</si>
  <si>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</si>
  <si>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</si>
  <si>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</si>
  <si>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</si>
  <si>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</si>
  <si>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</si>
  <si>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</si>
  <si>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</si>
  <si>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</si>
  <si>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</si>
  <si>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</si>
  <si>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</si>
  <si>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</si>
  <si>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</si>
  <si>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</si>
  <si>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</si>
  <si>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</si>
  <si>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</si>
  <si>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</si>
  <si>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</si>
  <si>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</si>
  <si>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</si>
  <si>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</si>
  <si>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</si>
  <si>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</si>
  <si>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</si>
  <si>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</si>
  <si>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</si>
  <si>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</si>
  <si>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</si>
  <si>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</si>
  <si>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</si>
  <si>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</si>
  <si>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</si>
  <si>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</si>
  <si>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</si>
  <si>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</si>
  <si>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</si>
  <si>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</si>
  <si>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</si>
  <si>
    <t>800-503291-01A</t>
  </si>
  <si>
    <t>972710-C3</t>
  </si>
  <si>
    <t>800-503292-01A</t>
  </si>
  <si>
    <t>800-502067-01A</t>
  </si>
  <si>
    <t>P98304372</t>
  </si>
  <si>
    <t>800-503296-01A</t>
  </si>
  <si>
    <t>14035-C4</t>
  </si>
  <si>
    <t>800-503286-01A</t>
  </si>
  <si>
    <t>IMSD-0400-DC0.80</t>
  </si>
  <si>
    <t>FMD DRILL</t>
  </si>
  <si>
    <t>800-503287-01A</t>
  </si>
  <si>
    <t>IMSD-0150-DC0.30</t>
  </si>
  <si>
    <t>800-503288-01A</t>
  </si>
  <si>
    <t>IMSD-0450-DC0.90</t>
  </si>
  <si>
    <t>800-503281-01A</t>
  </si>
  <si>
    <t>QFD-0150-C1.80</t>
  </si>
  <si>
    <t>0.0059" Dia x .071 LOC - 2FLT CD x 120 Deg</t>
  </si>
  <si>
    <t>800-503289-01A</t>
  </si>
  <si>
    <t>GMSD-0370-DC2.20</t>
  </si>
  <si>
    <t>800-503280-01A</t>
  </si>
  <si>
    <t>QFD-0210-DC2.5</t>
  </si>
  <si>
    <t>0.0083" Dia x .098 LOC - 2FLT CD x 120 Deg</t>
  </si>
  <si>
    <t>800-503284-01A</t>
  </si>
  <si>
    <t>CQFD-5500-DC3.00</t>
  </si>
  <si>
    <t>800-503283-01A</t>
  </si>
  <si>
    <t>QFD-0270-DC3.2</t>
  </si>
  <si>
    <t>0.0106" Dia x .126 LOC - 2FLT CD x 120 Deg</t>
  </si>
  <si>
    <t>800-503282-01A</t>
  </si>
  <si>
    <t>QFD-0290-DC3.5</t>
  </si>
  <si>
    <t>0.0114" Dia x .138 LOC - 2FLT CD x 120 Deg</t>
  </si>
  <si>
    <t>800-503279-01A</t>
  </si>
  <si>
    <t>QFD-0420-DC5.0</t>
  </si>
  <si>
    <t>800-503277-01A</t>
  </si>
  <si>
    <t>QFD-0470-DC5.6</t>
  </si>
  <si>
    <t>L: x = 0.001600, y = 0.002950</t>
  </si>
  <si>
    <t>L: x = 0.074200, y = 0.002950</t>
  </si>
  <si>
    <t>L: x = 0.122300, y = 0.015500</t>
  </si>
  <si>
    <t>L: x = 0.353000, y = 0.015500</t>
  </si>
  <si>
    <t>L: x = 0.525000, y = 0.062500</t>
  </si>
  <si>
    <t>L: x = 0.102700, y = 0.004150</t>
  </si>
  <si>
    <t>L: x = 0.148600, y = 0.015500</t>
  </si>
  <si>
    <t>L: x = 0.002700, y = 0.005300</t>
  </si>
  <si>
    <t>L: x = 0.129000, y = 0.005300</t>
  </si>
  <si>
    <t>L: x = 0.170000, y = 0.015500</t>
  </si>
  <si>
    <t>L: x = 0.002500, y = 0.005700</t>
  </si>
  <si>
    <t>L: x = 0.160000, y = 0.005700</t>
  </si>
  <si>
    <t>L: x = 0.200000, y = 0.015500</t>
  </si>
  <si>
    <t>800-501577-04A</t>
  </si>
  <si>
    <t>SNG0625</t>
  </si>
  <si>
    <t>4.0000" Dia x 0.1840 LOC - Double Saw</t>
  </si>
  <si>
    <t>Slitting Saw</t>
  </si>
  <si>
    <t>L: x = 0.000000, y = 2.000000</t>
  </si>
  <si>
    <t>L: x = 0.062500, y = 2.000000</t>
  </si>
  <si>
    <t>L: x = 0.062500, y = 0.740000</t>
  </si>
  <si>
    <t>L: x = 0.122000, y = 0.740000</t>
  </si>
  <si>
    <t>L: x = 0.122000, y = 2.000000</t>
  </si>
  <si>
    <t>L: x = 0.184000, y = 2.000000</t>
  </si>
  <si>
    <t>L: x = 0.184000, y = 0.740000</t>
  </si>
  <si>
    <t>L: x = 1.400000, y = 0.740000</t>
  </si>
  <si>
    <t>L: x = 1.400000, y = 0.500000</t>
  </si>
  <si>
    <t>L: x = 4.455000, y = 0.500000</t>
  </si>
  <si>
    <t>L: x = 4.455000, y = 0.000000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</si>
</sst>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95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  <xf numFmtId="49" fontId="16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left" vertical="center"/>
    </xf>
    <xf numFmtId="164" fontId="22" fillId="0" borderId="0" xfId="0" applyNumberFormat="1" applyFont="1"/>
    <xf numFmtId="165" fontId="22" fillId="0" borderId="0" xfId="0" applyNumberFormat="1" applyFont="1"/>
    <xf numFmtId="0" fontId="18" fillId="0" borderId="0" xfId="0" applyFont="1" applyFill="1" applyBorder="1"/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500" totalsRowShown="0">
  <autoFilter ref="A1:BP1500" xr:uid="{00000000-0009-0000-0100-000002000000}">
    <filterColumn colId="7">
      <filters>
        <filter val="KC"/>
        <filter val="SS"/>
      </filters>
    </filterColumn>
  </autoFilter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5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4"/>
    <tableColumn id="67" xr3:uid="{6C7363B5-23B1-4863-9E09-780902EF62D4}" name="T" dataDxfId="3"/>
    <tableColumn id="68" xr3:uid="{A0BB1658-9851-48AA-AD38-45191D934830}" name="U" dataDxfId="2"/>
    <tableColumn id="61" xr3:uid="{00000000-0010-0000-0100-00003D000000}" name="R_Off" dataDxfId="1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zoomScaleNormal="100" workbookViewId="0">
      <pane ySplit="1" topLeftCell="A980" activePane="bottomLeft" state="frozen"/>
      <selection pane="bottomLeft" activeCell="N1500" sqref="N1500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hidden="1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hidden="1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hidden="1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hidden="1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hidden="1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hidden="1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hidden="1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hidden="1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hidden="1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hidden="1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hidden="1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hidden="1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hidden="1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hidden="1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hidden="1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hidden="1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hidden="1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hidden="1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hidden="1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hidden="1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hidden="1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hidden="1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hidden="1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hidden="1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hidden="1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hidden="1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hidden="1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hidden="1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hidden="1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hidden="1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hidden="1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hidden="1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hidden="1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hidden="1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hidden="1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hidden="1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hidden="1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hidden="1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hidden="1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hidden="1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hidden="1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hidden="1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hidden="1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hidden="1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hidden="1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hidden="1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hidden="1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hidden="1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hidden="1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hidden="1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hidden="1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hidden="1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hidden="1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hidden="1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hidden="1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hidden="1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hidden="1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hidden="1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hidden="1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hidden="1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hidden="1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hidden="1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hidden="1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hidden="1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hidden="1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hidden="1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hidden="1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hidden="1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hidden="1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hidden="1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hidden="1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hidden="1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hidden="1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hidden="1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hidden="1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hidden="1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hidden="1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hidden="1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hidden="1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hidden="1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hidden="1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hidden="1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hidden="1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hidden="1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hidden="1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hidden="1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hidden="1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hidden="1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hidden="1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hidden="1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hidden="1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hidden="1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hidden="1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hidden="1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hidden="1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hidden="1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hidden="1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hidden="1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hidden="1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hidden="1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hidden="1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hidden="1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hidden="1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hidden="1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hidden="1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hidden="1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hidden="1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hidden="1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hidden="1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hidden="1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hidden="1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hidden="1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hidden="1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hidden="1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hidden="1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hidden="1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hidden="1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hidden="1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hidden="1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hidden="1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hidden="1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hidden="1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hidden="1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hidden="1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hidden="1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hidden="1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hidden="1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hidden="1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hidden="1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hidden="1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hidden="1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hidden="1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hidden="1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hidden="1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hidden="1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hidden="1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hidden="1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hidden="1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hidden="1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hidden="1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hidden="1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hidden="1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hidden="1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hidden="1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hidden="1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hidden="1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hidden="1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hidden="1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hidden="1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hidden="1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hidden="1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hidden="1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hidden="1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hidden="1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hidden="1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hidden="1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hidden="1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hidden="1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hidden="1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hidden="1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hidden="1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hidden="1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hidden="1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hidden="1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hidden="1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hidden="1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hidden="1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hidden="1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hidden="1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hidden="1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hidden="1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hidden="1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hidden="1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hidden="1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hidden="1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hidden="1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hidden="1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hidden="1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hidden="1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hidden="1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hidden="1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hidden="1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hidden="1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hidden="1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hidden="1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hidden="1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hidden="1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hidden="1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hidden="1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hidden="1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hidden="1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hidden="1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hidden="1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hidden="1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hidden="1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hidden="1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hidden="1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hidden="1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hidden="1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hidden="1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hidden="1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hidden="1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hidden="1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hidden="1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hidden="1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hidden="1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hidden="1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hidden="1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hidden="1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hidden="1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hidden="1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hidden="1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hidden="1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hidden="1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hidden="1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hidden="1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hidden="1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hidden="1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hidden="1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hidden="1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hidden="1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hidden="1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hidden="1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hidden="1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hidden="1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hidden="1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hidden="1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hidden="1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hidden="1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hidden="1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hidden="1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hidden="1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hidden="1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hidden="1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hidden="1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hidden="1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hidden="1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hidden="1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hidden="1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hidden="1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hidden="1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hidden="1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hidden="1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hidden="1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hidden="1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hidden="1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hidden="1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hidden="1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hidden="1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hidden="1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hidden="1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hidden="1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hidden="1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hidden="1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hidden="1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hidden="1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hidden="1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hidden="1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hidden="1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hidden="1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hidden="1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hidden="1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hidden="1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hidden="1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hidden="1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hidden="1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hidden="1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hidden="1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hidden="1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hidden="1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hidden="1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hidden="1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hidden="1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hidden="1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hidden="1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hidden="1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hidden="1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hidden="1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hidden="1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hidden="1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hidden="1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hidden="1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hidden="1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hidden="1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hidden="1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hidden="1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hidden="1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hidden="1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hidden="1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hidden="1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hidden="1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hidden="1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hidden="1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hidden="1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hidden="1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hidden="1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hidden="1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hidden="1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hidden="1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hidden="1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hidden="1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hidden="1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hidden="1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hidden="1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hidden="1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hidden="1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hidden="1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hidden="1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hidden="1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hidden="1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hidden="1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hidden="1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hidden="1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hidden="1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hidden="1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hidden="1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hidden="1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hidden="1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hidden="1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hidden="1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hidden="1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hidden="1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hidden="1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hidden="1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hidden="1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hidden="1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hidden="1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hidden="1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hidden="1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hidden="1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hidden="1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hidden="1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hidden="1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hidden="1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hidden="1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hidden="1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hidden="1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hidden="1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hidden="1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hidden="1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hidden="1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hidden="1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hidden="1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hidden="1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hidden="1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hidden="1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hidden="1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hidden="1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hidden="1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hidden="1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hidden="1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hidden="1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hidden="1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hidden="1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hidden="1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hidden="1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hidden="1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hidden="1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hidden="1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hidden="1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hidden="1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hidden="1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hidden="1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hidden="1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hidden="1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hidden="1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hidden="1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hidden="1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hidden="1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hidden="1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hidden="1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hidden="1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hidden="1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hidden="1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hidden="1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hidden="1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hidden="1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hidden="1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hidden="1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hidden="1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hidden="1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hidden="1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hidden="1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hidden="1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hidden="1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hidden="1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hidden="1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hidden="1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hidden="1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hidden="1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hidden="1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hidden="1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hidden="1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hidden="1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hidden="1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hidden="1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hidden="1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hidden="1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hidden="1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hidden="1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hidden="1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hidden="1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hidden="1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hidden="1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hidden="1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hidden="1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hidden="1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hidden="1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hidden="1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hidden="1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hidden="1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hidden="1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hidden="1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hidden="1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hidden="1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hidden="1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hidden="1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hidden="1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hidden="1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hidden="1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hidden="1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hidden="1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hidden="1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hidden="1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hidden="1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hidden="1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hidden="1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hidden="1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hidden="1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hidden="1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hidden="1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hidden="1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hidden="1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hidden="1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hidden="1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hidden="1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hidden="1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hidden="1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hidden="1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hidden="1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hidden="1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hidden="1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hidden="1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hidden="1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hidden="1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hidden="1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hidden="1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hidden="1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hidden="1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hidden="1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hidden="1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hidden="1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hidden="1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hidden="1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hidden="1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hidden="1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hidden="1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hidden="1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hidden="1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hidden="1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hidden="1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hidden="1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hidden="1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hidden="1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hidden="1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hidden="1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hidden="1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hidden="1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hidden="1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hidden="1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hidden="1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hidden="1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hidden="1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hidden="1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hidden="1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hidden="1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hidden="1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hidden="1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hidden="1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hidden="1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hidden="1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hidden="1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hidden="1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hidden="1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hidden="1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hidden="1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hidden="1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hidden="1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hidden="1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hidden="1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hidden="1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hidden="1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hidden="1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hidden="1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hidden="1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hidden="1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hidden="1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hidden="1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hidden="1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hidden="1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hidden="1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hidden="1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hidden="1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hidden="1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hidden="1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hidden="1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hidden="1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hidden="1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hidden="1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hidden="1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hidden="1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hidden="1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hidden="1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hidden="1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hidden="1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hidden="1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hidden="1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hidden="1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hidden="1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hidden="1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hidden="1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hidden="1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hidden="1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hidden="1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hidden="1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hidden="1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hidden="1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hidden="1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hidden="1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hidden="1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hidden="1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hidden="1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hidden="1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hidden="1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hidden="1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hidden="1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hidden="1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hidden="1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hidden="1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hidden="1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hidden="1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hidden="1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hidden="1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hidden="1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hidden="1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hidden="1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hidden="1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hidden="1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hidden="1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hidden="1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hidden="1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hidden="1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hidden="1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hidden="1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hidden="1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hidden="1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hidden="1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hidden="1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hidden="1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hidden="1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hidden="1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hidden="1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hidden="1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hidden="1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hidden="1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hidden="1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hidden="1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hidden="1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hidden="1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hidden="1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hidden="1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hidden="1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hidden="1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hidden="1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hidden="1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hidden="1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hidden="1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hidden="1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hidden="1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hidden="1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hidden="1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hidden="1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hidden="1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hidden="1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hidden="1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hidden="1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hidden="1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hidden="1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hidden="1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hidden="1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hidden="1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hidden="1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hidden="1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hidden="1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hidden="1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hidden="1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hidden="1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hidden="1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hidden="1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hidden="1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hidden="1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hidden="1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hidden="1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hidden="1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hidden="1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hidden="1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hidden="1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hidden="1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hidden="1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hidden="1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hidden="1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hidden="1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hidden="1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hidden="1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hidden="1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hidden="1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hidden="1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hidden="1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hidden="1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hidden="1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hidden="1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hidden="1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hidden="1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hidden="1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hidden="1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hidden="1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hidden="1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hidden="1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hidden="1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hidden="1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hidden="1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hidden="1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hidden="1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hidden="1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hidden="1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hidden="1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hidden="1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hidden="1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hidden="1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hidden="1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hidden="1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hidden="1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hidden="1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hidden="1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hidden="1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hidden="1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hidden="1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hidden="1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hidden="1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hidden="1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hidden="1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hidden="1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hidden="1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hidden="1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hidden="1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hidden="1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hidden="1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hidden="1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hidden="1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hidden="1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hidden="1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hidden="1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hidden="1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hidden="1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hidden="1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hidden="1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hidden="1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hidden="1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hidden="1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hidden="1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hidden="1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hidden="1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hidden="1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hidden="1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hidden="1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hidden="1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hidden="1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hidden="1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hidden="1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hidden="1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hidden="1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hidden="1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hidden="1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hidden="1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hidden="1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hidden="1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hidden="1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hidden="1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hidden="1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hidden="1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hidden="1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hidden="1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hidden="1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hidden="1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hidden="1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hidden="1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hidden="1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hidden="1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hidden="1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hidden="1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hidden="1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hidden="1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hidden="1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hidden="1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hidden="1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hidden="1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hidden="1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hidden="1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hidden="1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hidden="1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hidden="1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hidden="1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hidden="1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hidden="1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hidden="1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hidden="1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hidden="1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hidden="1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hidden="1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hidden="1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hidden="1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hidden="1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hidden="1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hidden="1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hidden="1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hidden="1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hidden="1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hidden="1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hidden="1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hidden="1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hidden="1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hidden="1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hidden="1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hidden="1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hidden="1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hidden="1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hidden="1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hidden="1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hidden="1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hidden="1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hidden="1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hidden="1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hidden="1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hidden="1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hidden="1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hidden="1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hidden="1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hidden="1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hidden="1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hidden="1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hidden="1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hidden="1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hidden="1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hidden="1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hidden="1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hidden="1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hidden="1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hidden="1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hidden="1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hidden="1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hidden="1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hidden="1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hidden="1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hidden="1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hidden="1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hidden="1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hidden="1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hidden="1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hidden="1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hidden="1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hidden="1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hidden="1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hidden="1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hidden="1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hidden="1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hidden="1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hidden="1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hidden="1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hidden="1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hidden="1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hidden="1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hidden="1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hidden="1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hidden="1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hidden="1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hidden="1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hidden="1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hidden="1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hidden="1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hidden="1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hidden="1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hidden="1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hidden="1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hidden="1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hidden="1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hidden="1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hidden="1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hidden="1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hidden="1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hidden="1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hidden="1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hidden="1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hidden="1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hidden="1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hidden="1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hidden="1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hidden="1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hidden="1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hidden="1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hidden="1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hidden="1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hidden="1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hidden="1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hidden="1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hidden="1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hidden="1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hidden="1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hidden="1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hidden="1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hidden="1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hidden="1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hidden="1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hidden="1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hidden="1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hidden="1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hidden="1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hidden="1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hidden="1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hidden="1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hidden="1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hidden="1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hidden="1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hidden="1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hidden="1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hidden="1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hidden="1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hidden="1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hidden="1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hidden="1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hidden="1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hidden="1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hidden="1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hidden="1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hidden="1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hidden="1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hidden="1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hidden="1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hidden="1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hidden="1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hidden="1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hidden="1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hidden="1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hidden="1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hidden="1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hidden="1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hidden="1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hidden="1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hidden="1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hidden="1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hidden="1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hidden="1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hidden="1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hidden="1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hidden="1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hidden="1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hidden="1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hidden="1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hidden="1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hidden="1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hidden="1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hidden="1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hidden="1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hidden="1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hidden="1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hidden="1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hidden="1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hidden="1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hidden="1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hidden="1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hidden="1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hidden="1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hidden="1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hidden="1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hidden="1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hidden="1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hidden="1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hidden="1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hidden="1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hidden="1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hidden="1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hidden="1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hidden="1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hidden="1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hidden="1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hidden="1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hidden="1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hidden="1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hidden="1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hidden="1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hidden="1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hidden="1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hidden="1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hidden="1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hidden="1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hidden="1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hidden="1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hidden="1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hidden="1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hidden="1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hidden="1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hidden="1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hidden="1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hidden="1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hidden="1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hidden="1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hidden="1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hidden="1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hidden="1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hidden="1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hidden="1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hidden="1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hidden="1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hidden="1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hidden="1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hidden="1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hidden="1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hidden="1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hidden="1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hidden="1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hidden="1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hidden="1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hidden="1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hidden="1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hidden="1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hidden="1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hidden="1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hidden="1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hidden="1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hidden="1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hidden="1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hidden="1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hidden="1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hidden="1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hidden="1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hidden="1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hidden="1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hidden="1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hidden="1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hidden="1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hidden="1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hidden="1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hidden="1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hidden="1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hidden="1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hidden="1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hidden="1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hidden="1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hidden="1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hidden="1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hidden="1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hidden="1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hidden="1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hidden="1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hidden="1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hidden="1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hidden="1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hidden="1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hidden="1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hidden="1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hidden="1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hidden="1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hidden="1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hidden="1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hidden="1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hidden="1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hidden="1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hidden="1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hidden="1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hidden="1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hidden="1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hidden="1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hidden="1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hidden="1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hidden="1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hidden="1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hidden="1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hidden="1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hidden="1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hidden="1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hidden="1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hidden="1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hidden="1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hidden="1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hidden="1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hidden="1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hidden="1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hidden="1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hidden="1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hidden="1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hidden="1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hidden="1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hidden="1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hidden="1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hidden="1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hidden="1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hidden="1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hidden="1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hidden="1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hidden="1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hidden="1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hidden="1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hidden="1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hidden="1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hidden="1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hidden="1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hidden="1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hidden="1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hidden="1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hidden="1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hidden="1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hidden="1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hidden="1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hidden="1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hidden="1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hidden="1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hidden="1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hidden="1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hidden="1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hidden="1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hidden="1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hidden="1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hidden="1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hidden="1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hidden="1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hidden="1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hidden="1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hidden="1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hidden="1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hidden="1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hidden="1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hidden="1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hidden="1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hidden="1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hidden="1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hidden="1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hidden="1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hidden="1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hidden="1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hidden="1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hidden="1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hidden="1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hidden="1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hidden="1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hidden="1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hidden="1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hidden="1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hidden="1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hidden="1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hidden="1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hidden="1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hidden="1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hidden="1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hidden="1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hidden="1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hidden="1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hidden="1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hidden="1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hidden="1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hidden="1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hidden="1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hidden="1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hidden="1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hidden="1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hidden="1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hidden="1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hidden="1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hidden="1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hidden="1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hidden="1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hidden="1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hidden="1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hidden="1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hidden="1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hidden="1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hidden="1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hidden="1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hidden="1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hidden="1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hidden="1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hidden="1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hidden="1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hidden="1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hidden="1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hidden="1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hidden="1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hidden="1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hidden="1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hidden="1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hidden="1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hidden="1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hidden="1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hidden="1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hidden="1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hidden="1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hidden="1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hidden="1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hidden="1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hidden="1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hidden="1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hidden="1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hidden="1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hidden="1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hidden="1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hidden="1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hidden="1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hidden="1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hidden="1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hidden="1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hidden="1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hidden="1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hidden="1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hidden="1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hidden="1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hidden="1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hidden="1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hidden="1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hidden="1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hidden="1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hidden="1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hidden="1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hidden="1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hidden="1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hidden="1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hidden="1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hidden="1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hidden="1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hidden="1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hidden="1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hidden="1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hidden="1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hidden="1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hidden="1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hidden="1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hidden="1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hidden="1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hidden="1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hidden="1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hidden="1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hidden="1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hidden="1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hidden="1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hidden="1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hidden="1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hidden="1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hidden="1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hidden="1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hidden="1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hidden="1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hidden="1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hidden="1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hidden="1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hidden="1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hidden="1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hidden="1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hidden="1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hidden="1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hidden="1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hidden="1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hidden="1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hidden="1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hidden="1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hidden="1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hidden="1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hidden="1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hidden="1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hidden="1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hidden="1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hidden="1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hidden="1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hidden="1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hidden="1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hidden="1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hidden="1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hidden="1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hidden="1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hidden="1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hidden="1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hidden="1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hidden="1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hidden="1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hidden="1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hidden="1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hidden="1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hidden="1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hidden="1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hidden="1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hidden="1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hidden="1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hidden="1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hidden="1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hidden="1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hidden="1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hidden="1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hidden="1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hidden="1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hidden="1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hidden="1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hidden="1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hidden="1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hidden="1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hidden="1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hidden="1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hidden="1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hidden="1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hidden="1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hidden="1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hidden="1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hidden="1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hidden="1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hidden="1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hidden="1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hidden="1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hidden="1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hidden="1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hidden="1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hidden="1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hidden="1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hidden="1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hidden="1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hidden="1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hidden="1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hidden="1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hidden="1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hidden="1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hidden="1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hidden="1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hidden="1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hidden="1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hidden="1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hidden="1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hidden="1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hidden="1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hidden="1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hidden="1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hidden="1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hidden="1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hidden="1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hidden="1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hidden="1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hidden="1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hidden="1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hidden="1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hidden="1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hidden="1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hidden="1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hidden="1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hidden="1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hidden="1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hidden="1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hidden="1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hidden="1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hidden="1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hidden="1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hidden="1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hidden="1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hidden="1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hidden="1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hidden="1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hidden="1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hidden="1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hidden="1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hidden="1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hidden="1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hidden="1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hidden="1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hidden="1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hidden="1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hidden="1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hidden="1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hidden="1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hidden="1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hidden="1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hidden="1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hidden="1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hidden="1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hidden="1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hidden="1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hidden="1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hidden="1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hidden="1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hidden="1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hidden="1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hidden="1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hidden="1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hidden="1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hidden="1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hidden="1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hidden="1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hidden="1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hidden="1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hidden="1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hidden="1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hidden="1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hidden="1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hidden="1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hidden="1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hidden="1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hidden="1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hidden="1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hidden="1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hidden="1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hidden="1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hidden="1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hidden="1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hidden="1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hidden="1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hidden="1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hidden="1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hidden="1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hidden="1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hidden="1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hidden="1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hidden="1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hidden="1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hidden="1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hidden="1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hidden="1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hidden="1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hidden="1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hidden="1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hidden="1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hidden="1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hidden="1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hidden="1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hidden="1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hidden="1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hidden="1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hidden="1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hidden="1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hidden="1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hidden="1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hidden="1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hidden="1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hidden="1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hidden="1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hidden="1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hidden="1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hidden="1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hidden="1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hidden="1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hidden="1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hidden="1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hidden="1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hidden="1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hidden="1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hidden="1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hidden="1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hidden="1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hidden="1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hidden="1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hidden="1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hidden="1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hidden="1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hidden="1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hidden="1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hidden="1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hidden="1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hidden="1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hidden="1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hidden="1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hidden="1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hidden="1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hidden="1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hidden="1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hidden="1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hidden="1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hidden="1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hidden="1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hidden="1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hidden="1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hidden="1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hidden="1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hidden="1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hidden="1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hidden="1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hidden="1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hidden="1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hidden="1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hidden="1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hidden="1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hidden="1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hidden="1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hidden="1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hidden="1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hidden="1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hidden="1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hidden="1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hidden="1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hidden="1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hidden="1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hidden="1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hidden="1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hidden="1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hidden="1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hidden="1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hidden="1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hidden="1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hidden="1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hidden="1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hidden="1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hidden="1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hidden="1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hidden="1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hidden="1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hidden="1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hidden="1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hidden="1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hidden="1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hidden="1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hidden="1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hidden="1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hidden="1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hidden="1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hidden="1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hidden="1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hidden="1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hidden="1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hidden="1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hidden="1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hidden="1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hidden="1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hidden="1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hidden="1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hidden="1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hidden="1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hidden="1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hidden="1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hidden="1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hidden="1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hidden="1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hidden="1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hidden="1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hidden="1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hidden="1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hidden="1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hidden="1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hidden="1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hidden="1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99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hidden="1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hidden="1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hidden="1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hidden="1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hidden="1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hidden="1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hidden="1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hidden="1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A1482" s="13" t="str">
        <f t="shared" si="31"/>
        <v/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65" hidden="1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A1483" s="13" t="str">
        <f t="shared" si="31"/>
        <v/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65" hidden="1" x14ac:dyDescent="0.25">
      <c r="A1484" s="6">
        <v>1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f t="shared" si="31"/>
        <v>4.367642811194429E-3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485" spans="1:65" hidden="1" x14ac:dyDescent="0.25">
      <c r="A1485" s="6">
        <v>1</v>
      </c>
      <c r="B1485" s="6" t="s">
        <v>120</v>
      </c>
      <c r="C1485" s="6" t="s">
        <v>120</v>
      </c>
      <c r="H1485" s="10" t="s">
        <v>120</v>
      </c>
      <c r="I1485" s="11" t="s">
        <v>4328</v>
      </c>
      <c r="J1485" s="30" t="s">
        <v>4329</v>
      </c>
      <c r="K1485" s="11" t="str">
        <f>CONCATENATE(Table3[[#This Row],[Type]]," "&amp;TEXT(Table3[[#This Row],[Diameter]],".0000")&amp;""," "&amp;Table3[[#This Row],[NumFlutes]]&amp;"FL")</f>
        <v>BU .0100 3FL</v>
      </c>
      <c r="M1485" s="13">
        <v>0.01</v>
      </c>
      <c r="N1485" s="13">
        <v>0.125</v>
      </c>
      <c r="O1485" s="6">
        <v>8.9999999999999993E-3</v>
      </c>
      <c r="P1485" s="6">
        <v>8.2000000000000003E-2</v>
      </c>
      <c r="Q1485" s="6">
        <v>0.42199999999999999</v>
      </c>
      <c r="R1485" s="14">
        <f>IF(Table3[[#This Row],[ShoulderLenEnd]]="",0,90-(DEGREES(ATAN((Q1485-P1485)/((N1485-O1485)/2)))))</f>
        <v>9.680798859385078</v>
      </c>
      <c r="S1485" s="15">
        <v>0.45</v>
      </c>
      <c r="T1485" s="6">
        <v>3</v>
      </c>
      <c r="U1485" s="6">
        <v>2.5</v>
      </c>
      <c r="V1485" s="6">
        <v>1.6E-2</v>
      </c>
      <c r="W1485" s="6">
        <v>3.0000000000000001E-3</v>
      </c>
      <c r="AA1485" s="13" t="str">
        <f t="shared" si="31"/>
        <v/>
      </c>
      <c r="AE1485" s="6" t="s">
        <v>44</v>
      </c>
      <c r="AF1485" s="6" t="s">
        <v>369</v>
      </c>
      <c r="AG1485" s="6" t="s">
        <v>66</v>
      </c>
      <c r="AI1485" s="6">
        <v>0</v>
      </c>
      <c r="AJ1485" s="6">
        <v>1</v>
      </c>
      <c r="AK1485" s="6">
        <v>0</v>
      </c>
      <c r="AL1485" s="6">
        <v>0</v>
      </c>
      <c r="AM1485" s="6">
        <v>1</v>
      </c>
      <c r="AN1485" s="6">
        <v>1</v>
      </c>
      <c r="AO1485" s="6">
        <v>1</v>
      </c>
      <c r="AP1485" s="6">
        <v>1</v>
      </c>
      <c r="AR1485" s="6">
        <v>0</v>
      </c>
      <c r="AS1485" s="6">
        <v>0</v>
      </c>
      <c r="AT1485" s="6">
        <v>0</v>
      </c>
      <c r="AU1485" s="6">
        <v>0</v>
      </c>
      <c r="AV1485" s="6">
        <v>1</v>
      </c>
      <c r="AW1485" s="6">
        <v>0</v>
      </c>
      <c r="AX1485" s="6">
        <v>0</v>
      </c>
      <c r="AY1485" s="6">
        <v>0</v>
      </c>
      <c r="AZ1485" s="6">
        <v>1</v>
      </c>
      <c r="BA1485" s="6">
        <v>0</v>
      </c>
      <c r="BB1485" s="6">
        <v>0</v>
      </c>
      <c r="BC1485" s="6">
        <v>0</v>
      </c>
      <c r="BD1485" s="6">
        <v>0</v>
      </c>
      <c r="BE1485" s="6">
        <v>0</v>
      </c>
      <c r="BF1485" s="6">
        <v>0</v>
      </c>
      <c r="BG1485" s="6">
        <v>0</v>
      </c>
      <c r="BH1485" s="6">
        <v>0</v>
      </c>
      <c r="BI1485" s="6">
        <v>0</v>
      </c>
      <c r="BJ1485" s="6">
        <v>0</v>
      </c>
      <c r="BK1485" s="6">
        <v>0</v>
      </c>
      <c r="BL1485" s="6">
        <v>0</v>
      </c>
      <c r="BM1485" s="75">
        <f>IF(Table3[[#This Row],[Type]]="EM",IF((Table3[[#This Row],[Diameter]]/2)-Table3[[#This Row],[CornerRadius]]-0.012&gt;0,(Table3[[#This Row],[Diameter]]/2)-Table3[[#This Row],[CornerRadius]]-0.012,0),)</f>
        <v>0</v>
      </c>
    </row>
    <row r="1486" spans="1:65" hidden="1" x14ac:dyDescent="0.25">
      <c r="A1486" s="6">
        <v>1</v>
      </c>
      <c r="B1486" s="6" t="s">
        <v>529</v>
      </c>
      <c r="D1486" s="6" t="s">
        <v>529</v>
      </c>
      <c r="H1486" s="10" t="s">
        <v>529</v>
      </c>
      <c r="I1486" s="11" t="s">
        <v>4330</v>
      </c>
      <c r="J1486" s="87">
        <v>9009210014000</v>
      </c>
      <c r="K1486" s="11" t="str">
        <f>CONCATENATE(Table3[[#This Row],[Type]]," "&amp;TEXT(Table3[[#This Row],[Diameter]],".0000")&amp;""," "&amp;Table3[[#This Row],[NumFlutes]]&amp;"FL")</f>
        <v>RT .0551 1FL</v>
      </c>
      <c r="L1486" s="17" t="s">
        <v>2479</v>
      </c>
      <c r="M1486" s="13">
        <v>5.5100000000000003E-2</v>
      </c>
      <c r="N1486" s="13">
        <v>9.8000000000000004E-2</v>
      </c>
      <c r="O1486" s="6">
        <v>5.5100000000000003E-2</v>
      </c>
      <c r="P1486" s="6">
        <v>0.42299999999999999</v>
      </c>
      <c r="Q1486" s="6">
        <v>0.47199999999999998</v>
      </c>
      <c r="R1486" s="14">
        <f>IF(Table3[[#This Row],[ShoulderLenEnd]]="",0,90-(DEGREES(ATAN((Q1486-P1486)/((N1486-O1486)/2)))))</f>
        <v>23.641644663941108</v>
      </c>
      <c r="S1486" s="15">
        <v>0.5</v>
      </c>
      <c r="T1486" s="6">
        <v>1</v>
      </c>
      <c r="U1486" s="6">
        <v>1.575</v>
      </c>
      <c r="V1486" s="6">
        <v>0.29499999999999998</v>
      </c>
      <c r="X1486" s="13">
        <v>1.18E-2</v>
      </c>
      <c r="Y1486" s="6" t="s">
        <v>554</v>
      </c>
      <c r="AA1486" s="13" t="str">
        <f t="shared" si="31"/>
        <v/>
      </c>
      <c r="AB1486" s="6">
        <v>1E-3</v>
      </c>
      <c r="AC1486" s="6">
        <v>2.5999999999999999E-2</v>
      </c>
      <c r="AE1486" s="6" t="s">
        <v>49</v>
      </c>
      <c r="AF1486" s="6" t="s">
        <v>369</v>
      </c>
      <c r="AG1486" s="6" t="s">
        <v>875</v>
      </c>
      <c r="AI1486" s="6">
        <v>0</v>
      </c>
      <c r="AJ1486" s="6">
        <v>1</v>
      </c>
      <c r="AK1486" s="6">
        <v>1</v>
      </c>
      <c r="AL1486" s="6">
        <v>1</v>
      </c>
      <c r="AM1486" s="6">
        <v>0</v>
      </c>
      <c r="AN1486" s="6">
        <v>0</v>
      </c>
      <c r="AO1486" s="6">
        <v>0</v>
      </c>
      <c r="AP1486" s="6">
        <v>1</v>
      </c>
      <c r="AR1486" s="6">
        <v>0</v>
      </c>
      <c r="AS1486" s="6">
        <v>0</v>
      </c>
      <c r="AT1486" s="6">
        <v>0</v>
      </c>
      <c r="AU1486" s="6">
        <v>0</v>
      </c>
      <c r="AV1486" s="6">
        <v>1</v>
      </c>
      <c r="AW1486" s="6">
        <v>0</v>
      </c>
      <c r="AX1486" s="6">
        <v>0</v>
      </c>
      <c r="AY1486" s="6">
        <v>0</v>
      </c>
      <c r="AZ1486" s="6">
        <v>0</v>
      </c>
      <c r="BA1486" s="6">
        <v>0</v>
      </c>
      <c r="BB1486" s="6">
        <v>0</v>
      </c>
      <c r="BC1486" s="6">
        <v>0</v>
      </c>
      <c r="BD1486" s="6">
        <v>0</v>
      </c>
      <c r="BE1486" s="6">
        <v>0</v>
      </c>
      <c r="BF1486" s="6">
        <v>0</v>
      </c>
      <c r="BG1486" s="6">
        <v>0</v>
      </c>
      <c r="BH1486" s="6">
        <v>0</v>
      </c>
      <c r="BI1486" s="6">
        <v>0</v>
      </c>
      <c r="BJ1486" s="6">
        <v>0</v>
      </c>
      <c r="BK1486" s="6">
        <v>0</v>
      </c>
      <c r="BL1486" s="6">
        <v>0</v>
      </c>
      <c r="BM1486" s="75">
        <f>IF(Table3[[#This Row],[Type]]="EM",IF((Table3[[#This Row],[Diameter]]/2)-Table3[[#This Row],[CornerRadius]]-0.012&gt;0,(Table3[[#This Row],[Diameter]]/2)-Table3[[#This Row],[CornerRadius]]-0.012,0),)</f>
        <v>0</v>
      </c>
    </row>
    <row r="1487" spans="1:65" hidden="1" x14ac:dyDescent="0.25">
      <c r="A1487" s="6">
        <v>1</v>
      </c>
      <c r="B1487" s="6" t="s">
        <v>1565</v>
      </c>
      <c r="C1487" s="6" t="s">
        <v>1565</v>
      </c>
      <c r="H1487" s="10" t="s">
        <v>1565</v>
      </c>
      <c r="I1487" s="11" t="s">
        <v>4331</v>
      </c>
      <c r="J1487" s="30" t="s">
        <v>4332</v>
      </c>
      <c r="K1487" s="11" t="str">
        <f>CONCATENATE(Table3[[#This Row],[Type]]," "&amp;TEXT(Table3[[#This Row],[Diameter]],".0000")&amp;""," "&amp;Table3[[#This Row],[NumFlutes]]&amp;"FL")</f>
        <v>EM .3125 4FL</v>
      </c>
      <c r="M1487" s="13">
        <v>0.3125</v>
      </c>
      <c r="N1487" s="13">
        <v>0.3125</v>
      </c>
      <c r="O1487" s="6">
        <v>0.28999999999999998</v>
      </c>
      <c r="P1487" s="6">
        <v>0.98399999999999999</v>
      </c>
      <c r="Q1487" s="6">
        <v>1</v>
      </c>
      <c r="R1487" s="14">
        <f>IF(Table3[[#This Row],[ShoulderLenEnd]]="",0,90-(DEGREES(ATAN((Q1487-P1487)/((N1487-O1487)/2)))))</f>
        <v>35.112011184422194</v>
      </c>
      <c r="S1487" s="15">
        <v>1.05</v>
      </c>
      <c r="T1487" s="6">
        <v>4</v>
      </c>
      <c r="U1487" s="6">
        <v>2.5</v>
      </c>
      <c r="V1487" s="6">
        <v>0.625</v>
      </c>
      <c r="AA1487" s="13" t="str">
        <f t="shared" si="31"/>
        <v/>
      </c>
      <c r="AD1487" s="6">
        <v>0.626</v>
      </c>
      <c r="AE1487" s="6" t="s">
        <v>44</v>
      </c>
      <c r="AF1487" s="6" t="s">
        <v>123</v>
      </c>
      <c r="AG1487" s="6" t="s">
        <v>3510</v>
      </c>
      <c r="AI1487" s="6">
        <v>0</v>
      </c>
      <c r="AJ1487" s="6">
        <v>0</v>
      </c>
      <c r="AK1487" s="6">
        <v>1</v>
      </c>
      <c r="AL1487" s="6">
        <v>1</v>
      </c>
      <c r="AM1487" s="6">
        <v>0</v>
      </c>
      <c r="AN1487" s="6">
        <v>0</v>
      </c>
      <c r="AO1487" s="6">
        <v>1</v>
      </c>
      <c r="AP1487" s="6">
        <v>1</v>
      </c>
      <c r="AR1487" s="6">
        <v>0</v>
      </c>
      <c r="AS1487" s="6">
        <v>0</v>
      </c>
      <c r="AT1487" s="6">
        <v>0</v>
      </c>
      <c r="AU1487" s="6">
        <v>0</v>
      </c>
      <c r="AV1487" s="6">
        <v>1</v>
      </c>
      <c r="AW1487" s="6">
        <v>0</v>
      </c>
      <c r="AX1487" s="6">
        <v>0</v>
      </c>
      <c r="AY1487" s="6">
        <v>1</v>
      </c>
      <c r="AZ1487" s="6">
        <v>0</v>
      </c>
      <c r="BA1487" s="6">
        <v>0</v>
      </c>
      <c r="BB1487" s="6">
        <v>1</v>
      </c>
      <c r="BC1487" s="6">
        <v>0</v>
      </c>
      <c r="BD1487" s="6">
        <v>0</v>
      </c>
      <c r="BE1487" s="6">
        <v>1</v>
      </c>
      <c r="BF1487" s="6">
        <v>0</v>
      </c>
      <c r="BG1487" s="6">
        <v>0</v>
      </c>
      <c r="BH1487" s="6">
        <v>0</v>
      </c>
      <c r="BI1487" s="6">
        <v>0</v>
      </c>
      <c r="BJ1487" s="6">
        <v>0</v>
      </c>
      <c r="BK1487" s="6">
        <v>0</v>
      </c>
      <c r="BL1487" s="6">
        <v>0</v>
      </c>
      <c r="BM1487" s="75">
        <f>IF(Table3[[#This Row],[Type]]="EM",IF((Table3[[#This Row],[Diameter]]/2)-Table3[[#This Row],[CornerRadius]]-0.012&gt;0,(Table3[[#This Row],[Diameter]]/2)-Table3[[#This Row],[CornerRadius]]-0.012,0),)</f>
        <v>0.14424999999999999</v>
      </c>
    </row>
    <row r="1488" spans="1:65" hidden="1" x14ac:dyDescent="0.25">
      <c r="A1488" s="6">
        <v>1</v>
      </c>
      <c r="B1488" s="6" t="s">
        <v>1565</v>
      </c>
      <c r="C1488" s="6" t="s">
        <v>1565</v>
      </c>
      <c r="H1488" s="10" t="s">
        <v>1565</v>
      </c>
      <c r="I1488" s="11" t="s">
        <v>4333</v>
      </c>
      <c r="J1488" s="30" t="s">
        <v>4334</v>
      </c>
      <c r="K1488" s="11" t="str">
        <f>CONCATENATE(Table3[[#This Row],[Type]]," "&amp;TEXT(Table3[[#This Row],[Diameter]],".0000")&amp;""," "&amp;Table3[[#This Row],[NumFlutes]]&amp;"FL")</f>
        <v>EM .0354 4FL</v>
      </c>
      <c r="M1488" s="13">
        <v>3.5400000000000001E-2</v>
      </c>
      <c r="N1488" s="13">
        <v>0.125</v>
      </c>
      <c r="O1488" s="6">
        <v>3.4500000000000003E-2</v>
      </c>
      <c r="P1488" s="6">
        <v>5.21E-2</v>
      </c>
      <c r="Q1488" s="6">
        <v>0.26400000000000001</v>
      </c>
      <c r="R1488" s="14">
        <f>IF(Table3[[#This Row],[ShoulderLenEnd]]="",0,90-(DEGREES(ATAN((Q1488-P1488)/((N1488-O1488)/2)))))</f>
        <v>12.054126363585397</v>
      </c>
      <c r="S1488" s="15">
        <v>0.32500000000000001</v>
      </c>
      <c r="T1488" s="6">
        <v>4</v>
      </c>
      <c r="U1488" s="6">
        <v>1.5</v>
      </c>
      <c r="V1488" s="6">
        <v>5.1999999999999998E-2</v>
      </c>
      <c r="AA1488" s="13" t="str">
        <f t="shared" si="31"/>
        <v/>
      </c>
      <c r="AE1488" s="6" t="s">
        <v>44</v>
      </c>
      <c r="AF1488" s="6" t="s">
        <v>369</v>
      </c>
      <c r="AG1488" s="6" t="s">
        <v>66</v>
      </c>
      <c r="AI1488" s="6">
        <v>0</v>
      </c>
      <c r="AJ1488" s="6">
        <v>1</v>
      </c>
      <c r="AK1488" s="6">
        <v>1</v>
      </c>
      <c r="AL1488" s="6">
        <v>1</v>
      </c>
      <c r="AM1488" s="6">
        <v>0</v>
      </c>
      <c r="AN1488" s="6">
        <v>1</v>
      </c>
      <c r="AO1488" s="6">
        <v>1</v>
      </c>
      <c r="AP1488" s="6">
        <v>1</v>
      </c>
      <c r="AR1488" s="6">
        <v>0</v>
      </c>
      <c r="AS1488" s="6">
        <v>0</v>
      </c>
      <c r="AT1488" s="6">
        <v>0</v>
      </c>
      <c r="AU1488" s="6">
        <v>0</v>
      </c>
      <c r="AV1488" s="6">
        <v>1</v>
      </c>
      <c r="AW1488" s="6">
        <v>0</v>
      </c>
      <c r="AX1488" s="6">
        <v>0</v>
      </c>
      <c r="AY1488" s="6">
        <v>0</v>
      </c>
      <c r="AZ1488" s="6">
        <v>1</v>
      </c>
      <c r="BA1488" s="6">
        <v>0</v>
      </c>
      <c r="BB1488" s="6">
        <v>0</v>
      </c>
      <c r="BC1488" s="6">
        <v>0</v>
      </c>
      <c r="BD1488" s="6">
        <v>0</v>
      </c>
      <c r="BE1488" s="6">
        <v>0</v>
      </c>
      <c r="BF1488" s="6">
        <v>0</v>
      </c>
      <c r="BG1488" s="6">
        <v>0</v>
      </c>
      <c r="BH1488" s="6">
        <v>0</v>
      </c>
      <c r="BI1488" s="6">
        <v>0</v>
      </c>
      <c r="BJ1488" s="6">
        <v>0</v>
      </c>
      <c r="BK1488" s="6">
        <v>0</v>
      </c>
      <c r="BL1488" s="6">
        <v>0</v>
      </c>
      <c r="BM1488" s="75">
        <f>IF(Table3[[#This Row],[Type]]="EM",IF((Table3[[#This Row],[Diameter]]/2)-Table3[[#This Row],[CornerRadius]]-0.012&gt;0,(Table3[[#This Row],[Diameter]]/2)-Table3[[#This Row],[CornerRadius]]-0.012,0),)</f>
        <v>5.7000000000000002E-3</v>
      </c>
    </row>
    <row r="1489" spans="1:65" hidden="1" x14ac:dyDescent="0.25">
      <c r="A1489" s="73">
        <v>1</v>
      </c>
      <c r="B1489" s="73" t="s">
        <v>149</v>
      </c>
      <c r="C1489" s="73"/>
      <c r="D1489" s="73" t="s">
        <v>149</v>
      </c>
      <c r="E1489" s="73"/>
      <c r="F1489" s="88"/>
      <c r="G1489" s="89"/>
      <c r="H1489" s="88" t="s">
        <v>150</v>
      </c>
      <c r="I1489" s="90" t="s">
        <v>4335</v>
      </c>
      <c r="J1489" s="91" t="s">
        <v>4336</v>
      </c>
      <c r="K1489" s="11" t="str">
        <f>CONCATENATE(Table3[[#This Row],[Type]]," "&amp;TEXT(Table3[[#This Row],[Diameter]],".0000")&amp;""," "&amp;Table3[[#This Row],[NumFlutes]]&amp;"FL")</f>
        <v>CD .0157 2FL</v>
      </c>
      <c r="M1489" s="92">
        <v>1.5699999999999999E-2</v>
      </c>
      <c r="N1489" s="92">
        <v>0.125</v>
      </c>
      <c r="O1489" s="73">
        <v>1.5699999999999999E-2</v>
      </c>
      <c r="P1489" s="73">
        <v>5.8000000000000003E-2</v>
      </c>
      <c r="Q1489" s="73">
        <v>0.25800000000000001</v>
      </c>
      <c r="R1489" s="14">
        <f>IF(Table3[[#This Row],[ShoulderLenEnd]]="",0,90-(DEGREES(ATAN((Q1489-P1489)/((N1489-O1489)/2)))))</f>
        <v>15.282991602756269</v>
      </c>
      <c r="S1489" s="93">
        <v>0.27</v>
      </c>
      <c r="T1489" s="73">
        <v>2</v>
      </c>
      <c r="U1489" s="73">
        <v>1.5</v>
      </c>
      <c r="V1489" s="73">
        <v>3.1E-2</v>
      </c>
      <c r="Z1489" s="73">
        <v>120</v>
      </c>
      <c r="AA1489" s="13">
        <f t="shared" si="31"/>
        <v>4.5321996131385631E-3</v>
      </c>
      <c r="AE1489" s="73" t="s">
        <v>44</v>
      </c>
      <c r="AF1489" s="73" t="s">
        <v>369</v>
      </c>
      <c r="AG1489" s="73" t="s">
        <v>4337</v>
      </c>
      <c r="AH1489" s="73" t="s">
        <v>153</v>
      </c>
      <c r="AI1489" s="6">
        <v>0</v>
      </c>
      <c r="AJ1489" s="73">
        <v>1</v>
      </c>
      <c r="AK1489" s="73">
        <v>0</v>
      </c>
      <c r="AL1489" s="73">
        <v>1</v>
      </c>
      <c r="AM1489" s="73">
        <v>1</v>
      </c>
      <c r="AN1489" s="73">
        <v>1</v>
      </c>
      <c r="AO1489" s="73">
        <v>1</v>
      </c>
      <c r="AP1489" s="73">
        <v>1</v>
      </c>
      <c r="AQ1489" s="73"/>
      <c r="AR1489" s="73">
        <v>0</v>
      </c>
      <c r="AS1489" s="73">
        <v>0</v>
      </c>
      <c r="AT1489" s="73">
        <v>0</v>
      </c>
      <c r="AU1489" s="73">
        <v>0</v>
      </c>
      <c r="AV1489" s="73">
        <v>0</v>
      </c>
      <c r="AW1489" s="73">
        <v>0</v>
      </c>
      <c r="AX1489" s="73">
        <v>0</v>
      </c>
      <c r="AY1489" s="73">
        <v>0</v>
      </c>
      <c r="AZ1489" s="73">
        <v>1</v>
      </c>
      <c r="BA1489" s="73">
        <v>0</v>
      </c>
      <c r="BB1489" s="73">
        <v>0</v>
      </c>
      <c r="BC1489" s="73">
        <v>0</v>
      </c>
      <c r="BD1489" s="73">
        <v>0</v>
      </c>
      <c r="BE1489" s="73">
        <v>0</v>
      </c>
      <c r="BF1489" s="73">
        <v>0</v>
      </c>
      <c r="BG1489" s="73">
        <v>0</v>
      </c>
      <c r="BH1489" s="73">
        <v>0</v>
      </c>
      <c r="BI1489" s="73">
        <v>0</v>
      </c>
      <c r="BJ1489" s="6">
        <v>0</v>
      </c>
      <c r="BK1489" s="6">
        <v>0</v>
      </c>
      <c r="BL1489" s="6">
        <v>0</v>
      </c>
      <c r="BM1489" s="75">
        <f>IF(Table3[[#This Row],[Type]]="EM",IF((Table3[[#This Row],[Diameter]]/2)-Table3[[#This Row],[CornerRadius]]-0.012&gt;0,(Table3[[#This Row],[Diameter]]/2)-Table3[[#This Row],[CornerRadius]]-0.012,0),)</f>
        <v>0</v>
      </c>
    </row>
    <row r="1490" spans="1:65" hidden="1" x14ac:dyDescent="0.25">
      <c r="A1490" s="73">
        <v>1</v>
      </c>
      <c r="B1490" s="73" t="s">
        <v>149</v>
      </c>
      <c r="C1490" s="73"/>
      <c r="D1490" s="73" t="s">
        <v>149</v>
      </c>
      <c r="E1490" s="73"/>
      <c r="F1490" s="88"/>
      <c r="G1490" s="89"/>
      <c r="H1490" s="88" t="s">
        <v>150</v>
      </c>
      <c r="I1490" s="90" t="s">
        <v>4338</v>
      </c>
      <c r="J1490" s="91" t="s">
        <v>4339</v>
      </c>
      <c r="K1490" s="11" t="str">
        <f>CONCATENATE(Table3[[#This Row],[Type]]," "&amp;TEXT(Table3[[#This Row],[Diameter]],".0000")&amp;""," "&amp;Table3[[#This Row],[NumFlutes]]&amp;"FL")</f>
        <v>CD .0059 2FL</v>
      </c>
      <c r="M1490" s="92">
        <v>5.8999999999999999E-3</v>
      </c>
      <c r="N1490" s="92">
        <v>0.125</v>
      </c>
      <c r="O1490" s="73">
        <v>5.8999999999999999E-3</v>
      </c>
      <c r="P1490" s="73">
        <v>2.1999999999999999E-2</v>
      </c>
      <c r="Q1490" s="73">
        <v>0.248</v>
      </c>
      <c r="R1490" s="14">
        <f>IF(Table3[[#This Row],[ShoulderLenEnd]]="",0,90-(DEGREES(ATAN((Q1490-P1490)/((N1490-O1490)/2)))))</f>
        <v>14.761655911558108</v>
      </c>
      <c r="S1490" s="93">
        <v>0.26</v>
      </c>
      <c r="T1490" s="73">
        <v>2</v>
      </c>
      <c r="U1490" s="73">
        <v>1.5</v>
      </c>
      <c r="V1490" s="73">
        <v>1.2E-2</v>
      </c>
      <c r="Z1490" s="73">
        <v>120</v>
      </c>
      <c r="AA1490" s="13">
        <f t="shared" si="31"/>
        <v>1.7031832941093966E-3</v>
      </c>
      <c r="AE1490" s="73" t="s">
        <v>44</v>
      </c>
      <c r="AF1490" s="73" t="s">
        <v>369</v>
      </c>
      <c r="AG1490" s="73" t="s">
        <v>4337</v>
      </c>
      <c r="AH1490" s="73" t="s">
        <v>153</v>
      </c>
      <c r="AI1490" s="6">
        <v>0</v>
      </c>
      <c r="AJ1490" s="73">
        <v>1</v>
      </c>
      <c r="AK1490" s="73">
        <v>0</v>
      </c>
      <c r="AL1490" s="73">
        <v>1</v>
      </c>
      <c r="AM1490" s="73">
        <v>1</v>
      </c>
      <c r="AN1490" s="73">
        <v>1</v>
      </c>
      <c r="AO1490" s="73">
        <v>1</v>
      </c>
      <c r="AP1490" s="73">
        <v>1</v>
      </c>
      <c r="AQ1490" s="73"/>
      <c r="AR1490" s="73">
        <v>0</v>
      </c>
      <c r="AS1490" s="73">
        <v>0</v>
      </c>
      <c r="AT1490" s="73">
        <v>0</v>
      </c>
      <c r="AU1490" s="73">
        <v>0</v>
      </c>
      <c r="AV1490" s="73">
        <v>0</v>
      </c>
      <c r="AW1490" s="73">
        <v>0</v>
      </c>
      <c r="AX1490" s="73">
        <v>0</v>
      </c>
      <c r="AY1490" s="73">
        <v>0</v>
      </c>
      <c r="AZ1490" s="73">
        <v>1</v>
      </c>
      <c r="BA1490" s="73">
        <v>0</v>
      </c>
      <c r="BB1490" s="73">
        <v>0</v>
      </c>
      <c r="BC1490" s="73">
        <v>0</v>
      </c>
      <c r="BD1490" s="73">
        <v>0</v>
      </c>
      <c r="BE1490" s="73">
        <v>0</v>
      </c>
      <c r="BF1490" s="73">
        <v>0</v>
      </c>
      <c r="BG1490" s="73">
        <v>0</v>
      </c>
      <c r="BH1490" s="73">
        <v>0</v>
      </c>
      <c r="BI1490" s="73">
        <v>0</v>
      </c>
      <c r="BJ1490" s="6">
        <v>0</v>
      </c>
      <c r="BK1490" s="6">
        <v>0</v>
      </c>
      <c r="BL1490" s="6">
        <v>0</v>
      </c>
      <c r="BM1490" s="75">
        <f>IF(Table3[[#This Row],[Type]]="EM",IF((Table3[[#This Row],[Diameter]]/2)-Table3[[#This Row],[CornerRadius]]-0.012&gt;0,(Table3[[#This Row],[Diameter]]/2)-Table3[[#This Row],[CornerRadius]]-0.012,0),)</f>
        <v>0</v>
      </c>
    </row>
    <row r="1491" spans="1:65" hidden="1" x14ac:dyDescent="0.25">
      <c r="A1491" s="73">
        <v>1</v>
      </c>
      <c r="B1491" s="73" t="s">
        <v>149</v>
      </c>
      <c r="C1491" s="73"/>
      <c r="D1491" s="73" t="s">
        <v>149</v>
      </c>
      <c r="E1491" s="73"/>
      <c r="F1491" s="88"/>
      <c r="G1491" s="89"/>
      <c r="H1491" s="88" t="s">
        <v>150</v>
      </c>
      <c r="I1491" s="90" t="s">
        <v>4340</v>
      </c>
      <c r="J1491" s="91" t="s">
        <v>4341</v>
      </c>
      <c r="K1491" s="11" t="str">
        <f>CONCATENATE(Table3[[#This Row],[Type]]," "&amp;TEXT(Table3[[#This Row],[Diameter]],".0000")&amp;""," "&amp;Table3[[#This Row],[NumFlutes]]&amp;"FL")</f>
        <v>CD .0177 2FL</v>
      </c>
      <c r="M1491" s="92">
        <v>1.77E-2</v>
      </c>
      <c r="N1491" s="92">
        <v>0.125</v>
      </c>
      <c r="O1491" s="73">
        <v>1.77E-2</v>
      </c>
      <c r="P1491" s="73">
        <v>5.8000000000000003E-2</v>
      </c>
      <c r="Q1491" s="73">
        <v>0.26100000000000001</v>
      </c>
      <c r="R1491" s="14">
        <f>IF(Table3[[#This Row],[ShoulderLenEnd]]="",0,90-(DEGREES(ATAN((Q1491-P1491)/((N1491-O1491)/2)))))</f>
        <v>14.803980156270498</v>
      </c>
      <c r="S1491" s="93">
        <v>0.27500000000000002</v>
      </c>
      <c r="T1491" s="73">
        <v>2</v>
      </c>
      <c r="U1491" s="73">
        <v>1.5</v>
      </c>
      <c r="V1491" s="73">
        <v>3.5000000000000003E-2</v>
      </c>
      <c r="Z1491" s="73">
        <v>120</v>
      </c>
      <c r="AA1491" s="13">
        <f t="shared" si="31"/>
        <v>5.1095498823281894E-3</v>
      </c>
      <c r="AE1491" s="73" t="s">
        <v>44</v>
      </c>
      <c r="AF1491" s="73" t="s">
        <v>369</v>
      </c>
      <c r="AG1491" s="73" t="s">
        <v>4337</v>
      </c>
      <c r="AH1491" s="73" t="s">
        <v>153</v>
      </c>
      <c r="AI1491" s="6">
        <v>0</v>
      </c>
      <c r="AJ1491" s="73">
        <v>1</v>
      </c>
      <c r="AK1491" s="73">
        <v>0</v>
      </c>
      <c r="AL1491" s="73">
        <v>1</v>
      </c>
      <c r="AM1491" s="73">
        <v>1</v>
      </c>
      <c r="AN1491" s="73">
        <v>1</v>
      </c>
      <c r="AO1491" s="73">
        <v>1</v>
      </c>
      <c r="AP1491" s="73">
        <v>1</v>
      </c>
      <c r="AQ1491" s="73"/>
      <c r="AR1491" s="73">
        <v>0</v>
      </c>
      <c r="AS1491" s="73">
        <v>0</v>
      </c>
      <c r="AT1491" s="73">
        <v>0</v>
      </c>
      <c r="AU1491" s="73">
        <v>0</v>
      </c>
      <c r="AV1491" s="73">
        <v>0</v>
      </c>
      <c r="AW1491" s="73">
        <v>0</v>
      </c>
      <c r="AX1491" s="73">
        <v>0</v>
      </c>
      <c r="AY1491" s="73">
        <v>0</v>
      </c>
      <c r="AZ1491" s="73">
        <v>1</v>
      </c>
      <c r="BA1491" s="73">
        <v>0</v>
      </c>
      <c r="BB1491" s="73">
        <v>0</v>
      </c>
      <c r="BC1491" s="73">
        <v>0</v>
      </c>
      <c r="BD1491" s="73">
        <v>0</v>
      </c>
      <c r="BE1491" s="73">
        <v>0</v>
      </c>
      <c r="BF1491" s="73">
        <v>0</v>
      </c>
      <c r="BG1491" s="73">
        <v>0</v>
      </c>
      <c r="BH1491" s="73">
        <v>0</v>
      </c>
      <c r="BI1491" s="73">
        <v>0</v>
      </c>
      <c r="BJ1491" s="6">
        <v>0</v>
      </c>
      <c r="BK1491" s="6">
        <v>0</v>
      </c>
      <c r="BL1491" s="6">
        <v>0</v>
      </c>
      <c r="BM1491" s="75">
        <f>IF(Table3[[#This Row],[Type]]="EM",IF((Table3[[#This Row],[Diameter]]/2)-Table3[[#This Row],[CornerRadius]]-0.012&gt;0,(Table3[[#This Row],[Diameter]]/2)-Table3[[#This Row],[CornerRadius]]-0.012,0),)</f>
        <v>0</v>
      </c>
    </row>
    <row r="1492" spans="1:65" hidden="1" x14ac:dyDescent="0.25">
      <c r="A1492" s="73">
        <v>1</v>
      </c>
      <c r="B1492" s="73" t="s">
        <v>149</v>
      </c>
      <c r="C1492" s="73"/>
      <c r="D1492" s="73" t="s">
        <v>149</v>
      </c>
      <c r="E1492" s="73"/>
      <c r="F1492" s="88"/>
      <c r="G1492" s="89"/>
      <c r="H1492" s="88" t="s">
        <v>150</v>
      </c>
      <c r="I1492" s="90" t="s">
        <v>4342</v>
      </c>
      <c r="J1492" s="91" t="s">
        <v>4343</v>
      </c>
      <c r="K1492" s="11" t="str">
        <f>CONCATENATE(Table3[[#This Row],[Type]]," "&amp;TEXT(Table3[[#This Row],[Diameter]],".0000")&amp;""," "&amp;Table3[[#This Row],[NumFlutes]]&amp;"FL")</f>
        <v>CD .0059 2FL</v>
      </c>
      <c r="M1492" s="92">
        <v>5.8999999999999999E-3</v>
      </c>
      <c r="N1492" s="92">
        <v>0.125</v>
      </c>
      <c r="O1492" s="73">
        <v>5.8999999999999999E-3</v>
      </c>
      <c r="P1492" s="73">
        <v>7.3999999999999996E-2</v>
      </c>
      <c r="Q1492" s="73">
        <v>0.52500000000000002</v>
      </c>
      <c r="R1492" s="14">
        <f>IF(Table3[[#This Row],[ShoulderLenEnd]]="",0,90-(DEGREES(ATAN((Q1492-P1492)/((N1492-O1492)/2)))))</f>
        <v>7.5218179010996948</v>
      </c>
      <c r="S1492" s="93">
        <v>0.55000000000000004</v>
      </c>
      <c r="T1492" s="73">
        <v>2</v>
      </c>
      <c r="U1492" s="73">
        <v>1.5</v>
      </c>
      <c r="V1492" s="73">
        <v>7.0999999999999994E-2</v>
      </c>
      <c r="Z1492" s="73">
        <v>120</v>
      </c>
      <c r="AA1492" s="13">
        <f t="shared" si="31"/>
        <v>1.7031832941093966E-3</v>
      </c>
      <c r="AE1492" s="73" t="s">
        <v>44</v>
      </c>
      <c r="AF1492" s="73" t="s">
        <v>369</v>
      </c>
      <c r="AG1492" s="73" t="s">
        <v>4337</v>
      </c>
      <c r="AH1492" s="73" t="s">
        <v>153</v>
      </c>
      <c r="AI1492" s="6">
        <v>0</v>
      </c>
      <c r="AJ1492" s="73">
        <v>1</v>
      </c>
      <c r="AK1492" s="73">
        <v>0</v>
      </c>
      <c r="AL1492" s="73">
        <v>1</v>
      </c>
      <c r="AM1492" s="73">
        <v>1</v>
      </c>
      <c r="AN1492" s="73">
        <v>1</v>
      </c>
      <c r="AO1492" s="73">
        <v>1</v>
      </c>
      <c r="AP1492" s="73">
        <v>1</v>
      </c>
      <c r="AQ1492" s="73" t="s">
        <v>4344</v>
      </c>
      <c r="AR1492" s="73">
        <v>0</v>
      </c>
      <c r="AS1492" s="73">
        <v>0</v>
      </c>
      <c r="AT1492" s="73">
        <v>0</v>
      </c>
      <c r="AU1492" s="73">
        <v>0</v>
      </c>
      <c r="AV1492" s="73">
        <v>0</v>
      </c>
      <c r="AW1492" s="73">
        <v>0</v>
      </c>
      <c r="AX1492" s="73">
        <v>0</v>
      </c>
      <c r="AY1492" s="73">
        <v>0</v>
      </c>
      <c r="AZ1492" s="73">
        <v>1</v>
      </c>
      <c r="BA1492" s="73">
        <v>0</v>
      </c>
      <c r="BB1492" s="73">
        <v>0</v>
      </c>
      <c r="BC1492" s="73">
        <v>0</v>
      </c>
      <c r="BD1492" s="73">
        <v>0</v>
      </c>
      <c r="BE1492" s="73">
        <v>0</v>
      </c>
      <c r="BF1492" s="73">
        <v>0</v>
      </c>
      <c r="BG1492" s="73">
        <v>0</v>
      </c>
      <c r="BH1492" s="73">
        <v>0</v>
      </c>
      <c r="BI1492" s="73">
        <v>0</v>
      </c>
      <c r="BJ1492" s="6">
        <v>0</v>
      </c>
      <c r="BK1492" s="6">
        <v>0</v>
      </c>
      <c r="BL1492" s="6">
        <v>0</v>
      </c>
      <c r="BM1492" s="75">
        <f>IF(Table3[[#This Row],[Type]]="EM",IF((Table3[[#This Row],[Diameter]]/2)-Table3[[#This Row],[CornerRadius]]-0.012&gt;0,(Table3[[#This Row],[Diameter]]/2)-Table3[[#This Row],[CornerRadius]]-0.012,0),)</f>
        <v>0</v>
      </c>
    </row>
    <row r="1493" spans="1:65" hidden="1" x14ac:dyDescent="0.25">
      <c r="A1493" s="73">
        <v>1</v>
      </c>
      <c r="B1493" s="73" t="s">
        <v>149</v>
      </c>
      <c r="C1493" s="73"/>
      <c r="D1493" s="73" t="s">
        <v>149</v>
      </c>
      <c r="E1493" s="73"/>
      <c r="F1493" s="88"/>
      <c r="G1493" s="89"/>
      <c r="H1493" s="88" t="s">
        <v>150</v>
      </c>
      <c r="I1493" s="90" t="s">
        <v>4345</v>
      </c>
      <c r="J1493" s="91" t="s">
        <v>4346</v>
      </c>
      <c r="K1493" s="11" t="str">
        <f>CONCATENATE(Table3[[#This Row],[Type]]," "&amp;TEXT(Table3[[#This Row],[Diameter]],".0000")&amp;""," "&amp;Table3[[#This Row],[NumFlutes]]&amp;"FL")</f>
        <v>CD .0146 2FL</v>
      </c>
      <c r="M1493" s="92">
        <v>1.46E-2</v>
      </c>
      <c r="N1493" s="92">
        <v>0.125</v>
      </c>
      <c r="O1493" s="73">
        <v>1.46E-2</v>
      </c>
      <c r="P1493" s="73">
        <v>0.115</v>
      </c>
      <c r="Q1493" s="73">
        <v>0.32</v>
      </c>
      <c r="R1493" s="14">
        <f>IF(Table3[[#This Row],[ShoulderLenEnd]]="",0,90-(DEGREES(ATAN((Q1493-P1493)/((N1493-O1493)/2)))))</f>
        <v>15.070492770068441</v>
      </c>
      <c r="S1493" s="93">
        <v>0.33</v>
      </c>
      <c r="T1493" s="73">
        <v>2</v>
      </c>
      <c r="U1493" s="73">
        <v>1.5</v>
      </c>
      <c r="V1493" s="73">
        <v>8.6999999999999994E-2</v>
      </c>
      <c r="Z1493" s="73">
        <v>120</v>
      </c>
      <c r="AA1493" s="13">
        <f t="shared" si="31"/>
        <v>4.2146569650842692E-3</v>
      </c>
      <c r="AE1493" s="73" t="s">
        <v>44</v>
      </c>
      <c r="AF1493" s="73" t="s">
        <v>369</v>
      </c>
      <c r="AG1493" s="73" t="s">
        <v>4337</v>
      </c>
      <c r="AH1493" s="73" t="s">
        <v>153</v>
      </c>
      <c r="AI1493" s="6">
        <v>0</v>
      </c>
      <c r="AJ1493" s="73">
        <v>1</v>
      </c>
      <c r="AK1493" s="73">
        <v>0</v>
      </c>
      <c r="AL1493" s="73">
        <v>1</v>
      </c>
      <c r="AM1493" s="73">
        <v>1</v>
      </c>
      <c r="AN1493" s="73">
        <v>1</v>
      </c>
      <c r="AO1493" s="73">
        <v>1</v>
      </c>
      <c r="AP1493" s="73">
        <v>1</v>
      </c>
      <c r="AQ1493" s="73"/>
      <c r="AR1493" s="73">
        <v>0</v>
      </c>
      <c r="AS1493" s="73">
        <v>0</v>
      </c>
      <c r="AT1493" s="73">
        <v>0</v>
      </c>
      <c r="AU1493" s="73">
        <v>0</v>
      </c>
      <c r="AV1493" s="73">
        <v>0</v>
      </c>
      <c r="AW1493" s="73">
        <v>0</v>
      </c>
      <c r="AX1493" s="73">
        <v>0</v>
      </c>
      <c r="AY1493" s="73">
        <v>0</v>
      </c>
      <c r="AZ1493" s="73">
        <v>1</v>
      </c>
      <c r="BA1493" s="73">
        <v>0</v>
      </c>
      <c r="BB1493" s="73">
        <v>0</v>
      </c>
      <c r="BC1493" s="73">
        <v>0</v>
      </c>
      <c r="BD1493" s="73">
        <v>0</v>
      </c>
      <c r="BE1493" s="73">
        <v>0</v>
      </c>
      <c r="BF1493" s="73">
        <v>0</v>
      </c>
      <c r="BG1493" s="73">
        <v>0</v>
      </c>
      <c r="BH1493" s="73">
        <v>0</v>
      </c>
      <c r="BI1493" s="73">
        <v>0</v>
      </c>
      <c r="BJ1493" s="6">
        <v>0</v>
      </c>
      <c r="BK1493" s="6">
        <v>0</v>
      </c>
      <c r="BL1493" s="6">
        <v>0</v>
      </c>
      <c r="BM1493" s="75">
        <f>IF(Table3[[#This Row],[Type]]="EM",IF((Table3[[#This Row],[Diameter]]/2)-Table3[[#This Row],[CornerRadius]]-0.012&gt;0,(Table3[[#This Row],[Diameter]]/2)-Table3[[#This Row],[CornerRadius]]-0.012,0),)</f>
        <v>0</v>
      </c>
    </row>
    <row r="1494" spans="1:65" hidden="1" x14ac:dyDescent="0.25">
      <c r="A1494" s="73">
        <v>1</v>
      </c>
      <c r="B1494" s="73" t="s">
        <v>149</v>
      </c>
      <c r="C1494" s="73"/>
      <c r="D1494" s="73" t="s">
        <v>149</v>
      </c>
      <c r="E1494" s="73"/>
      <c r="F1494" s="88"/>
      <c r="G1494" s="89"/>
      <c r="H1494" s="88" t="s">
        <v>150</v>
      </c>
      <c r="I1494" s="90" t="s">
        <v>4347</v>
      </c>
      <c r="J1494" s="91" t="s">
        <v>4348</v>
      </c>
      <c r="K1494" s="11" t="str">
        <f>CONCATENATE(Table3[[#This Row],[Type]]," "&amp;TEXT(Table3[[#This Row],[Diameter]],".0000")&amp;""," "&amp;Table3[[#This Row],[NumFlutes]]&amp;"FL")</f>
        <v>CD .0083 2FL</v>
      </c>
      <c r="M1494" s="92">
        <v>8.3000000000000001E-3</v>
      </c>
      <c r="N1494" s="92">
        <v>0.125</v>
      </c>
      <c r="O1494" s="73">
        <v>8.3000000000000001E-3</v>
      </c>
      <c r="P1494" s="73">
        <v>0.10299999999999999</v>
      </c>
      <c r="Q1494" s="73">
        <v>0.52500000000000002</v>
      </c>
      <c r="R1494" s="14">
        <f>IF(Table3[[#This Row],[ShoulderLenEnd]]="",0,90-(DEGREES(ATAN((Q1494-P1494)/((N1494-O1494)/2)))))</f>
        <v>7.8723791226722</v>
      </c>
      <c r="S1494" s="93">
        <v>0.55000000000000004</v>
      </c>
      <c r="T1494" s="73">
        <v>2</v>
      </c>
      <c r="U1494" s="73">
        <v>1.5</v>
      </c>
      <c r="V1494" s="73">
        <v>9.8000000000000004E-2</v>
      </c>
      <c r="Z1494" s="73">
        <v>120</v>
      </c>
      <c r="AA1494" s="13">
        <f t="shared" si="31"/>
        <v>2.3960036171369477E-3</v>
      </c>
      <c r="AE1494" s="73" t="s">
        <v>44</v>
      </c>
      <c r="AF1494" s="73" t="s">
        <v>369</v>
      </c>
      <c r="AG1494" s="73" t="s">
        <v>4337</v>
      </c>
      <c r="AH1494" s="73" t="s">
        <v>153</v>
      </c>
      <c r="AI1494" s="6">
        <v>0</v>
      </c>
      <c r="AJ1494" s="73">
        <v>1</v>
      </c>
      <c r="AK1494" s="73">
        <v>0</v>
      </c>
      <c r="AL1494" s="73">
        <v>1</v>
      </c>
      <c r="AM1494" s="73">
        <v>1</v>
      </c>
      <c r="AN1494" s="73">
        <v>1</v>
      </c>
      <c r="AO1494" s="73">
        <v>1</v>
      </c>
      <c r="AP1494" s="73">
        <v>1</v>
      </c>
      <c r="AQ1494" s="73" t="s">
        <v>4349</v>
      </c>
      <c r="AR1494" s="73">
        <v>0</v>
      </c>
      <c r="AS1494" s="73">
        <v>0</v>
      </c>
      <c r="AT1494" s="73">
        <v>0</v>
      </c>
      <c r="AU1494" s="73">
        <v>0</v>
      </c>
      <c r="AV1494" s="73">
        <v>0</v>
      </c>
      <c r="AW1494" s="73">
        <v>0</v>
      </c>
      <c r="AX1494" s="73">
        <v>0</v>
      </c>
      <c r="AY1494" s="73">
        <v>0</v>
      </c>
      <c r="AZ1494" s="73">
        <v>1</v>
      </c>
      <c r="BA1494" s="73">
        <v>0</v>
      </c>
      <c r="BB1494" s="73">
        <v>0</v>
      </c>
      <c r="BC1494" s="73">
        <v>0</v>
      </c>
      <c r="BD1494" s="73">
        <v>0</v>
      </c>
      <c r="BE1494" s="73">
        <v>0</v>
      </c>
      <c r="BF1494" s="73">
        <v>0</v>
      </c>
      <c r="BG1494" s="73">
        <v>0</v>
      </c>
      <c r="BH1494" s="73">
        <v>0</v>
      </c>
      <c r="BI1494" s="73">
        <v>0</v>
      </c>
      <c r="BJ1494" s="6">
        <v>0</v>
      </c>
      <c r="BK1494" s="6">
        <v>0</v>
      </c>
      <c r="BL1494" s="6">
        <v>0</v>
      </c>
      <c r="BM1494" s="75">
        <f>IF(Table3[[#This Row],[Type]]="EM",IF((Table3[[#This Row],[Diameter]]/2)-Table3[[#This Row],[CornerRadius]]-0.012&gt;0,(Table3[[#This Row],[Diameter]]/2)-Table3[[#This Row],[CornerRadius]]-0.012,0),)</f>
        <v>0</v>
      </c>
    </row>
    <row r="1495" spans="1:65" hidden="1" x14ac:dyDescent="0.25">
      <c r="A1495" s="73">
        <v>1</v>
      </c>
      <c r="B1495" s="73" t="s">
        <v>2193</v>
      </c>
      <c r="C1495" s="73"/>
      <c r="D1495" s="73" t="s">
        <v>2193</v>
      </c>
      <c r="E1495" s="73"/>
      <c r="F1495" s="88"/>
      <c r="G1495" s="89"/>
      <c r="H1495" s="88" t="s">
        <v>2193</v>
      </c>
      <c r="I1495" s="90" t="s">
        <v>4350</v>
      </c>
      <c r="J1495" s="91" t="s">
        <v>4351</v>
      </c>
      <c r="K1495" s="11" t="str">
        <f>CONCATENATE(Table3[[#This Row],[Type]]," "&amp;TEXT(Table3[[#This Row],[Diameter]],".0000")&amp;""," "&amp;Table3[[#This Row],[NumFlutes]]&amp;"FL")</f>
        <v>SD .0394 1FL</v>
      </c>
      <c r="M1495" s="92">
        <v>3.9399999999999998E-2</v>
      </c>
      <c r="N1495" s="92">
        <v>0.125</v>
      </c>
      <c r="O1495" s="73">
        <v>3.9399999999999998E-2</v>
      </c>
      <c r="P1495" s="73">
        <v>0.13</v>
      </c>
      <c r="Q1495" s="73">
        <v>0.29199999999999998</v>
      </c>
      <c r="R1495" s="14">
        <f>IF(Table3[[#This Row],[ShoulderLenEnd]]="",0,90-(DEGREES(ATAN((Q1495-P1495)/((N1495-O1495)/2)))))</f>
        <v>14.799257379816609</v>
      </c>
      <c r="S1495" s="93">
        <v>0.31</v>
      </c>
      <c r="T1495" s="73">
        <v>1</v>
      </c>
      <c r="U1495" s="73">
        <v>1.5</v>
      </c>
      <c r="V1495" s="73">
        <v>0.11799999999999999</v>
      </c>
      <c r="Z1495" s="73">
        <v>53.13</v>
      </c>
      <c r="AA1495" s="13">
        <f t="shared" si="31"/>
        <v>3.9400087981195646E-2</v>
      </c>
      <c r="AE1495" s="73" t="s">
        <v>44</v>
      </c>
      <c r="AF1495" s="73" t="s">
        <v>369</v>
      </c>
      <c r="AG1495" s="73" t="s">
        <v>4337</v>
      </c>
      <c r="AH1495" s="73" t="s">
        <v>3140</v>
      </c>
      <c r="AI1495" s="6">
        <v>0</v>
      </c>
      <c r="AJ1495" s="73">
        <v>1</v>
      </c>
      <c r="AK1495" s="73">
        <v>0</v>
      </c>
      <c r="AL1495" s="73">
        <v>1</v>
      </c>
      <c r="AM1495" s="73">
        <v>1</v>
      </c>
      <c r="AN1495" s="73">
        <v>1</v>
      </c>
      <c r="AO1495" s="73">
        <v>1</v>
      </c>
      <c r="AP1495" s="73">
        <v>1</v>
      </c>
      <c r="AQ1495" s="73"/>
      <c r="AR1495" s="73">
        <v>0</v>
      </c>
      <c r="AS1495" s="73">
        <v>0</v>
      </c>
      <c r="AT1495" s="73">
        <v>0</v>
      </c>
      <c r="AU1495" s="73">
        <v>0</v>
      </c>
      <c r="AV1495" s="73">
        <v>0</v>
      </c>
      <c r="AW1495" s="73">
        <v>0</v>
      </c>
      <c r="AX1495" s="73">
        <v>0</v>
      </c>
      <c r="AY1495" s="73">
        <v>0</v>
      </c>
      <c r="AZ1495" s="73">
        <v>1</v>
      </c>
      <c r="BA1495" s="73">
        <v>0</v>
      </c>
      <c r="BB1495" s="73">
        <v>0</v>
      </c>
      <c r="BC1495" s="73">
        <v>0</v>
      </c>
      <c r="BD1495" s="73">
        <v>0</v>
      </c>
      <c r="BE1495" s="73">
        <v>0</v>
      </c>
      <c r="BF1495" s="73">
        <v>0</v>
      </c>
      <c r="BG1495" s="73">
        <v>0</v>
      </c>
      <c r="BH1495" s="73">
        <v>0</v>
      </c>
      <c r="BI1495" s="73">
        <v>0</v>
      </c>
      <c r="BJ1495" s="6">
        <v>0</v>
      </c>
      <c r="BK1495" s="6">
        <v>0</v>
      </c>
      <c r="BL1495" s="6">
        <v>0</v>
      </c>
      <c r="BM1495" s="75">
        <f>IF(Table3[[#This Row],[Type]]="EM",IF((Table3[[#This Row],[Diameter]]/2)-Table3[[#This Row],[CornerRadius]]-0.012&gt;0,(Table3[[#This Row],[Diameter]]/2)-Table3[[#This Row],[CornerRadius]]-0.012,0),)</f>
        <v>0</v>
      </c>
    </row>
    <row r="1496" spans="1:65" hidden="1" x14ac:dyDescent="0.25">
      <c r="A1496" s="73">
        <v>1</v>
      </c>
      <c r="B1496" s="73" t="s">
        <v>149</v>
      </c>
      <c r="C1496" s="73"/>
      <c r="D1496" s="73" t="s">
        <v>149</v>
      </c>
      <c r="E1496" s="73"/>
      <c r="F1496" s="88"/>
      <c r="G1496" s="89"/>
      <c r="H1496" s="88" t="s">
        <v>150</v>
      </c>
      <c r="I1496" s="90" t="s">
        <v>4352</v>
      </c>
      <c r="J1496" s="91" t="s">
        <v>4353</v>
      </c>
      <c r="K1496" s="11" t="str">
        <f>CONCATENATE(Table3[[#This Row],[Type]]," "&amp;TEXT(Table3[[#This Row],[Diameter]],".0000")&amp;""," "&amp;Table3[[#This Row],[NumFlutes]]&amp;"FL")</f>
        <v>CD .0106 2FL</v>
      </c>
      <c r="M1496" s="92">
        <v>1.06E-2</v>
      </c>
      <c r="N1496" s="92">
        <v>0.125</v>
      </c>
      <c r="O1496" s="73">
        <v>1.06E-2</v>
      </c>
      <c r="P1496" s="73">
        <v>0.129</v>
      </c>
      <c r="Q1496" s="73">
        <v>0.52500000000000002</v>
      </c>
      <c r="R1496" s="14">
        <f>IF(Table3[[#This Row],[ShoulderLenEnd]]="",0,90-(DEGREES(ATAN((Q1496-P1496)/((N1496-O1496)/2)))))</f>
        <v>8.2192092488990482</v>
      </c>
      <c r="S1496" s="93">
        <v>0.55000000000000004</v>
      </c>
      <c r="T1496" s="73">
        <v>2</v>
      </c>
      <c r="U1496" s="73">
        <v>1.5</v>
      </c>
      <c r="V1496" s="73">
        <v>0.126</v>
      </c>
      <c r="Z1496" s="73">
        <v>120</v>
      </c>
      <c r="AA1496" s="13">
        <f t="shared" si="31"/>
        <v>3.0599564267050176E-3</v>
      </c>
      <c r="AE1496" s="73" t="s">
        <v>44</v>
      </c>
      <c r="AF1496" s="73" t="s">
        <v>369</v>
      </c>
      <c r="AG1496" s="73" t="s">
        <v>4337</v>
      </c>
      <c r="AH1496" s="73" t="s">
        <v>153</v>
      </c>
      <c r="AI1496" s="6">
        <v>0</v>
      </c>
      <c r="AJ1496" s="73">
        <v>1</v>
      </c>
      <c r="AK1496" s="73">
        <v>0</v>
      </c>
      <c r="AL1496" s="73">
        <v>1</v>
      </c>
      <c r="AM1496" s="73">
        <v>1</v>
      </c>
      <c r="AN1496" s="73">
        <v>1</v>
      </c>
      <c r="AO1496" s="73">
        <v>1</v>
      </c>
      <c r="AP1496" s="73">
        <v>1</v>
      </c>
      <c r="AQ1496" s="73" t="s">
        <v>4354</v>
      </c>
      <c r="AR1496" s="73">
        <v>0</v>
      </c>
      <c r="AS1496" s="73">
        <v>0</v>
      </c>
      <c r="AT1496" s="73">
        <v>0</v>
      </c>
      <c r="AU1496" s="73">
        <v>0</v>
      </c>
      <c r="AV1496" s="73">
        <v>0</v>
      </c>
      <c r="AW1496" s="73">
        <v>0</v>
      </c>
      <c r="AX1496" s="73">
        <v>0</v>
      </c>
      <c r="AY1496" s="73">
        <v>0</v>
      </c>
      <c r="AZ1496" s="73">
        <v>1</v>
      </c>
      <c r="BA1496" s="73">
        <v>0</v>
      </c>
      <c r="BB1496" s="73">
        <v>0</v>
      </c>
      <c r="BC1496" s="73">
        <v>0</v>
      </c>
      <c r="BD1496" s="73">
        <v>0</v>
      </c>
      <c r="BE1496" s="73">
        <v>0</v>
      </c>
      <c r="BF1496" s="73">
        <v>0</v>
      </c>
      <c r="BG1496" s="73">
        <v>0</v>
      </c>
      <c r="BH1496" s="73">
        <v>0</v>
      </c>
      <c r="BI1496" s="73">
        <v>0</v>
      </c>
      <c r="BJ1496" s="6">
        <v>0</v>
      </c>
      <c r="BK1496" s="6">
        <v>0</v>
      </c>
      <c r="BL1496" s="6">
        <v>0</v>
      </c>
      <c r="BM1496" s="75">
        <f>IF(Table3[[#This Row],[Type]]="EM",IF((Table3[[#This Row],[Diameter]]/2)-Table3[[#This Row],[CornerRadius]]-0.012&gt;0,(Table3[[#This Row],[Diameter]]/2)-Table3[[#This Row],[CornerRadius]]-0.012,0),)</f>
        <v>0</v>
      </c>
    </row>
    <row r="1497" spans="1:65" hidden="1" x14ac:dyDescent="0.25">
      <c r="A1497" s="73">
        <v>1</v>
      </c>
      <c r="B1497" s="73" t="s">
        <v>149</v>
      </c>
      <c r="C1497" s="73"/>
      <c r="D1497" s="73" t="s">
        <v>149</v>
      </c>
      <c r="E1497" s="73"/>
      <c r="F1497" s="88"/>
      <c r="G1497" s="89"/>
      <c r="H1497" s="88" t="s">
        <v>150</v>
      </c>
      <c r="I1497" s="90" t="s">
        <v>4355</v>
      </c>
      <c r="J1497" s="91" t="s">
        <v>4356</v>
      </c>
      <c r="K1497" s="11" t="str">
        <f>CONCATENATE(Table3[[#This Row],[Type]]," "&amp;TEXT(Table3[[#This Row],[Diameter]],".0000")&amp;""," "&amp;Table3[[#This Row],[NumFlutes]]&amp;"FL")</f>
        <v>CD .0114 2FL</v>
      </c>
      <c r="M1497" s="92">
        <v>1.14E-2</v>
      </c>
      <c r="N1497" s="92">
        <v>0.125</v>
      </c>
      <c r="O1497" s="73">
        <v>1.14E-2</v>
      </c>
      <c r="P1497" s="73">
        <v>0.16</v>
      </c>
      <c r="Q1497" s="73">
        <v>0.52500000000000002</v>
      </c>
      <c r="R1497" s="14">
        <f>IF(Table3[[#This Row],[ShoulderLenEnd]]="",0,90-(DEGREES(ATAN((Q1497-P1497)/((N1497-O1497)/2)))))</f>
        <v>8.8452204415325753</v>
      </c>
      <c r="S1497" s="93">
        <v>0.55000000000000004</v>
      </c>
      <c r="T1497" s="73">
        <v>2</v>
      </c>
      <c r="U1497" s="73">
        <v>1.5</v>
      </c>
      <c r="V1497" s="73">
        <v>0.13800000000000001</v>
      </c>
      <c r="Z1497" s="73">
        <v>120</v>
      </c>
      <c r="AA1497" s="13">
        <f t="shared" si="31"/>
        <v>3.2908965343808679E-3</v>
      </c>
      <c r="AE1497" s="73" t="s">
        <v>44</v>
      </c>
      <c r="AF1497" s="73" t="s">
        <v>369</v>
      </c>
      <c r="AG1497" s="73" t="s">
        <v>4337</v>
      </c>
      <c r="AH1497" s="73" t="s">
        <v>153</v>
      </c>
      <c r="AI1497" s="6">
        <v>0</v>
      </c>
      <c r="AJ1497" s="73">
        <v>1</v>
      </c>
      <c r="AK1497" s="73">
        <v>0</v>
      </c>
      <c r="AL1497" s="73">
        <v>1</v>
      </c>
      <c r="AM1497" s="73">
        <v>1</v>
      </c>
      <c r="AN1497" s="73">
        <v>1</v>
      </c>
      <c r="AO1497" s="73">
        <v>1</v>
      </c>
      <c r="AP1497" s="73">
        <v>1</v>
      </c>
      <c r="AQ1497" s="73" t="s">
        <v>4357</v>
      </c>
      <c r="AR1497" s="73">
        <v>0</v>
      </c>
      <c r="AS1497" s="73">
        <v>0</v>
      </c>
      <c r="AT1497" s="73">
        <v>0</v>
      </c>
      <c r="AU1497" s="73">
        <v>0</v>
      </c>
      <c r="AV1497" s="73">
        <v>0</v>
      </c>
      <c r="AW1497" s="73">
        <v>0</v>
      </c>
      <c r="AX1497" s="73">
        <v>0</v>
      </c>
      <c r="AY1497" s="73">
        <v>0</v>
      </c>
      <c r="AZ1497" s="73">
        <v>1</v>
      </c>
      <c r="BA1497" s="73">
        <v>0</v>
      </c>
      <c r="BB1497" s="73">
        <v>0</v>
      </c>
      <c r="BC1497" s="73">
        <v>0</v>
      </c>
      <c r="BD1497" s="73">
        <v>0</v>
      </c>
      <c r="BE1497" s="73">
        <v>0</v>
      </c>
      <c r="BF1497" s="73">
        <v>0</v>
      </c>
      <c r="BG1497" s="73">
        <v>0</v>
      </c>
      <c r="BH1497" s="73">
        <v>0</v>
      </c>
      <c r="BI1497" s="73">
        <v>0</v>
      </c>
      <c r="BJ1497" s="6">
        <v>0</v>
      </c>
      <c r="BK1497" s="6">
        <v>0</v>
      </c>
      <c r="BL1497" s="6">
        <v>0</v>
      </c>
      <c r="BM1497" s="75">
        <f>IF(Table3[[#This Row],[Type]]="EM",IF((Table3[[#This Row],[Diameter]]/2)-Table3[[#This Row],[CornerRadius]]-0.012&gt;0,(Table3[[#This Row],[Diameter]]/2)-Table3[[#This Row],[CornerRadius]]-0.012,0),)</f>
        <v>0</v>
      </c>
    </row>
    <row r="1498" spans="1:65" hidden="1" x14ac:dyDescent="0.25">
      <c r="A1498" s="73">
        <v>1</v>
      </c>
      <c r="B1498" s="73" t="s">
        <v>149</v>
      </c>
      <c r="C1498" s="73"/>
      <c r="D1498" s="73" t="s">
        <v>149</v>
      </c>
      <c r="E1498" s="73"/>
      <c r="F1498" s="88"/>
      <c r="G1498" s="89"/>
      <c r="H1498" s="88" t="s">
        <v>150</v>
      </c>
      <c r="I1498" s="90" t="s">
        <v>4358</v>
      </c>
      <c r="J1498" s="91" t="s">
        <v>4359</v>
      </c>
      <c r="K1498" s="11" t="str">
        <f>CONCATENATE(Table3[[#This Row],[Type]]," "&amp;TEXT(Table3[[#This Row],[Diameter]],".0000")&amp;""," "&amp;Table3[[#This Row],[NumFlutes]]&amp;"FL")</f>
        <v>CD .0165 2FL</v>
      </c>
      <c r="M1498" s="92">
        <v>1.6500000000000001E-2</v>
      </c>
      <c r="N1498" s="92">
        <v>0.125</v>
      </c>
      <c r="O1498" s="73">
        <v>1.6500000000000001E-2</v>
      </c>
      <c r="P1498" s="73">
        <v>0.20200000000000001</v>
      </c>
      <c r="Q1498" s="73">
        <v>0.40899999999999997</v>
      </c>
      <c r="R1498" s="14">
        <f>IF(Table3[[#This Row],[ShoulderLenEnd]]="",0,90-(DEGREES(ATAN((Q1498-P1498)/((N1498-O1498)/2)))))</f>
        <v>14.685643592851662</v>
      </c>
      <c r="S1498" s="93">
        <v>0.42</v>
      </c>
      <c r="T1498" s="73">
        <v>2</v>
      </c>
      <c r="U1498" s="73">
        <v>1.5</v>
      </c>
      <c r="V1498" s="73">
        <v>0.19700000000000001</v>
      </c>
      <c r="Z1498" s="73">
        <v>120</v>
      </c>
      <c r="AA1498" s="13">
        <f t="shared" si="31"/>
        <v>4.7631397208144147E-3</v>
      </c>
      <c r="AE1498" s="73" t="s">
        <v>44</v>
      </c>
      <c r="AF1498" s="73" t="s">
        <v>369</v>
      </c>
      <c r="AG1498" s="73" t="s">
        <v>4337</v>
      </c>
      <c r="AH1498" s="73" t="s">
        <v>153</v>
      </c>
      <c r="AI1498" s="6">
        <v>0</v>
      </c>
      <c r="AJ1498" s="73">
        <v>1</v>
      </c>
      <c r="AK1498" s="73">
        <v>0</v>
      </c>
      <c r="AL1498" s="73">
        <v>1</v>
      </c>
      <c r="AM1498" s="73">
        <v>1</v>
      </c>
      <c r="AN1498" s="73">
        <v>1</v>
      </c>
      <c r="AO1498" s="73">
        <v>1</v>
      </c>
      <c r="AP1498" s="73">
        <v>1</v>
      </c>
      <c r="AQ1498" s="73"/>
      <c r="AR1498" s="73">
        <v>0</v>
      </c>
      <c r="AS1498" s="73">
        <v>0</v>
      </c>
      <c r="AT1498" s="73">
        <v>0</v>
      </c>
      <c r="AU1498" s="73">
        <v>0</v>
      </c>
      <c r="AV1498" s="73">
        <v>0</v>
      </c>
      <c r="AW1498" s="73">
        <v>0</v>
      </c>
      <c r="AX1498" s="73">
        <v>0</v>
      </c>
      <c r="AY1498" s="73">
        <v>0</v>
      </c>
      <c r="AZ1498" s="73">
        <v>1</v>
      </c>
      <c r="BA1498" s="73">
        <v>0</v>
      </c>
      <c r="BB1498" s="73">
        <v>0</v>
      </c>
      <c r="BC1498" s="73">
        <v>0</v>
      </c>
      <c r="BD1498" s="73">
        <v>0</v>
      </c>
      <c r="BE1498" s="73">
        <v>0</v>
      </c>
      <c r="BF1498" s="73">
        <v>0</v>
      </c>
      <c r="BG1498" s="73">
        <v>0</v>
      </c>
      <c r="BH1498" s="73">
        <v>0</v>
      </c>
      <c r="BI1498" s="73">
        <v>0</v>
      </c>
      <c r="BJ1498" s="6">
        <v>0</v>
      </c>
      <c r="BK1498" s="6">
        <v>0</v>
      </c>
      <c r="BL1498" s="6">
        <v>0</v>
      </c>
      <c r="BM1498" s="75">
        <f>IF(Table3[[#This Row],[Type]]="EM",IF((Table3[[#This Row],[Diameter]]/2)-Table3[[#This Row],[CornerRadius]]-0.012&gt;0,(Table3[[#This Row],[Diameter]]/2)-Table3[[#This Row],[CornerRadius]]-0.012,0),)</f>
        <v>0</v>
      </c>
    </row>
    <row r="1499" spans="1:65" hidden="1" x14ac:dyDescent="0.25">
      <c r="A1499" s="73">
        <v>1</v>
      </c>
      <c r="B1499" s="73" t="s">
        <v>149</v>
      </c>
      <c r="C1499" s="73"/>
      <c r="D1499" s="73" t="s">
        <v>149</v>
      </c>
      <c r="E1499" s="73"/>
      <c r="F1499" s="88"/>
      <c r="G1499" s="89"/>
      <c r="H1499" s="88" t="s">
        <v>150</v>
      </c>
      <c r="I1499" s="90" t="s">
        <v>4360</v>
      </c>
      <c r="J1499" s="91" t="s">
        <v>4361</v>
      </c>
      <c r="K1499" s="11" t="str">
        <f>CONCATENATE(Table3[[#This Row],[Type]]," "&amp;TEXT(Table3[[#This Row],[Diameter]],".0000")&amp;""," "&amp;Table3[[#This Row],[NumFlutes]]&amp;"FL")</f>
        <v>CD .0185 2FL</v>
      </c>
      <c r="M1499" s="92">
        <v>1.8499999999999999E-2</v>
      </c>
      <c r="N1499" s="92">
        <v>0.125</v>
      </c>
      <c r="O1499" s="73">
        <v>1.8499999999999999E-2</v>
      </c>
      <c r="P1499" s="73">
        <v>0.25900000000000001</v>
      </c>
      <c r="Q1499" s="73">
        <v>0.45700000000000002</v>
      </c>
      <c r="R1499" s="14">
        <f>IF(Table3[[#This Row],[ShoulderLenEnd]]="",0,90-(DEGREES(ATAN((Q1499-P1499)/((N1499-O1499)/2)))))</f>
        <v>15.052920769707356</v>
      </c>
      <c r="S1499" s="93">
        <v>0.47</v>
      </c>
      <c r="T1499" s="73">
        <v>2</v>
      </c>
      <c r="U1499" s="73">
        <v>1.5</v>
      </c>
      <c r="V1499" s="73">
        <v>0.22</v>
      </c>
      <c r="Z1499" s="73">
        <v>120</v>
      </c>
      <c r="AA1499" s="13">
        <f t="shared" si="31"/>
        <v>5.34048999000404E-3</v>
      </c>
      <c r="AE1499" s="73" t="s">
        <v>44</v>
      </c>
      <c r="AF1499" s="73" t="s">
        <v>369</v>
      </c>
      <c r="AG1499" s="73" t="s">
        <v>4337</v>
      </c>
      <c r="AH1499" s="73" t="s">
        <v>153</v>
      </c>
      <c r="AI1499" s="6">
        <v>0</v>
      </c>
      <c r="AJ1499" s="73">
        <v>1</v>
      </c>
      <c r="AK1499" s="73">
        <v>0</v>
      </c>
      <c r="AL1499" s="73">
        <v>1</v>
      </c>
      <c r="AM1499" s="73">
        <v>1</v>
      </c>
      <c r="AN1499" s="73">
        <v>1</v>
      </c>
      <c r="AO1499" s="73">
        <v>1</v>
      </c>
      <c r="AP1499" s="73">
        <v>1</v>
      </c>
      <c r="AQ1499" s="73"/>
      <c r="AR1499" s="73">
        <v>0</v>
      </c>
      <c r="AS1499" s="73">
        <v>0</v>
      </c>
      <c r="AT1499" s="73">
        <v>0</v>
      </c>
      <c r="AU1499" s="73">
        <v>0</v>
      </c>
      <c r="AV1499" s="73">
        <v>0</v>
      </c>
      <c r="AW1499" s="73">
        <v>0</v>
      </c>
      <c r="AX1499" s="73">
        <v>0</v>
      </c>
      <c r="AY1499" s="73">
        <v>0</v>
      </c>
      <c r="AZ1499" s="73">
        <v>1</v>
      </c>
      <c r="BA1499" s="73">
        <v>0</v>
      </c>
      <c r="BB1499" s="73">
        <v>0</v>
      </c>
      <c r="BC1499" s="73">
        <v>0</v>
      </c>
      <c r="BD1499" s="73">
        <v>0</v>
      </c>
      <c r="BE1499" s="73">
        <v>0</v>
      </c>
      <c r="BF1499" s="73">
        <v>0</v>
      </c>
      <c r="BG1499" s="73">
        <v>0</v>
      </c>
      <c r="BH1499" s="73">
        <v>0</v>
      </c>
      <c r="BI1499" s="73">
        <v>0</v>
      </c>
      <c r="BJ1499" s="6">
        <v>0</v>
      </c>
      <c r="BK1499" s="6">
        <v>0</v>
      </c>
      <c r="BL1499" s="6">
        <v>0</v>
      </c>
      <c r="BM1499" s="75">
        <f>IF(Table3[[#This Row],[Type]]="EM",IF((Table3[[#This Row],[Diameter]]/2)-Table3[[#This Row],[CornerRadius]]-0.012&gt;0,(Table3[[#This Row],[Diameter]]/2)-Table3[[#This Row],[CornerRadius]]-0.012,0),)</f>
        <v>0</v>
      </c>
    </row>
    <row r="1500" spans="1:65" x14ac:dyDescent="0.25">
      <c r="A1500" s="6">
        <v>0</v>
      </c>
      <c r="B1500" s="6" t="s">
        <v>2211</v>
      </c>
      <c r="C1500" s="6" t="s">
        <v>1873</v>
      </c>
      <c r="H1500" s="10" t="s">
        <v>2211</v>
      </c>
      <c r="I1500" s="11" t="s">
        <v>4375</v>
      </c>
      <c r="J1500" s="30" t="s">
        <v>4376</v>
      </c>
      <c r="K1500" s="11" t="str">
        <f>CONCATENATE(Table3[[#This Row],[Type]]," "&amp;TEXT(Table3[[#This Row],[Diameter]],".0000")&amp;""," "&amp;Table3[[#This Row],[NumFlutes]]&amp;"FL")</f>
        <v>SS 4.0000 36FL</v>
      </c>
      <c r="M1500" s="13">
        <v>4</v>
      </c>
      <c r="N1500" s="13">
        <v>1</v>
      </c>
      <c r="O1500" s="6">
        <v>1</v>
      </c>
      <c r="P1500" s="6">
        <v>0.185</v>
      </c>
      <c r="R1500" s="14">
        <f>IF(Table3[[#This Row],[ShoulderLenEnd]]="",0,90-(DEGREES(ATAN((Q1500-P1500)/((N1500-O1500)/2)))))</f>
        <v>0</v>
      </c>
      <c r="S1500" s="15">
        <v>1.5</v>
      </c>
      <c r="T1500" s="6">
        <v>36</v>
      </c>
      <c r="U1500" s="6">
        <v>4.4550000000000001</v>
      </c>
      <c r="V1500" s="6">
        <v>0.184</v>
      </c>
      <c r="W1500" s="6">
        <v>0</v>
      </c>
      <c r="AE1500" s="6" t="s">
        <v>44</v>
      </c>
      <c r="AF1500" s="6" t="s">
        <v>62</v>
      </c>
      <c r="AG1500" s="6" t="s">
        <v>66</v>
      </c>
      <c r="AI1500" s="6">
        <v>0</v>
      </c>
      <c r="AJ1500" s="6">
        <v>1</v>
      </c>
      <c r="AK1500" s="6">
        <v>0</v>
      </c>
      <c r="AL1500" s="6">
        <v>1</v>
      </c>
      <c r="AM1500" s="6">
        <v>0</v>
      </c>
      <c r="AN1500" s="6">
        <v>0</v>
      </c>
      <c r="AO1500" s="6">
        <v>1</v>
      </c>
      <c r="AP1500" s="6">
        <v>1</v>
      </c>
      <c r="AQ1500" s="6" t="s">
        <v>4377</v>
      </c>
      <c r="AR1500" s="6">
        <v>0</v>
      </c>
      <c r="AS1500" s="6">
        <v>0</v>
      </c>
      <c r="AT1500" s="6">
        <v>0</v>
      </c>
      <c r="AU1500" s="6">
        <v>0</v>
      </c>
      <c r="AV1500" s="6">
        <v>0</v>
      </c>
      <c r="AW1500" s="6">
        <v>0</v>
      </c>
      <c r="AX1500" s="6">
        <v>0</v>
      </c>
      <c r="AY1500" s="6">
        <v>1</v>
      </c>
      <c r="AZ1500" s="6">
        <v>0</v>
      </c>
      <c r="BA1500" s="6">
        <v>0</v>
      </c>
      <c r="BB1500" s="6">
        <v>0</v>
      </c>
      <c r="BC1500" s="6">
        <v>0</v>
      </c>
      <c r="BD1500" s="6">
        <v>0</v>
      </c>
      <c r="BE1500" s="6">
        <v>0</v>
      </c>
      <c r="BF1500" s="6">
        <v>1</v>
      </c>
      <c r="BG1500" s="6">
        <v>0</v>
      </c>
      <c r="BH1500" s="6">
        <v>0</v>
      </c>
      <c r="BI1500" s="6">
        <v>0</v>
      </c>
      <c r="BJ1500" s="6">
        <v>0</v>
      </c>
      <c r="BK1500" s="6">
        <v>0</v>
      </c>
      <c r="BL1500" s="6">
        <v>0</v>
      </c>
      <c r="BM1500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5" priority="23" operator="containsText" text="Error">
      <formula>NOT(ISERROR(SEARCH("Error",BO1)))</formula>
    </cfRule>
  </conditionalFormatting>
  <conditionalFormatting sqref="BO21:BO121">
    <cfRule type="containsText" dxfId="34" priority="24" operator="containsText" text="Error">
      <formula>NOT(ISERROR(SEARCH("Error",BO21)))</formula>
    </cfRule>
  </conditionalFormatting>
  <conditionalFormatting sqref="BO133:BO1334 BO1336:BO1341">
    <cfRule type="containsText" dxfId="33" priority="26" operator="containsText" text="Error">
      <formula>NOT(ISERROR(SEARCH("Error",BO133)))</formula>
    </cfRule>
  </conditionalFormatting>
  <conditionalFormatting sqref="I1405:I1488 I21:I1341 I1343:I1354 I1357:I1358 I1363:I1402 I1500:I1048576">
    <cfRule type="duplicateValues" dxfId="32" priority="27"/>
  </conditionalFormatting>
  <conditionalFormatting sqref="I11:I19 I1 I8:I9 I4:I6">
    <cfRule type="duplicateValues" dxfId="31" priority="28"/>
    <cfRule type="duplicateValues" dxfId="30" priority="28"/>
  </conditionalFormatting>
  <conditionalFormatting sqref="BO20">
    <cfRule type="containsText" dxfId="29" priority="29" operator="containsText" text="Error">
      <formula>NOT(ISERROR(SEARCH("Error",BO20)))</formula>
    </cfRule>
  </conditionalFormatting>
  <conditionalFormatting sqref="I20">
    <cfRule type="duplicateValues" dxfId="28" priority="30"/>
    <cfRule type="duplicateValues" dxfId="27" priority="30"/>
  </conditionalFormatting>
  <conditionalFormatting sqref="I1405:I1488 I1302:I1341 I1343:I1354 I1357:I1358 I1363:I1402 I1500:I1048576">
    <cfRule type="duplicateValues" dxfId="26" priority="31"/>
  </conditionalFormatting>
  <conditionalFormatting sqref="I21:I1300">
    <cfRule type="duplicateValues" dxfId="25" priority="32"/>
  </conditionalFormatting>
  <conditionalFormatting sqref="BO7">
    <cfRule type="containsText" dxfId="24" priority="19" operator="containsText" text="Error">
      <formula>NOT(ISERROR(SEARCH("Error",BO7)))</formula>
    </cfRule>
  </conditionalFormatting>
  <conditionalFormatting sqref="BO1335">
    <cfRule type="containsText" dxfId="23" priority="18" operator="containsText" text="Error">
      <formula>NOT(ISERROR(SEARCH("Error",BO1335)))</formula>
    </cfRule>
  </conditionalFormatting>
  <conditionalFormatting sqref="BO1342">
    <cfRule type="containsText" dxfId="22" priority="15" operator="containsText" text="Error">
      <formula>NOT(ISERROR(SEARCH("Error",BO1342)))</formula>
    </cfRule>
  </conditionalFormatting>
  <conditionalFormatting sqref="I1342">
    <cfRule type="duplicateValues" dxfId="21" priority="16"/>
  </conditionalFormatting>
  <conditionalFormatting sqref="I1342">
    <cfRule type="duplicateValues" dxfId="20" priority="17"/>
  </conditionalFormatting>
  <conditionalFormatting sqref="BO1355">
    <cfRule type="containsText" dxfId="19" priority="12" operator="containsText" text="Error">
      <formula>NOT(ISERROR(SEARCH("Error",BO1355)))</formula>
    </cfRule>
  </conditionalFormatting>
  <conditionalFormatting sqref="I1355">
    <cfRule type="duplicateValues" dxfId="18" priority="13"/>
  </conditionalFormatting>
  <conditionalFormatting sqref="I1355">
    <cfRule type="duplicateValues" dxfId="17" priority="14"/>
  </conditionalFormatting>
  <conditionalFormatting sqref="BO1359:BO1362">
    <cfRule type="containsText" dxfId="16" priority="9" operator="containsText" text="Error">
      <formula>NOT(ISERROR(SEARCH("Error",BO1359)))</formula>
    </cfRule>
  </conditionalFormatting>
  <conditionalFormatting sqref="I1359:I1362">
    <cfRule type="duplicateValues" dxfId="15" priority="10"/>
  </conditionalFormatting>
  <conditionalFormatting sqref="I1359:I1362">
    <cfRule type="duplicateValues" dxfId="14" priority="11"/>
  </conditionalFormatting>
  <conditionalFormatting sqref="BO1403">
    <cfRule type="containsText" dxfId="13" priority="6" operator="containsText" text="Error">
      <formula>NOT(ISERROR(SEARCH("Error",BO1403)))</formula>
    </cfRule>
  </conditionalFormatting>
  <conditionalFormatting sqref="I1403">
    <cfRule type="duplicateValues" dxfId="12" priority="7"/>
  </conditionalFormatting>
  <conditionalFormatting sqref="I1403">
    <cfRule type="duplicateValues" dxfId="11" priority="8"/>
  </conditionalFormatting>
  <conditionalFormatting sqref="BO1404">
    <cfRule type="containsText" dxfId="10" priority="3" operator="containsText" text="Error">
      <formula>NOT(ISERROR(SEARCH("Error",BO1404)))</formula>
    </cfRule>
  </conditionalFormatting>
  <conditionalFormatting sqref="I1404">
    <cfRule type="duplicateValues" dxfId="9" priority="4"/>
  </conditionalFormatting>
  <conditionalFormatting sqref="I1404">
    <cfRule type="duplicateValues" dxfId="8" priority="5"/>
  </conditionalFormatting>
  <conditionalFormatting sqref="I1489:I1499">
    <cfRule type="duplicateValues" dxfId="7" priority="1"/>
  </conditionalFormatting>
  <conditionalFormatting sqref="I1489:I1499">
    <cfRule type="duplicateValues" dxfId="6" priority="2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A9" sqref="A9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37" activePane="bottomLeft" state="frozen"/>
      <selection activeCell="M1" sqref="M1"/>
      <selection pane="bottomLeft" activeCell="D170" sqref="D170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A166" s="94" t="s">
        <v>4344</v>
      </c>
      <c r="B166" s="94" t="s">
        <v>2489</v>
      </c>
      <c r="C166" s="94">
        <v>1.5</v>
      </c>
      <c r="D166" s="94" t="s">
        <v>2960</v>
      </c>
      <c r="E166" s="94" t="s">
        <v>2514</v>
      </c>
      <c r="F166" s="94" t="s">
        <v>4362</v>
      </c>
      <c r="G166" s="94" t="s">
        <v>4363</v>
      </c>
      <c r="H166" s="94" t="s">
        <v>4364</v>
      </c>
      <c r="I166" s="94" t="s">
        <v>4365</v>
      </c>
      <c r="J166" s="94" t="s">
        <v>4366</v>
      </c>
      <c r="K166" s="94" t="s">
        <v>2643</v>
      </c>
      <c r="L166" s="94" t="s">
        <v>2644</v>
      </c>
    </row>
    <row r="167" spans="1:17" x14ac:dyDescent="0.2">
      <c r="A167" s="94" t="s">
        <v>4349</v>
      </c>
      <c r="B167" s="94" t="s">
        <v>2489</v>
      </c>
      <c r="C167" s="94">
        <v>1.5</v>
      </c>
      <c r="D167" s="94" t="s">
        <v>2960</v>
      </c>
      <c r="E167" s="94" t="s">
        <v>2514</v>
      </c>
      <c r="F167" s="94" t="s">
        <v>2685</v>
      </c>
      <c r="G167" s="94" t="s">
        <v>4367</v>
      </c>
      <c r="H167" s="94" t="s">
        <v>4368</v>
      </c>
      <c r="I167" s="94" t="s">
        <v>4365</v>
      </c>
      <c r="J167" s="94" t="s">
        <v>4366</v>
      </c>
      <c r="K167" s="94" t="s">
        <v>2643</v>
      </c>
      <c r="L167" s="94" t="s">
        <v>2644</v>
      </c>
    </row>
    <row r="168" spans="1:17" x14ac:dyDescent="0.2">
      <c r="A168" s="94" t="s">
        <v>4354</v>
      </c>
      <c r="B168" s="94" t="s">
        <v>2489</v>
      </c>
      <c r="C168" s="94">
        <v>1.5</v>
      </c>
      <c r="D168" s="94" t="s">
        <v>2960</v>
      </c>
      <c r="E168" s="94" t="s">
        <v>2514</v>
      </c>
      <c r="F168" s="94" t="s">
        <v>4369</v>
      </c>
      <c r="G168" s="94" t="s">
        <v>4370</v>
      </c>
      <c r="H168" s="94" t="s">
        <v>4371</v>
      </c>
      <c r="I168" s="94" t="s">
        <v>4365</v>
      </c>
      <c r="J168" s="94" t="s">
        <v>4366</v>
      </c>
      <c r="K168" s="94" t="s">
        <v>2643</v>
      </c>
      <c r="L168" s="94" t="s">
        <v>2644</v>
      </c>
    </row>
    <row r="169" spans="1:17" x14ac:dyDescent="0.2">
      <c r="A169" s="94" t="s">
        <v>4357</v>
      </c>
      <c r="B169" s="94" t="s">
        <v>2489</v>
      </c>
      <c r="C169" s="94">
        <v>1.5</v>
      </c>
      <c r="D169" s="94" t="s">
        <v>2960</v>
      </c>
      <c r="E169" s="94" t="s">
        <v>2514</v>
      </c>
      <c r="F169" s="94" t="s">
        <v>4372</v>
      </c>
      <c r="G169" s="94" t="s">
        <v>4373</v>
      </c>
      <c r="H169" s="94" t="s">
        <v>4374</v>
      </c>
      <c r="I169" s="94" t="s">
        <v>4365</v>
      </c>
      <c r="J169" s="94" t="s">
        <v>4366</v>
      </c>
      <c r="K169" s="94" t="s">
        <v>2643</v>
      </c>
      <c r="L169" s="94" t="s">
        <v>2644</v>
      </c>
    </row>
    <row r="170" spans="1:17" x14ac:dyDescent="0.2">
      <c r="A170" s="21" t="s">
        <v>4377</v>
      </c>
      <c r="B170" s="21" t="s">
        <v>4378</v>
      </c>
      <c r="C170" s="21">
        <v>4.4550000000000001</v>
      </c>
      <c r="D170" s="21" t="s">
        <v>3519</v>
      </c>
      <c r="E170" s="94" t="s">
        <v>2514</v>
      </c>
      <c r="F170" s="94" t="s">
        <v>4379</v>
      </c>
      <c r="G170" s="94" t="s">
        <v>4380</v>
      </c>
      <c r="H170" s="94" t="s">
        <v>4381</v>
      </c>
      <c r="I170" s="94" t="s">
        <v>4382</v>
      </c>
      <c r="J170" s="94" t="s">
        <v>4383</v>
      </c>
      <c r="K170" s="94" t="s">
        <v>4384</v>
      </c>
      <c r="L170" s="94" t="s">
        <v>4385</v>
      </c>
      <c r="M170" s="94" t="s">
        <v>4386</v>
      </c>
      <c r="N170" s="94" t="s">
        <v>4387</v>
      </c>
      <c r="O170" s="94" t="s">
        <v>4388</v>
      </c>
      <c r="P170" s="94" t="s">
        <v>4389</v>
      </c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topLeftCell="H1" zoomScaleNormal="100" workbookViewId="0">
      <selection activeCell="Z9" sqref="Z9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17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2026-01-20T22:17:32Z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